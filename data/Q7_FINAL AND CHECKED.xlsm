
<file path=[Content_Types].xml><?xml version="1.0" encoding="utf-8"?>
<Types xmlns="http://schemas.openxmlformats.org/package/2006/content-types">
  <Default Extension="xml" ContentType="application/xml"/>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823"/>
  <workbookPr autoCompressPictures="0"/>
  <bookViews>
    <workbookView xWindow="0" yWindow="0" windowWidth="34980" windowHeight="20040" tabRatio="643"/>
  </bookViews>
  <sheets>
    <sheet name="Coded Qual.data" sheetId="9" r:id="rId1"/>
    <sheet name="Coding framework" sheetId="2" r:id="rId2"/>
    <sheet name="DV List - PLEASE DO NOT EDIT" sheetId="8" r:id="rId3"/>
    <sheet name="Quant.data" sheetId="11" r:id="rId4"/>
    <sheet name="Internal use - Data table&amp;Graph" sheetId="3" r:id="rId5"/>
    <sheet name="JUDE'S THOUGHTS" sheetId="13" r:id="rId6"/>
  </sheet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D20" i="11" l="1"/>
  <c r="C20" i="11"/>
  <c r="C9" i="3"/>
  <c r="V3116" i="9"/>
  <c r="C19" i="3"/>
  <c r="C18" i="3"/>
  <c r="C17" i="3"/>
  <c r="C16" i="3"/>
  <c r="C15" i="3"/>
  <c r="C14" i="3"/>
  <c r="C13" i="3"/>
  <c r="C12" i="3"/>
  <c r="C11" i="3"/>
  <c r="C10" i="3"/>
  <c r="C8" i="3"/>
  <c r="C7" i="3"/>
  <c r="C6" i="3"/>
  <c r="C5" i="3"/>
  <c r="C4" i="3"/>
  <c r="C20" i="3"/>
  <c r="C21" i="3"/>
  <c r="H16" i="3"/>
  <c r="H14" i="3"/>
  <c r="H12" i="3"/>
  <c r="H10" i="3"/>
  <c r="H8" i="3"/>
  <c r="H6" i="3"/>
  <c r="H4" i="3"/>
  <c r="H15" i="3"/>
  <c r="H13" i="3"/>
  <c r="H11" i="3"/>
  <c r="H9" i="3"/>
  <c r="H7" i="3"/>
  <c r="H5" i="3"/>
  <c r="H17" i="3"/>
  <c r="D4" i="3"/>
  <c r="D18" i="3"/>
  <c r="D16" i="3"/>
  <c r="D14" i="3"/>
  <c r="D12" i="3"/>
  <c r="D10" i="3"/>
  <c r="D8" i="3"/>
  <c r="D17" i="3"/>
  <c r="D15" i="3"/>
  <c r="D13" i="3"/>
  <c r="D11" i="3"/>
  <c r="D6" i="3"/>
  <c r="D9" i="3"/>
  <c r="D7" i="3"/>
  <c r="D5" i="3"/>
</calcChain>
</file>

<file path=xl/sharedStrings.xml><?xml version="1.0" encoding="utf-8"?>
<sst xmlns="http://schemas.openxmlformats.org/spreadsheetml/2006/main" count="3893" uniqueCount="3565">
  <si>
    <t>RespondentID</t>
  </si>
  <si>
    <t>CollectorID</t>
  </si>
  <si>
    <t>StartDate</t>
  </si>
  <si>
    <t>EndDate</t>
  </si>
  <si>
    <t>Debts or meeting bills</t>
  </si>
  <si>
    <t>Welfare benefits - claiming or being paid</t>
  </si>
  <si>
    <t>Housing issues eg over-crowding or tenancy agreement</t>
  </si>
  <si>
    <t>Problems at work / with your employer</t>
  </si>
  <si>
    <t>You or your child's education or school, including bullying</t>
  </si>
  <si>
    <t>Family or relationships</t>
  </si>
  <si>
    <t>Immigration or nationality</t>
  </si>
  <si>
    <t>Buying goods or services including scams</t>
  </si>
  <si>
    <t>Tax eg self-assessment</t>
  </si>
  <si>
    <t>Accessing health or caring services</t>
  </si>
  <si>
    <t>Discrimination at work, school or elsewhere</t>
  </si>
  <si>
    <t>Problems with neighbours or other community members</t>
  </si>
  <si>
    <t>Legal action involving a civil court or tribunal</t>
  </si>
  <si>
    <t>Problems with the Police or criminal proceedings</t>
  </si>
  <si>
    <t>If you selected more than one please tell us which was the most unwelcome or caused you the most difficulty</t>
  </si>
  <si>
    <t>Getting help with my needs as a carer.</t>
  </si>
  <si>
    <t>Welfare Benefits</t>
  </si>
  <si>
    <t>tribunal</t>
  </si>
  <si>
    <t>my child being bullied horrenhorrendously</t>
  </si>
  <si>
    <t>Education</t>
  </si>
  <si>
    <t>drunks/druggies living locally -annoying everyone</t>
  </si>
  <si>
    <t>Debts</t>
  </si>
  <si>
    <t>Problems at work</t>
  </si>
  <si>
    <t>Immigration</t>
  </si>
  <si>
    <t>Debt</t>
  </si>
  <si>
    <t>Problems with neighbours</t>
  </si>
  <si>
    <t>Welfare benefits</t>
  </si>
  <si>
    <t>welfare benefits</t>
  </si>
  <si>
    <t>COMPANY FAILURES REPORTING DOES NO GOOD</t>
  </si>
  <si>
    <t>Bills</t>
  </si>
  <si>
    <t>Family</t>
  </si>
  <si>
    <t>Accessing health care</t>
  </si>
  <si>
    <t>Child's education.</t>
  </si>
  <si>
    <t>Bedroom Tax</t>
  </si>
  <si>
    <t>problems at work</t>
  </si>
  <si>
    <t>Problem at work</t>
  </si>
  <si>
    <t>Neighbours</t>
  </si>
  <si>
    <t>waiting appt over a year for SERIOUS rare disease</t>
  </si>
  <si>
    <t>buying goods or sevices</t>
  </si>
  <si>
    <t>work</t>
  </si>
  <si>
    <t>Complaints re air travel</t>
  </si>
  <si>
    <t>Benefit delays</t>
  </si>
  <si>
    <t>NEIGHBOUR ISSUE</t>
  </si>
  <si>
    <t>Scams</t>
  </si>
  <si>
    <t>Finding employment</t>
  </si>
  <si>
    <t>Relationships</t>
  </si>
  <si>
    <t>Council and their lack of transparency</t>
  </si>
  <si>
    <t>family</t>
  </si>
  <si>
    <t>community bullying</t>
  </si>
  <si>
    <t>Family and relationships</t>
  </si>
  <si>
    <t>Civil court</t>
  </si>
  <si>
    <t>Family relationships</t>
  </si>
  <si>
    <t>nationality</t>
  </si>
  <si>
    <t>Debt, accessing healthcare</t>
  </si>
  <si>
    <t>Legal issues &amp; family issues combined</t>
  </si>
  <si>
    <t>Neighbours anti-social &amp; breaking law</t>
  </si>
  <si>
    <t>tax</t>
  </si>
  <si>
    <t>Problem with neighbours</t>
  </si>
  <si>
    <t>School</t>
  </si>
  <si>
    <t>cannot pay rent  due to zero contract hours</t>
  </si>
  <si>
    <t>Problems with neighbour</t>
  </si>
  <si>
    <t>Having to apply for jobs that not suitable.</t>
  </si>
  <si>
    <t>benefits!</t>
  </si>
  <si>
    <t>claiming JSA</t>
  </si>
  <si>
    <t>Meeting debts</t>
  </si>
  <si>
    <t>loss of job and husband leaving me</t>
  </si>
  <si>
    <t>neighbour bullying</t>
  </si>
  <si>
    <t>Buying goods</t>
  </si>
  <si>
    <t>Harassment from police, outreach workers.</t>
  </si>
  <si>
    <t>Accessing health or care services</t>
  </si>
  <si>
    <t>g 3 yrs for esa  cruel tricks on my pip claim</t>
  </si>
  <si>
    <t>Dwp tribunal</t>
  </si>
  <si>
    <t>Discrimination at work</t>
  </si>
  <si>
    <t>Benefits</t>
  </si>
  <si>
    <t>Road hate fear stops walking, pedaling, playing.</t>
  </si>
  <si>
    <t>Discrimination</t>
  </si>
  <si>
    <t>Access to services and welfare benefits</t>
  </si>
  <si>
    <t>Both equally</t>
  </si>
  <si>
    <t>Getting co-ordinated health treatment</t>
  </si>
  <si>
    <t>welfare</t>
  </si>
  <si>
    <t>debts</t>
  </si>
  <si>
    <t>scams most difficult as new issue</t>
  </si>
  <si>
    <t>Revenge Lease from previous freeholder.</t>
  </si>
  <si>
    <t>welfare benefits - claiming &amp; communication</t>
  </si>
  <si>
    <t>Bailiff problems</t>
  </si>
  <si>
    <t>Divorce</t>
  </si>
  <si>
    <t>Employment</t>
  </si>
  <si>
    <t>Tax</t>
  </si>
  <si>
    <t>Welfare benefits - claiming</t>
  </si>
  <si>
    <t>tenancy agreement for a shop</t>
  </si>
  <si>
    <t>Authorities killing mother and theft of assets</t>
  </si>
  <si>
    <t>benefits</t>
  </si>
  <si>
    <t>scam</t>
  </si>
  <si>
    <t>Bedroom Tax housing issue</t>
  </si>
  <si>
    <t>Welfare benefits system</t>
  </si>
  <si>
    <t>Health care</t>
  </si>
  <si>
    <t>debt</t>
  </si>
  <si>
    <t>meeting bills</t>
  </si>
  <si>
    <t>debts and meeting bills</t>
  </si>
  <si>
    <t>Neighbour dispute and threats towards me</t>
  </si>
  <si>
    <t>Prolonged (18mth) disability benefit claims</t>
  </si>
  <si>
    <t>relationship problems</t>
  </si>
  <si>
    <t>Trying to access mental health services</t>
  </si>
  <si>
    <t>housing</t>
  </si>
  <si>
    <t>accessing healthcare</t>
  </si>
  <si>
    <t>Housing</t>
  </si>
  <si>
    <t>Welfare. Benefits</t>
  </si>
  <si>
    <t>accessing health or caring services</t>
  </si>
  <si>
    <t>Dept</t>
  </si>
  <si>
    <t>Housing Issues and Welfare benefits</t>
  </si>
  <si>
    <t>Child's education</t>
  </si>
  <si>
    <t>Bullying at school</t>
  </si>
  <si>
    <t>Accessing Health or caring services</t>
  </si>
  <si>
    <t>immigration or nationality</t>
  </si>
  <si>
    <t>claiming benefits</t>
  </si>
  <si>
    <t>discproblems athe work</t>
  </si>
  <si>
    <t>PROBLES AT WORK AS PERPETUAL PARALEGAL</t>
  </si>
  <si>
    <t>Legal action</t>
  </si>
  <si>
    <t>relarionship problems - DV</t>
  </si>
  <si>
    <t>Employer issues</t>
  </si>
  <si>
    <t>All</t>
  </si>
  <si>
    <t>Discharged from mental health services</t>
  </si>
  <si>
    <t>depression</t>
  </si>
  <si>
    <t>Accessing health services</t>
  </si>
  <si>
    <t>Health</t>
  </si>
  <si>
    <t>workplace bullying</t>
  </si>
  <si>
    <t>Affording rent and cost of living.</t>
  </si>
  <si>
    <t>Accessing Health and Caring Services</t>
  </si>
  <si>
    <t>Tenancy</t>
  </si>
  <si>
    <t>police breakins (RIPA)to steal evidence</t>
  </si>
  <si>
    <t>Issues in family court with ex partner</t>
  </si>
  <si>
    <t>Money</t>
  </si>
  <si>
    <t>Housing debt</t>
  </si>
  <si>
    <t>Accessing caring services for my parents + Work</t>
  </si>
  <si>
    <t>Accessing  health or caring services</t>
  </si>
  <si>
    <t>Self assessment</t>
  </si>
  <si>
    <t>Bullying neighbours</t>
  </si>
  <si>
    <t>Buying goods that were scams</t>
  </si>
  <si>
    <t>esa tribunal</t>
  </si>
  <si>
    <t>civil court</t>
  </si>
  <si>
    <t>social care</t>
  </si>
  <si>
    <t>Worried about impact on Councils re immigration</t>
  </si>
  <si>
    <t>welfare benafits</t>
  </si>
  <si>
    <t>squatting lodger</t>
  </si>
  <si>
    <t>all of them</t>
  </si>
  <si>
    <t>Criminal proceedings</t>
  </si>
  <si>
    <t>Having to fight for my sons sen education</t>
  </si>
  <si>
    <t>DEBT</t>
  </si>
  <si>
    <t>Bereavement- family</t>
  </si>
  <si>
    <t>dealing with children and bullying</t>
  </si>
  <si>
    <t>3 ESA tribunals Ignore pain &amp; judge biased</t>
  </si>
  <si>
    <t>Debts meeting bills and making ends meet</t>
  </si>
  <si>
    <t>welfare benefits/debts</t>
  </si>
  <si>
    <t>Goods supplier went into administration</t>
  </si>
  <si>
    <t>providing for children</t>
  </si>
  <si>
    <t>Housing issues</t>
  </si>
  <si>
    <t>bills</t>
  </si>
  <si>
    <t>prolems in work</t>
  </si>
  <si>
    <t>bullying of my child</t>
  </si>
  <si>
    <t>neighbours, mental health services, welfare</t>
  </si>
  <si>
    <t>Health services</t>
  </si>
  <si>
    <t>debts or meeting bills</t>
  </si>
  <si>
    <t>50-50</t>
  </si>
  <si>
    <t>Claiming benefits</t>
  </si>
  <si>
    <t>HMRC court</t>
  </si>
  <si>
    <t>Childs education</t>
  </si>
  <si>
    <t>getting doctors to take me seriously</t>
  </si>
  <si>
    <t>problems with neighbours</t>
  </si>
  <si>
    <t>Problems with work</t>
  </si>
  <si>
    <t>poor supply of services / goods</t>
  </si>
  <si>
    <t>legal action</t>
  </si>
  <si>
    <t>The legal action was most unwelcome.</t>
  </si>
  <si>
    <t>poor education for son at college</t>
  </si>
  <si>
    <t>accessing health care</t>
  </si>
  <si>
    <t>Incorrect tax code</t>
  </si>
  <si>
    <t>Welfare Benefits &amp; Accessing health services</t>
  </si>
  <si>
    <t>Tribunal</t>
  </si>
  <si>
    <t>Welfare</t>
  </si>
  <si>
    <t>social care for disabled daughter</t>
  </si>
  <si>
    <t>child's school</t>
  </si>
  <si>
    <t>Work issues</t>
  </si>
  <si>
    <t>family and relationships</t>
  </si>
  <si>
    <t>I wasn`t referred to a specialist by  my GB</t>
  </si>
  <si>
    <t>DWP benefits</t>
  </si>
  <si>
    <t>Welfare benefits/lack thereof</t>
  </si>
  <si>
    <t>bullying</t>
  </si>
  <si>
    <t>family problems kids still at home 24 years old</t>
  </si>
  <si>
    <t>Long term debts are a constant thorn in my side</t>
  </si>
  <si>
    <t>Problems with employer caused most stress.</t>
  </si>
  <si>
    <t>Housing Association maintenance services</t>
  </si>
  <si>
    <t>childs bullying</t>
  </si>
  <si>
    <t>police harrasment</t>
  </si>
  <si>
    <t>neighbour</t>
  </si>
  <si>
    <t>Buying goods r services including scams</t>
  </si>
  <si>
    <t>discrimination at work</t>
  </si>
  <si>
    <t>Neibourghs</t>
  </si>
  <si>
    <t>Council's failure to pay me the correct benefit</t>
  </si>
  <si>
    <t>Family - x-husband maintenance payments</t>
  </si>
  <si>
    <t>neighbour problems</t>
  </si>
  <si>
    <t>Housing Issues</t>
  </si>
  <si>
    <t>health care</t>
  </si>
  <si>
    <t>illegal and 'immoral' advice when buying home.</t>
  </si>
  <si>
    <t>accessing benefits</t>
  </si>
  <si>
    <t>being paid benefit</t>
  </si>
  <si>
    <t>Dismissal from work</t>
  </si>
  <si>
    <t>Problems with the Police</t>
  </si>
  <si>
    <t>all equal</t>
  </si>
  <si>
    <t>goods and services</t>
  </si>
  <si>
    <t>HOUSING</t>
  </si>
  <si>
    <t>Getting appropriate NHS help</t>
  </si>
  <si>
    <t>health - 'system'</t>
  </si>
  <si>
    <t>Problems with neighbour/leasehold issues</t>
  </si>
  <si>
    <t>Housing Issue</t>
  </si>
  <si>
    <t>Welfare reforms</t>
  </si>
  <si>
    <t>Meeting bills</t>
  </si>
  <si>
    <t>Accessing social care</t>
  </si>
  <si>
    <t>Disability access to services for my Mum</t>
  </si>
  <si>
    <t>Discrimination leading to a court case</t>
  </si>
  <si>
    <t>Leasehold</t>
  </si>
  <si>
    <t>Legal Action</t>
  </si>
  <si>
    <t>claiming benefit when seriously ill</t>
  </si>
  <si>
    <t>Access health and caring services</t>
  </si>
  <si>
    <t>Accessing Health Care</t>
  </si>
  <si>
    <t>discrimination</t>
  </si>
  <si>
    <t>mortgage</t>
  </si>
  <si>
    <t>Ongoing problems with neighbour abuse</t>
  </si>
  <si>
    <t>housing issues</t>
  </si>
  <si>
    <t>relationships</t>
  </si>
  <si>
    <t>education</t>
  </si>
  <si>
    <t>neighbours</t>
  </si>
  <si>
    <t>Health Care</t>
  </si>
  <si>
    <t>Sorting out tax credits</t>
  </si>
  <si>
    <t>tenancy problems</t>
  </si>
  <si>
    <t>trying to claim benefits</t>
  </si>
  <si>
    <t>welfare benefits claim</t>
  </si>
  <si>
    <t>tax credits (welfare benefits)</t>
  </si>
  <si>
    <t>noisy neighbours family health prblems</t>
  </si>
  <si>
    <t>Accessing health or caring service</t>
  </si>
  <si>
    <t>temporary accomadation</t>
  </si>
  <si>
    <t>unlawful legal action regarding a mortgage</t>
  </si>
  <si>
    <t>relationship breakdown</t>
  </si>
  <si>
    <t>Judges ignoring legislation</t>
  </si>
  <si>
    <t>goods and sercvices</t>
  </si>
  <si>
    <t>buying goods (secondhand car)</t>
  </si>
  <si>
    <t>Employment issues</t>
  </si>
  <si>
    <t>My childs school</t>
  </si>
  <si>
    <t>a desabled dependant trapped in finance</t>
  </si>
  <si>
    <t>money; school heirarchy; prejudice</t>
  </si>
  <si>
    <t>All of them</t>
  </si>
  <si>
    <t>money; school heirarchy; prejudice &amp; fear mongery</t>
  </si>
  <si>
    <t>Family issues</t>
  </si>
  <si>
    <t>Welfare reform</t>
  </si>
  <si>
    <t>Nuisance phone calls from a call centre in Glasgow</t>
  </si>
  <si>
    <t>benefit claim</t>
  </si>
  <si>
    <t>Problems with employer</t>
  </si>
  <si>
    <t>legal action involving a civil court or tribunal</t>
  </si>
  <si>
    <t>Family Breakdown.</t>
  </si>
  <si>
    <t>Tenancy problems</t>
  </si>
  <si>
    <t>Problems at Work</t>
  </si>
  <si>
    <t>N/A</t>
  </si>
  <si>
    <t>Code</t>
  </si>
  <si>
    <t>Category</t>
  </si>
  <si>
    <t>TAX</t>
  </si>
  <si>
    <t>EDUCATION</t>
  </si>
  <si>
    <t>Other option</t>
  </si>
  <si>
    <t>WELFARE BENEFITS</t>
  </si>
  <si>
    <t>HOUSING ISSUES</t>
  </si>
  <si>
    <t>EMPLOYMENT ISSUES</t>
  </si>
  <si>
    <t>FAMILY / RELATIONSHIPS</t>
  </si>
  <si>
    <t>IMMIGRATION / NATIONALITY</t>
  </si>
  <si>
    <t>CONSUMER</t>
  </si>
  <si>
    <t xml:space="preserve">DISCRIMINATION </t>
  </si>
  <si>
    <t>COMMUNITY</t>
  </si>
  <si>
    <t xml:space="preserve">LEGAL </t>
  </si>
  <si>
    <t>POLICE / CRIMINAL</t>
  </si>
  <si>
    <t>Response is unusable</t>
  </si>
  <si>
    <t>Problems with neighbours or other community members, 
community bullying, 
neighbours anti-social &amp; breaking law</t>
  </si>
  <si>
    <t>Problems with the Police or criminal proceedings
Harrassment from police
police breakins (RIPA)to steal evidence</t>
  </si>
  <si>
    <t>HEALTH / CARING SERVICES / SOCIAL SERVICES</t>
  </si>
  <si>
    <t>e.g work, school or elsewhere
Devon &amp; Cornwall Police Homophobia &amp; Dishonesty</t>
  </si>
  <si>
    <t>Response (n=x)</t>
  </si>
  <si>
    <t>Problems at work / with your employer
Finding employment / Zero Hour contract / having to apply for jobs that not suitable
Unemployment
Work place bullying
PROBLES AT WORK AS PERPETUAL PARALEGAL</t>
  </si>
  <si>
    <t xml:space="preserve">Accessing health, mental or caring services
Discharged from mental health services
Getting appropriate NHS help
</t>
  </si>
  <si>
    <t>Legal action involving a civil court or tribunal
Legal action with ex partner
Leasehold</t>
  </si>
  <si>
    <t>eg self-assessment, Incorrect tax code, tax credits</t>
  </si>
  <si>
    <t>over-crowding or tenancy agreement
rent issues 
bedroom tax
Revenge Lease from previous freeholder
Housing Association maintenance services
temporary accomadation</t>
  </si>
  <si>
    <t>Children still living at home
Bereavement
Ex-partners maintenance payments
Divorce
Relationship breakdown</t>
  </si>
  <si>
    <t>Debts or meeting bills
Bailiff problems
Mortgage</t>
  </si>
  <si>
    <t>Total</t>
  </si>
  <si>
    <t>Theme</t>
  </si>
  <si>
    <t>%</t>
  </si>
  <si>
    <t>Total (excluding N/A response)</t>
  </si>
  <si>
    <t>No of problems</t>
  </si>
  <si>
    <t>Unique ID</t>
  </si>
  <si>
    <t>P1.2027</t>
  </si>
  <si>
    <t>P1.2006</t>
  </si>
  <si>
    <t>P1.1944</t>
  </si>
  <si>
    <t>P1.1938</t>
  </si>
  <si>
    <t>P1.1447</t>
  </si>
  <si>
    <t>P1.1446</t>
  </si>
  <si>
    <t>P1.1445</t>
  </si>
  <si>
    <t>P1.2048</t>
  </si>
  <si>
    <t>P1.2018</t>
  </si>
  <si>
    <t>P1.1966</t>
  </si>
  <si>
    <t>P1.1967</t>
  </si>
  <si>
    <t>P1.1957</t>
  </si>
  <si>
    <t>P1.1939</t>
  </si>
  <si>
    <t>P1.1937</t>
  </si>
  <si>
    <t>P1.1002</t>
  </si>
  <si>
    <t>P1.1001</t>
  </si>
  <si>
    <t>P1.1000</t>
  </si>
  <si>
    <t>P1.1004</t>
  </si>
  <si>
    <t>P1.1007</t>
  </si>
  <si>
    <t>P1.1011</t>
  </si>
  <si>
    <t>P1.1018</t>
  </si>
  <si>
    <t>P1.1022</t>
  </si>
  <si>
    <t>P1.1043</t>
  </si>
  <si>
    <t>P1.108</t>
  </si>
  <si>
    <t>P1.110</t>
  </si>
  <si>
    <t>P1.1053</t>
  </si>
  <si>
    <t>P1.1051</t>
  </si>
  <si>
    <t>P1.1062</t>
  </si>
  <si>
    <t>P1.1069</t>
  </si>
  <si>
    <t>P1.1101</t>
  </si>
  <si>
    <t>P1.113</t>
  </si>
  <si>
    <t>P1.1109</t>
  </si>
  <si>
    <t>P1.1115</t>
  </si>
  <si>
    <t>P1.1127</t>
  </si>
  <si>
    <t>P1.1131</t>
  </si>
  <si>
    <t>P1.1155</t>
  </si>
  <si>
    <t>P1.1163</t>
  </si>
  <si>
    <t>P1.1164</t>
  </si>
  <si>
    <t>P1.1165</t>
  </si>
  <si>
    <t>P1.1173</t>
  </si>
  <si>
    <t>P1.1192</t>
  </si>
  <si>
    <t>P1.1204</t>
  </si>
  <si>
    <t>P1.1205</t>
  </si>
  <si>
    <t>P1.123</t>
  </si>
  <si>
    <t>P1.124</t>
  </si>
  <si>
    <t>P1.1218</t>
  </si>
  <si>
    <t>P1.1223</t>
  </si>
  <si>
    <t>P1.1237</t>
  </si>
  <si>
    <t>P1.1239</t>
  </si>
  <si>
    <t>P1.1236</t>
  </si>
  <si>
    <t>P1.1248</t>
  </si>
  <si>
    <t>P1.1255</t>
  </si>
  <si>
    <t>P1.1262</t>
  </si>
  <si>
    <t>P1.1273</t>
  </si>
  <si>
    <t>P1.1275</t>
  </si>
  <si>
    <t>P1.1278</t>
  </si>
  <si>
    <t>P1.1287</t>
  </si>
  <si>
    <t>P1.1297</t>
  </si>
  <si>
    <t>P1.132</t>
  </si>
  <si>
    <t>P1.1299</t>
  </si>
  <si>
    <t>P1.1304</t>
  </si>
  <si>
    <t>P1.1310</t>
  </si>
  <si>
    <t>P1.1322</t>
  </si>
  <si>
    <t>P1.1343</t>
  </si>
  <si>
    <t>P1.1341</t>
  </si>
  <si>
    <t>P1.1352</t>
  </si>
  <si>
    <t>P1.1350</t>
  </si>
  <si>
    <t>P1.1364</t>
  </si>
  <si>
    <t>P1.1366</t>
  </si>
  <si>
    <t>P1.1390</t>
  </si>
  <si>
    <t>P1.1385</t>
  </si>
  <si>
    <t>P1.1410</t>
  </si>
  <si>
    <t>P1.140</t>
  </si>
  <si>
    <t>P1.138</t>
  </si>
  <si>
    <t>P1.139</t>
  </si>
  <si>
    <t>P1.137</t>
  </si>
  <si>
    <t>P1.1424</t>
  </si>
  <si>
    <t>P1.1428</t>
  </si>
  <si>
    <t>P1.1441</t>
  </si>
  <si>
    <t>P1.1433</t>
  </si>
  <si>
    <t>P1.1437</t>
  </si>
  <si>
    <t>P1.2046</t>
  </si>
  <si>
    <t>P1.1135</t>
  </si>
  <si>
    <t>P1.1241</t>
  </si>
  <si>
    <t>P1.1279</t>
  </si>
  <si>
    <t>P1.1289</t>
  </si>
  <si>
    <t>P1.1306</t>
  </si>
  <si>
    <t>P1.1389</t>
  </si>
  <si>
    <t>P1.1440</t>
  </si>
  <si>
    <t>P1.1448</t>
  </si>
  <si>
    <t>P1.1449</t>
  </si>
  <si>
    <t>P1.1451</t>
  </si>
  <si>
    <t>P1.1452</t>
  </si>
  <si>
    <t>P1.1450</t>
  </si>
  <si>
    <t>P1.1453</t>
  </si>
  <si>
    <t>P1.1460</t>
  </si>
  <si>
    <t>P1.1456</t>
  </si>
  <si>
    <t>P1.1459</t>
  </si>
  <si>
    <t>P1.1461</t>
  </si>
  <si>
    <t>P1.1466</t>
  </si>
  <si>
    <t>P1.1464</t>
  </si>
  <si>
    <t>P1.1470</t>
  </si>
  <si>
    <t>P1.158</t>
  </si>
  <si>
    <t>P1.149</t>
  </si>
  <si>
    <t>P1.147</t>
  </si>
  <si>
    <t>P1.1476</t>
  </si>
  <si>
    <t>P1.1474</t>
  </si>
  <si>
    <t>P1.1480</t>
  </si>
  <si>
    <t>P1.1486</t>
  </si>
  <si>
    <t>P1.1485</t>
  </si>
  <si>
    <t>P1.1484</t>
  </si>
  <si>
    <t>P1.1483</t>
  </si>
  <si>
    <t>P1.1481</t>
  </si>
  <si>
    <t>P1.1512</t>
  </si>
  <si>
    <t>P1.1515</t>
  </si>
  <si>
    <t>P1.1524</t>
  </si>
  <si>
    <t>P1.1547</t>
  </si>
  <si>
    <t>P1.1552</t>
  </si>
  <si>
    <t>P1.1577</t>
  </si>
  <si>
    <t>P1.160</t>
  </si>
  <si>
    <t>P1.156</t>
  </si>
  <si>
    <t>P1.1587</t>
  </si>
  <si>
    <t>P1.1589</t>
  </si>
  <si>
    <t>P1.1600</t>
  </si>
  <si>
    <t>P1.1605</t>
  </si>
  <si>
    <t>P1.1616</t>
  </si>
  <si>
    <t>P1.1626</t>
  </si>
  <si>
    <t>P1.1632</t>
  </si>
  <si>
    <t>P1.1644</t>
  </si>
  <si>
    <t>P1.1653</t>
  </si>
  <si>
    <t>P1.1654</t>
  </si>
  <si>
    <t>P1.1655</t>
  </si>
  <si>
    <t>P1.1661</t>
  </si>
  <si>
    <t>P1.1656</t>
  </si>
  <si>
    <t>P1.165</t>
  </si>
  <si>
    <t>P1.1660</t>
  </si>
  <si>
    <t>P1.1659</t>
  </si>
  <si>
    <t>P1.1658</t>
  </si>
  <si>
    <t>P1.1679</t>
  </si>
  <si>
    <t>P1.1677</t>
  </si>
  <si>
    <t>P1.171</t>
  </si>
  <si>
    <t>P1.172</t>
  </si>
  <si>
    <t>P1.169</t>
  </si>
  <si>
    <t>P1.1739</t>
  </si>
  <si>
    <t>P1.1734</t>
  </si>
  <si>
    <t>P1.179</t>
  </si>
  <si>
    <t>P1.174</t>
  </si>
  <si>
    <t>P1.1777</t>
  </si>
  <si>
    <t>P1.1778</t>
  </si>
  <si>
    <t>P1.1775</t>
  </si>
  <si>
    <t>P1.190</t>
  </si>
  <si>
    <t>P1.181</t>
  </si>
  <si>
    <t>P1.1793</t>
  </si>
  <si>
    <t>P1.1810</t>
  </si>
  <si>
    <t>P1.1828</t>
  </si>
  <si>
    <t>P1.1835</t>
  </si>
  <si>
    <t>P1.186</t>
  </si>
  <si>
    <t>P1.1850</t>
  </si>
  <si>
    <t>P1.1851</t>
  </si>
  <si>
    <t>P1.1847</t>
  </si>
  <si>
    <t>P1.1861</t>
  </si>
  <si>
    <t>P1.1872</t>
  </si>
  <si>
    <t>P1.1877</t>
  </si>
  <si>
    <t>P1.1886</t>
  </si>
  <si>
    <t>P1.1900</t>
  </si>
  <si>
    <t>P1.195</t>
  </si>
  <si>
    <t>P1.193</t>
  </si>
  <si>
    <t>P1.194</t>
  </si>
  <si>
    <t>P1.1913</t>
  </si>
  <si>
    <t>P1.1916</t>
  </si>
  <si>
    <t>P1.1935</t>
  </si>
  <si>
    <t>P1.200</t>
  </si>
  <si>
    <t>P1.204</t>
  </si>
  <si>
    <t>P1.214</t>
  </si>
  <si>
    <t>P1.210</t>
  </si>
  <si>
    <t>P1.219</t>
  </si>
  <si>
    <t>P1.221</t>
  </si>
  <si>
    <t>P1.232</t>
  </si>
  <si>
    <t>P1.233</t>
  </si>
  <si>
    <t>P1.240</t>
  </si>
  <si>
    <t>P1.235</t>
  </si>
  <si>
    <t>P1.239</t>
  </si>
  <si>
    <t>P1.243</t>
  </si>
  <si>
    <t>P1.242</t>
  </si>
  <si>
    <t>P1.237</t>
  </si>
  <si>
    <t>P1.23</t>
  </si>
  <si>
    <t>P1.245</t>
  </si>
  <si>
    <t>P1.241</t>
  </si>
  <si>
    <t>P1.246</t>
  </si>
  <si>
    <t>P1.247</t>
  </si>
  <si>
    <t>P1.39</t>
  </si>
  <si>
    <t>P1.25</t>
  </si>
  <si>
    <t>P1.251</t>
  </si>
  <si>
    <t>P1.262</t>
  </si>
  <si>
    <t>P1.280</t>
  </si>
  <si>
    <t>P1.285</t>
  </si>
  <si>
    <t>P1.283</t>
  </si>
  <si>
    <t>P1.287</t>
  </si>
  <si>
    <t>P1.288</t>
  </si>
  <si>
    <t>P1.293</t>
  </si>
  <si>
    <t>P1.290</t>
  </si>
  <si>
    <t>P1.297</t>
  </si>
  <si>
    <t>P1.302</t>
  </si>
  <si>
    <t>P1.299</t>
  </si>
  <si>
    <t>P1.315</t>
  </si>
  <si>
    <t>P1.31</t>
  </si>
  <si>
    <t>P1.332</t>
  </si>
  <si>
    <t>P1.329</t>
  </si>
  <si>
    <t>P1.330</t>
  </si>
  <si>
    <t>P1.324</t>
  </si>
  <si>
    <t>P1.325</t>
  </si>
  <si>
    <t>P1.334</t>
  </si>
  <si>
    <t>P1.333</t>
  </si>
  <si>
    <t>P1.436</t>
  </si>
  <si>
    <t>P1.342</t>
  </si>
  <si>
    <t>P1.343</t>
  </si>
  <si>
    <t>P1.339</t>
  </si>
  <si>
    <t>P1.337</t>
  </si>
  <si>
    <t>P1.347</t>
  </si>
  <si>
    <t>P1.350</t>
  </si>
  <si>
    <t>P1.352</t>
  </si>
  <si>
    <t>P1.357</t>
  </si>
  <si>
    <t>P1.361</t>
  </si>
  <si>
    <t>P1.366</t>
  </si>
  <si>
    <t>P1.369</t>
  </si>
  <si>
    <t>P1.394</t>
  </si>
  <si>
    <t>P1.403</t>
  </si>
  <si>
    <t>P1.406</t>
  </si>
  <si>
    <t>P1.65</t>
  </si>
  <si>
    <t>P1.412</t>
  </si>
  <si>
    <t>P1.421</t>
  </si>
  <si>
    <t>P1.1457</t>
  </si>
  <si>
    <t>P1.1579</t>
  </si>
  <si>
    <t>P1.175</t>
  </si>
  <si>
    <t>P1.1849</t>
  </si>
  <si>
    <t>P1.1876</t>
  </si>
  <si>
    <t>P1.197</t>
  </si>
  <si>
    <t>P1.207</t>
  </si>
  <si>
    <t>P1.217</t>
  </si>
  <si>
    <t>P1.336</t>
  </si>
  <si>
    <t>P1.341</t>
  </si>
  <si>
    <t>P1.362</t>
  </si>
  <si>
    <t>P1.38</t>
  </si>
  <si>
    <t>P1.44</t>
  </si>
  <si>
    <t>P1.435</t>
  </si>
  <si>
    <t>P1.439</t>
  </si>
  <si>
    <t>P1.443</t>
  </si>
  <si>
    <t>P1.441</t>
  </si>
  <si>
    <t>P1.440</t>
  </si>
  <si>
    <t>P1.468</t>
  </si>
  <si>
    <t>P1.473</t>
  </si>
  <si>
    <t>P1.475</t>
  </si>
  <si>
    <t>P1.487</t>
  </si>
  <si>
    <t>P1.480</t>
  </si>
  <si>
    <t>P1.484</t>
  </si>
  <si>
    <t>P1.491</t>
  </si>
  <si>
    <t>P1.502</t>
  </si>
  <si>
    <t>P1.505</t>
  </si>
  <si>
    <t>P1.504</t>
  </si>
  <si>
    <t>P1.528</t>
  </si>
  <si>
    <t>P1.60</t>
  </si>
  <si>
    <t>P1.542</t>
  </si>
  <si>
    <t>P1.556</t>
  </si>
  <si>
    <t>P1.560</t>
  </si>
  <si>
    <t>P1.558</t>
  </si>
  <si>
    <t>P1.55</t>
  </si>
  <si>
    <t>P1.563</t>
  </si>
  <si>
    <t>P1.62</t>
  </si>
  <si>
    <t>P1.59</t>
  </si>
  <si>
    <t>P1.571</t>
  </si>
  <si>
    <t>P1.569</t>
  </si>
  <si>
    <t>P1.568</t>
  </si>
  <si>
    <t>P1.573</t>
  </si>
  <si>
    <t>P1.583</t>
  </si>
  <si>
    <t>P1.579</t>
  </si>
  <si>
    <t>P1.596</t>
  </si>
  <si>
    <t>P1.619</t>
  </si>
  <si>
    <t>P1.631</t>
  </si>
  <si>
    <t>P1.625</t>
  </si>
  <si>
    <t>P1.633</t>
  </si>
  <si>
    <t>P1.634</t>
  </si>
  <si>
    <t>P1.629</t>
  </si>
  <si>
    <t>P1.647</t>
  </si>
  <si>
    <t>P1.666</t>
  </si>
  <si>
    <t>P1.83</t>
  </si>
  <si>
    <t>P1.677</t>
  </si>
  <si>
    <t>P1.688</t>
  </si>
  <si>
    <t>P1.72</t>
  </si>
  <si>
    <t>P1.707</t>
  </si>
  <si>
    <t>P1.710</t>
  </si>
  <si>
    <t>P1.712</t>
  </si>
  <si>
    <t>P1.728</t>
  </si>
  <si>
    <t>P1.78</t>
  </si>
  <si>
    <t>P1.733</t>
  </si>
  <si>
    <t>P1.732</t>
  </si>
  <si>
    <t>P1.738</t>
  </si>
  <si>
    <t>P1.744</t>
  </si>
  <si>
    <t>P1.77</t>
  </si>
  <si>
    <t>P1.80</t>
  </si>
  <si>
    <t>P1.753</t>
  </si>
  <si>
    <t>P1.756</t>
  </si>
  <si>
    <t>P1.767</t>
  </si>
  <si>
    <t>P1.778</t>
  </si>
  <si>
    <t>P1.177</t>
  </si>
  <si>
    <t>P1.222</t>
  </si>
  <si>
    <t>P1.582</t>
  </si>
  <si>
    <t>P1.64</t>
  </si>
  <si>
    <t>P1.668</t>
  </si>
  <si>
    <t>P1.777</t>
  </si>
  <si>
    <t>P1.783</t>
  </si>
  <si>
    <t>P1.787</t>
  </si>
  <si>
    <t>P1.790</t>
  </si>
  <si>
    <t>P1.786</t>
  </si>
  <si>
    <t>P1.795</t>
  </si>
  <si>
    <t>P1.79</t>
  </si>
  <si>
    <t>P1.804</t>
  </si>
  <si>
    <t>P1.809</t>
  </si>
  <si>
    <t>P1.812</t>
  </si>
  <si>
    <t>P1.816</t>
  </si>
  <si>
    <t>P1.821</t>
  </si>
  <si>
    <t>P1.833</t>
  </si>
  <si>
    <t>P1.825</t>
  </si>
  <si>
    <t>P1.827</t>
  </si>
  <si>
    <t>P1.828</t>
  </si>
  <si>
    <t>P1.834</t>
  </si>
  <si>
    <t>P1.841</t>
  </si>
  <si>
    <t>P1.839</t>
  </si>
  <si>
    <t>P1.838</t>
  </si>
  <si>
    <t>P1.844</t>
  </si>
  <si>
    <t>P1.855</t>
  </si>
  <si>
    <t>P1.858</t>
  </si>
  <si>
    <t>P1.868</t>
  </si>
  <si>
    <t>P1.92</t>
  </si>
  <si>
    <t>P1.877</t>
  </si>
  <si>
    <t>P1.86</t>
  </si>
  <si>
    <t>P1.884</t>
  </si>
  <si>
    <t>P1.93</t>
  </si>
  <si>
    <t>P1.91</t>
  </si>
  <si>
    <t>P1.893</t>
  </si>
  <si>
    <t>P1.896</t>
  </si>
  <si>
    <t>P1.895</t>
  </si>
  <si>
    <t>P1.902</t>
  </si>
  <si>
    <t>P1.923</t>
  </si>
  <si>
    <t>P1.926</t>
  </si>
  <si>
    <t>P1.96</t>
  </si>
  <si>
    <t>P1.942</t>
  </si>
  <si>
    <t>P1.121</t>
  </si>
  <si>
    <t>P1.102</t>
  </si>
  <si>
    <t>P1.101</t>
  </si>
  <si>
    <t>P1.95</t>
  </si>
  <si>
    <t>P1.970</t>
  </si>
  <si>
    <t>P1.975</t>
  </si>
  <si>
    <t>P1.98</t>
  </si>
  <si>
    <t>P1.792</t>
  </si>
  <si>
    <t>P1.832</t>
  </si>
  <si>
    <t>P1.860</t>
  </si>
  <si>
    <t>P1.974</t>
  </si>
  <si>
    <t>P1.973</t>
  </si>
  <si>
    <t>P1.982</t>
  </si>
  <si>
    <t>P1.983</t>
  </si>
  <si>
    <t>P1.993</t>
  </si>
  <si>
    <t>P1.990</t>
  </si>
  <si>
    <t>P1.995</t>
  </si>
  <si>
    <t>P1.998</t>
  </si>
  <si>
    <t>P1.01</t>
  </si>
  <si>
    <t>P1.02</t>
  </si>
  <si>
    <t>P1.03</t>
  </si>
  <si>
    <t>P1.04</t>
  </si>
  <si>
    <t>P1.05</t>
  </si>
  <si>
    <t>P1.06</t>
  </si>
  <si>
    <t>P1.07</t>
  </si>
  <si>
    <t>P1.08</t>
  </si>
  <si>
    <t>P1.09</t>
  </si>
  <si>
    <t>P1.10</t>
  </si>
  <si>
    <t>P1.11</t>
  </si>
  <si>
    <t>P1.12</t>
  </si>
  <si>
    <t>P1.13</t>
  </si>
  <si>
    <t>P1.14</t>
  </si>
  <si>
    <t>P1.15</t>
  </si>
  <si>
    <t>P1.16</t>
  </si>
  <si>
    <t>P1.17</t>
  </si>
  <si>
    <t>P1.18</t>
  </si>
  <si>
    <t>P1.19</t>
  </si>
  <si>
    <t>P1.20</t>
  </si>
  <si>
    <t>P1.21</t>
  </si>
  <si>
    <t>P1.22</t>
  </si>
  <si>
    <t>P1.24</t>
  </si>
  <si>
    <t>P1.26</t>
  </si>
  <si>
    <t>P1.27</t>
  </si>
  <si>
    <t>P1.28</t>
  </si>
  <si>
    <t>P1.30</t>
  </si>
  <si>
    <t>P1.32</t>
  </si>
  <si>
    <t>P1.33</t>
  </si>
  <si>
    <t>P1.34</t>
  </si>
  <si>
    <t>P1.35</t>
  </si>
  <si>
    <t>P1.36</t>
  </si>
  <si>
    <t>P1.37</t>
  </si>
  <si>
    <t>P1.40</t>
  </si>
  <si>
    <t>P1.41</t>
  </si>
  <si>
    <t>P1.42</t>
  </si>
  <si>
    <t>P1.43</t>
  </si>
  <si>
    <t>P1.45</t>
  </si>
  <si>
    <t>P1.46</t>
  </si>
  <si>
    <t>P1.47</t>
  </si>
  <si>
    <t>P1.48</t>
  </si>
  <si>
    <t>P1.49</t>
  </si>
  <si>
    <t>P1.50</t>
  </si>
  <si>
    <t>P1.51</t>
  </si>
  <si>
    <t>P1.53</t>
  </si>
  <si>
    <t>P1.54</t>
  </si>
  <si>
    <t>P1.56</t>
  </si>
  <si>
    <t>P1.57</t>
  </si>
  <si>
    <t>P1.58</t>
  </si>
  <si>
    <t>P1.61</t>
  </si>
  <si>
    <t>P1.63</t>
  </si>
  <si>
    <t>P1.66</t>
  </si>
  <si>
    <t>P1.67</t>
  </si>
  <si>
    <t>P1.68</t>
  </si>
  <si>
    <t>P1.69</t>
  </si>
  <si>
    <t>P1.71</t>
  </si>
  <si>
    <t>P1.73</t>
  </si>
  <si>
    <t>P1.74</t>
  </si>
  <si>
    <t>P1.75</t>
  </si>
  <si>
    <t>P1.76</t>
  </si>
  <si>
    <t>P1.81</t>
  </si>
  <si>
    <t>P1.82</t>
  </si>
  <si>
    <t>P1.84</t>
  </si>
  <si>
    <t>P1.85</t>
  </si>
  <si>
    <t>P1.87</t>
  </si>
  <si>
    <t>P1.88</t>
  </si>
  <si>
    <t>P1.89</t>
  </si>
  <si>
    <t>P1.90</t>
  </si>
  <si>
    <t>P1.94</t>
  </si>
  <si>
    <t>P1.97</t>
  </si>
  <si>
    <t>P1.99</t>
  </si>
  <si>
    <t>P1.103</t>
  </si>
  <si>
    <t>P1.104</t>
  </si>
  <si>
    <t>P1.105</t>
  </si>
  <si>
    <t>P1.106</t>
  </si>
  <si>
    <t>P1.107</t>
  </si>
  <si>
    <t>P1.109</t>
  </si>
  <si>
    <t>P1.111</t>
  </si>
  <si>
    <t>P1.112</t>
  </si>
  <si>
    <t>P1.114</t>
  </si>
  <si>
    <t>P1.115</t>
  </si>
  <si>
    <t>P1.117</t>
  </si>
  <si>
    <t>P1.118</t>
  </si>
  <si>
    <t>P1.119</t>
  </si>
  <si>
    <t>P1.120</t>
  </si>
  <si>
    <t>P1.122</t>
  </si>
  <si>
    <t>P1.125</t>
  </si>
  <si>
    <t>P1.126</t>
  </si>
  <si>
    <t>P1.127</t>
  </si>
  <si>
    <t>P1.128</t>
  </si>
  <si>
    <t>P1.129</t>
  </si>
  <si>
    <t>P1.130</t>
  </si>
  <si>
    <t>P1.131</t>
  </si>
  <si>
    <t>P1.133</t>
  </si>
  <si>
    <t>P1.134</t>
  </si>
  <si>
    <t>P1.141</t>
  </si>
  <si>
    <t>P1.142</t>
  </si>
  <si>
    <t>P1.143</t>
  </si>
  <si>
    <t>P1.144</t>
  </si>
  <si>
    <t>P1.145</t>
  </si>
  <si>
    <t>P1.146</t>
  </si>
  <si>
    <t>P1.148</t>
  </si>
  <si>
    <t>P1.150</t>
  </si>
  <si>
    <t>P1.152</t>
  </si>
  <si>
    <t>P1.151</t>
  </si>
  <si>
    <t>P1.155</t>
  </si>
  <si>
    <t>P1.157</t>
  </si>
  <si>
    <t>P1.159</t>
  </si>
  <si>
    <t>P1.161</t>
  </si>
  <si>
    <t>P1.162</t>
  </si>
  <si>
    <t>P1.164</t>
  </si>
  <si>
    <t>P1.166</t>
  </si>
  <si>
    <t>P1.167</t>
  </si>
  <si>
    <t>P1.168</t>
  </si>
  <si>
    <t>P1.170</t>
  </si>
  <si>
    <t>P1.173</t>
  </si>
  <si>
    <t>P1.176</t>
  </si>
  <si>
    <t>P1.178</t>
  </si>
  <si>
    <t>P1.180</t>
  </si>
  <si>
    <t>P1.182</t>
  </si>
  <si>
    <t>P1.183</t>
  </si>
  <si>
    <t>P1.184</t>
  </si>
  <si>
    <t>P1.187</t>
  </si>
  <si>
    <t>P1.188</t>
  </si>
  <si>
    <t>P1.189</t>
  </si>
  <si>
    <t>P1.191</t>
  </si>
  <si>
    <t>P1.196</t>
  </si>
  <si>
    <t>P1.198</t>
  </si>
  <si>
    <t>P1.199</t>
  </si>
  <si>
    <t>P1.201</t>
  </si>
  <si>
    <t>P1.202</t>
  </si>
  <si>
    <t>P1.205</t>
  </si>
  <si>
    <t>P1.208</t>
  </si>
  <si>
    <t>P1.209</t>
  </si>
  <si>
    <t>P1.211</t>
  </si>
  <si>
    <t>P1.212</t>
  </si>
  <si>
    <t>P1.213</t>
  </si>
  <si>
    <t>P1.215</t>
  </si>
  <si>
    <t>P1.218</t>
  </si>
  <si>
    <t>P1.220</t>
  </si>
  <si>
    <t>P1.223</t>
  </si>
  <si>
    <t>P1.224</t>
  </si>
  <si>
    <t>P1.226</t>
  </si>
  <si>
    <t>P1.227</t>
  </si>
  <si>
    <t>P1.228</t>
  </si>
  <si>
    <t>P1.229</t>
  </si>
  <si>
    <t>P1.230</t>
  </si>
  <si>
    <t>P1.236</t>
  </si>
  <si>
    <t>P1.238</t>
  </si>
  <si>
    <t>P1.244</t>
  </si>
  <si>
    <t>P1.248</t>
  </si>
  <si>
    <t>P1.249</t>
  </si>
  <si>
    <t>P1.250</t>
  </si>
  <si>
    <t>P1.252</t>
  </si>
  <si>
    <t>P1.253</t>
  </si>
  <si>
    <t>P1.254</t>
  </si>
  <si>
    <t>P1.255</t>
  </si>
  <si>
    <t>P1.257</t>
  </si>
  <si>
    <t>P1.258</t>
  </si>
  <si>
    <t>P1.259</t>
  </si>
  <si>
    <t>P1.260</t>
  </si>
  <si>
    <t>P1.261</t>
  </si>
  <si>
    <t>P1.263</t>
  </si>
  <si>
    <t>P1.264</t>
  </si>
  <si>
    <t>P1.265</t>
  </si>
  <si>
    <t>P1.266</t>
  </si>
  <si>
    <t>P1.267</t>
  </si>
  <si>
    <t>P1.268</t>
  </si>
  <si>
    <t>P1.269</t>
  </si>
  <si>
    <t>P1.270</t>
  </si>
  <si>
    <t>P1.271</t>
  </si>
  <si>
    <t>P1.272</t>
  </si>
  <si>
    <t>P1.273</t>
  </si>
  <si>
    <t>P1.274</t>
  </si>
  <si>
    <t>P1.275</t>
  </si>
  <si>
    <t>P1.276</t>
  </si>
  <si>
    <t>P1.277</t>
  </si>
  <si>
    <t>P1.278</t>
  </si>
  <si>
    <t>P1.279</t>
  </si>
  <si>
    <t>P1.281</t>
  </si>
  <si>
    <t>P1.282</t>
  </si>
  <si>
    <t>P1.284</t>
  </si>
  <si>
    <t>P1.289</t>
  </si>
  <si>
    <t>P1.291</t>
  </si>
  <si>
    <t>P1.292</t>
  </si>
  <si>
    <t>P1.295</t>
  </si>
  <si>
    <t>P1.296</t>
  </si>
  <si>
    <t>P1.298</t>
  </si>
  <si>
    <t>P1.300</t>
  </si>
  <si>
    <t>P1.301</t>
  </si>
  <si>
    <t>P1.304</t>
  </si>
  <si>
    <t>P1.305</t>
  </si>
  <si>
    <t>P1.306</t>
  </si>
  <si>
    <t>P1.307</t>
  </si>
  <si>
    <t>P1.308</t>
  </si>
  <si>
    <t>P1.309</t>
  </si>
  <si>
    <t>P1.310</t>
  </si>
  <si>
    <t>P1.311</t>
  </si>
  <si>
    <t>P1.312</t>
  </si>
  <si>
    <t>P1.313</t>
  </si>
  <si>
    <t>P1.314</t>
  </si>
  <si>
    <t>P1.316</t>
  </si>
  <si>
    <t>P1.317</t>
  </si>
  <si>
    <t>P1.318</t>
  </si>
  <si>
    <t>P1.319</t>
  </si>
  <si>
    <t>P1.320</t>
  </si>
  <si>
    <t>P1.321</t>
  </si>
  <si>
    <t>P1.322</t>
  </si>
  <si>
    <t>P1.323</t>
  </si>
  <si>
    <t>P1.326</t>
  </si>
  <si>
    <t>P1.327</t>
  </si>
  <si>
    <t>P1.331</t>
  </si>
  <si>
    <t>P1.335</t>
  </si>
  <si>
    <t>P1.338</t>
  </si>
  <si>
    <t>P1.340</t>
  </si>
  <si>
    <t>P1.344</t>
  </si>
  <si>
    <t>P1.345</t>
  </si>
  <si>
    <t>P1.349</t>
  </si>
  <si>
    <t>P1.353</t>
  </si>
  <si>
    <t>P1.355</t>
  </si>
  <si>
    <t>P1.356</t>
  </si>
  <si>
    <t>P1.358</t>
  </si>
  <si>
    <t>P1.359</t>
  </si>
  <si>
    <t>P1.360</t>
  </si>
  <si>
    <t>P1.363</t>
  </si>
  <si>
    <t>P1.364</t>
  </si>
  <si>
    <t>P1.365</t>
  </si>
  <si>
    <t>P1.367</t>
  </si>
  <si>
    <t>P1.368</t>
  </si>
  <si>
    <t>P1.370</t>
  </si>
  <si>
    <t>P1.372</t>
  </si>
  <si>
    <t>P1.373</t>
  </si>
  <si>
    <t>P1.374</t>
  </si>
  <si>
    <t>P1.375</t>
  </si>
  <si>
    <t>P1.376</t>
  </si>
  <si>
    <t>P1.377</t>
  </si>
  <si>
    <t>P1.379</t>
  </si>
  <si>
    <t>P1.380</t>
  </si>
  <si>
    <t>P1.381</t>
  </si>
  <si>
    <t>P1.383</t>
  </si>
  <si>
    <t>P1.384</t>
  </si>
  <si>
    <t>P1.386</t>
  </si>
  <si>
    <t>P1.387</t>
  </si>
  <si>
    <t>P1.388</t>
  </si>
  <si>
    <t>P1.389</t>
  </si>
  <si>
    <t>P1.390</t>
  </si>
  <si>
    <t>P1.392</t>
  </si>
  <si>
    <t>P1.393</t>
  </si>
  <si>
    <t>P1.395</t>
  </si>
  <si>
    <t>P1.396</t>
  </si>
  <si>
    <t>P1.397</t>
  </si>
  <si>
    <t>P1.398</t>
  </si>
  <si>
    <t>P1.399</t>
  </si>
  <si>
    <t>P1.400</t>
  </si>
  <si>
    <t>P1.402</t>
  </si>
  <si>
    <t>P1.404</t>
  </si>
  <si>
    <t>P1.407</t>
  </si>
  <si>
    <t>P1.408</t>
  </si>
  <si>
    <t>P1.409</t>
  </si>
  <si>
    <t>P1.410</t>
  </si>
  <si>
    <t>P1.411</t>
  </si>
  <si>
    <t>P1.413</t>
  </si>
  <si>
    <t>P1.414</t>
  </si>
  <si>
    <t>P1.415</t>
  </si>
  <si>
    <t>P1.416</t>
  </si>
  <si>
    <t>P1.417</t>
  </si>
  <si>
    <t>P1.418</t>
  </si>
  <si>
    <t>P1.419</t>
  </si>
  <si>
    <t>P1.420</t>
  </si>
  <si>
    <t>P1.422</t>
  </si>
  <si>
    <t>P1.423</t>
  </si>
  <si>
    <t>P1.425</t>
  </si>
  <si>
    <t>P1.426</t>
  </si>
  <si>
    <t>P1.427</t>
  </si>
  <si>
    <t>P1.429</t>
  </si>
  <si>
    <t>P1.430</t>
  </si>
  <si>
    <t>P1.431</t>
  </si>
  <si>
    <t>P1.432</t>
  </si>
  <si>
    <t>P1.433</t>
  </si>
  <si>
    <t>P1.434</t>
  </si>
  <si>
    <t>P1.437</t>
  </si>
  <si>
    <t>P1.438</t>
  </si>
  <si>
    <t>P1.442</t>
  </si>
  <si>
    <t>P1.444</t>
  </si>
  <si>
    <t>P1.445</t>
  </si>
  <si>
    <t>P1.446</t>
  </si>
  <si>
    <t>P1.447</t>
  </si>
  <si>
    <t>P1.448</t>
  </si>
  <si>
    <t>P1.449</t>
  </si>
  <si>
    <t>P1.450</t>
  </si>
  <si>
    <t>P1.451</t>
  </si>
  <si>
    <t>P1.452</t>
  </si>
  <si>
    <t>P1.453</t>
  </si>
  <si>
    <t>P1.454</t>
  </si>
  <si>
    <t>P1.455</t>
  </si>
  <si>
    <t>P1.456</t>
  </si>
  <si>
    <t>P1.457</t>
  </si>
  <si>
    <t>P1.458</t>
  </si>
  <si>
    <t>P1.459</t>
  </si>
  <si>
    <t>P1.460</t>
  </si>
  <si>
    <t>P1.461</t>
  </si>
  <si>
    <t>P1.463</t>
  </si>
  <si>
    <t>P1.464</t>
  </si>
  <si>
    <t>P1.465</t>
  </si>
  <si>
    <t>P1.466</t>
  </si>
  <si>
    <t>P1.467</t>
  </si>
  <si>
    <t>P1.469</t>
  </si>
  <si>
    <t>P1.470</t>
  </si>
  <si>
    <t>P1.471</t>
  </si>
  <si>
    <t>P1.472</t>
  </si>
  <si>
    <t>P1.474</t>
  </si>
  <si>
    <t>P1.476</t>
  </si>
  <si>
    <t>P1.477</t>
  </si>
  <si>
    <t>P1.478</t>
  </si>
  <si>
    <t>P1.479</t>
  </si>
  <si>
    <t>P1.481</t>
  </si>
  <si>
    <t>P1.482</t>
  </si>
  <si>
    <t>P1.483</t>
  </si>
  <si>
    <t>P1.485</t>
  </si>
  <si>
    <t>P1.486</t>
  </si>
  <si>
    <t>P1.488</t>
  </si>
  <si>
    <t>P1.489</t>
  </si>
  <si>
    <t>P1.492</t>
  </si>
  <si>
    <t>P1.493</t>
  </si>
  <si>
    <t>P1.494</t>
  </si>
  <si>
    <t>P1.495</t>
  </si>
  <si>
    <t>P1.496</t>
  </si>
  <si>
    <t>P1.498</t>
  </si>
  <si>
    <t>P1.499</t>
  </si>
  <si>
    <t>P1.500</t>
  </si>
  <si>
    <t>P1.501</t>
  </si>
  <si>
    <t>P1.503</t>
  </si>
  <si>
    <t>P1.506</t>
  </si>
  <si>
    <t>P1.507</t>
  </si>
  <si>
    <t>P1.508</t>
  </si>
  <si>
    <t>P1.509</t>
  </si>
  <si>
    <t>P1.510</t>
  </si>
  <si>
    <t>P1.511</t>
  </si>
  <si>
    <t>P1.512</t>
  </si>
  <si>
    <t>P1.513</t>
  </si>
  <si>
    <t>P1.514</t>
  </si>
  <si>
    <t>P1.515</t>
  </si>
  <si>
    <t>P1.516</t>
  </si>
  <si>
    <t>P1.517</t>
  </si>
  <si>
    <t>P1.518</t>
  </si>
  <si>
    <t>P1.519</t>
  </si>
  <si>
    <t>P1.520</t>
  </si>
  <si>
    <t>P1.521</t>
  </si>
  <si>
    <t>P1.522</t>
  </si>
  <si>
    <t>P1.523</t>
  </si>
  <si>
    <t>P1.524</t>
  </si>
  <si>
    <t>P1.525</t>
  </si>
  <si>
    <t>P1.526</t>
  </si>
  <si>
    <t>P1.527</t>
  </si>
  <si>
    <t>P1.529</t>
  </si>
  <si>
    <t>P1.530</t>
  </si>
  <si>
    <t>P1.531</t>
  </si>
  <si>
    <t>P1.532</t>
  </si>
  <si>
    <t>P1.533</t>
  </si>
  <si>
    <t>P1.534</t>
  </si>
  <si>
    <t>P1.536</t>
  </si>
  <si>
    <t>P1.537</t>
  </si>
  <si>
    <t>P1.538</t>
  </si>
  <si>
    <t>P1.539</t>
  </si>
  <si>
    <t>P1.540</t>
  </si>
  <si>
    <t>P1.541</t>
  </si>
  <si>
    <t>P1.543</t>
  </si>
  <si>
    <t>P1.544</t>
  </si>
  <si>
    <t>P1.545</t>
  </si>
  <si>
    <t>P1.546</t>
  </si>
  <si>
    <t>P1.547</t>
  </si>
  <si>
    <t>P1.549</t>
  </si>
  <si>
    <t>P1.550</t>
  </si>
  <si>
    <t>P1.548</t>
  </si>
  <si>
    <t>P1.552</t>
  </si>
  <si>
    <t>P1.553</t>
  </si>
  <si>
    <t>P1.554</t>
  </si>
  <si>
    <t>P1.555</t>
  </si>
  <si>
    <t>P1.557</t>
  </si>
  <si>
    <t>P1.559</t>
  </si>
  <si>
    <t>P1.561</t>
  </si>
  <si>
    <t>P1.562</t>
  </si>
  <si>
    <t>P1.564</t>
  </si>
  <si>
    <t>P1.565</t>
  </si>
  <si>
    <t>P1.566</t>
  </si>
  <si>
    <t>P1.567</t>
  </si>
  <si>
    <t>P1.572</t>
  </si>
  <si>
    <t>P1.574</t>
  </si>
  <si>
    <t>P1.575</t>
  </si>
  <si>
    <t>P1.576</t>
  </si>
  <si>
    <t>P1.577</t>
  </si>
  <si>
    <t>P1.580</t>
  </si>
  <si>
    <t>P1.581</t>
  </si>
  <si>
    <t>P1.584</t>
  </si>
  <si>
    <t>P1.585</t>
  </si>
  <si>
    <t>P1.586</t>
  </si>
  <si>
    <t>P1.587</t>
  </si>
  <si>
    <t>P1.588</t>
  </si>
  <si>
    <t>P1.589</t>
  </si>
  <si>
    <t>P1.590</t>
  </si>
  <si>
    <t>P1.591</t>
  </si>
  <si>
    <t>P1.592</t>
  </si>
  <si>
    <t>P1.593</t>
  </si>
  <si>
    <t>P1.594</t>
  </si>
  <si>
    <t>P1.595</t>
  </si>
  <si>
    <t>P1.597</t>
  </si>
  <si>
    <t>P1.598</t>
  </si>
  <si>
    <t>P1.599</t>
  </si>
  <si>
    <t>P1.600</t>
  </si>
  <si>
    <t>P1.601</t>
  </si>
  <si>
    <t>P1.602</t>
  </si>
  <si>
    <t>P1.603</t>
  </si>
  <si>
    <t>P1.604</t>
  </si>
  <si>
    <t>P1.605</t>
  </si>
  <si>
    <t>P1.606</t>
  </si>
  <si>
    <t>P1.607</t>
  </si>
  <si>
    <t>P1.608</t>
  </si>
  <si>
    <t>P1.609</t>
  </si>
  <si>
    <t>P1.610</t>
  </si>
  <si>
    <t>P1.611</t>
  </si>
  <si>
    <t>P1.612</t>
  </si>
  <si>
    <t>P1.613</t>
  </si>
  <si>
    <t>P1.614</t>
  </si>
  <si>
    <t>P1.615</t>
  </si>
  <si>
    <t>P1.616</t>
  </si>
  <si>
    <t>P1.617</t>
  </si>
  <si>
    <t>P1.618</t>
  </si>
  <si>
    <t>P1.620</t>
  </si>
  <si>
    <t>P1.621</t>
  </si>
  <si>
    <t>P1.622</t>
  </si>
  <si>
    <t>P1.623</t>
  </si>
  <si>
    <t>P1.624</t>
  </si>
  <si>
    <t>P1.626</t>
  </si>
  <si>
    <t>P1.627</t>
  </si>
  <si>
    <t>P1.628</t>
  </si>
  <si>
    <t>P1.630</t>
  </si>
  <si>
    <t>P1.632</t>
  </si>
  <si>
    <t>P1.635</t>
  </si>
  <si>
    <t>P1.637</t>
  </si>
  <si>
    <t>P1.638</t>
  </si>
  <si>
    <t>P1.639</t>
  </si>
  <si>
    <t>P1.640</t>
  </si>
  <si>
    <t>P1.641</t>
  </si>
  <si>
    <t>P1.642</t>
  </si>
  <si>
    <t>P1.644</t>
  </si>
  <si>
    <t>P1.645</t>
  </si>
  <si>
    <t>P1.646</t>
  </si>
  <si>
    <t>P1.648</t>
  </si>
  <si>
    <t>P1.649</t>
  </si>
  <si>
    <t>P1.650</t>
  </si>
  <si>
    <t>P1.651</t>
  </si>
  <si>
    <t>P1.652</t>
  </si>
  <si>
    <t>P1.653</t>
  </si>
  <si>
    <t>P1.654</t>
  </si>
  <si>
    <t>P1.656</t>
  </si>
  <si>
    <t>P1.657</t>
  </si>
  <si>
    <t>P1.658</t>
  </si>
  <si>
    <t>P1.660</t>
  </si>
  <si>
    <t>P1.661</t>
  </si>
  <si>
    <t>P1.662</t>
  </si>
  <si>
    <t>P1.663</t>
  </si>
  <si>
    <t>P1.664</t>
  </si>
  <si>
    <t>P1.665</t>
  </si>
  <si>
    <t>P1.667</t>
  </si>
  <si>
    <t>P1.669</t>
  </si>
  <si>
    <t>P1.670</t>
  </si>
  <si>
    <t>P1.671</t>
  </si>
  <si>
    <t>P1.672</t>
  </si>
  <si>
    <t>P1.673</t>
  </si>
  <si>
    <t>P1.674</t>
  </si>
  <si>
    <t>P1.675</t>
  </si>
  <si>
    <t>P1.676</t>
  </si>
  <si>
    <t>P1.678</t>
  </si>
  <si>
    <t>P1.679</t>
  </si>
  <si>
    <t>P1.680</t>
  </si>
  <si>
    <t>P1.681</t>
  </si>
  <si>
    <t>P1.682</t>
  </si>
  <si>
    <t>P1.683</t>
  </si>
  <si>
    <t>P1.684</t>
  </si>
  <si>
    <t>P1.685</t>
  </si>
  <si>
    <t>P1.686</t>
  </si>
  <si>
    <t>P1.689</t>
  </si>
  <si>
    <t>P1.690</t>
  </si>
  <si>
    <t>P1.691</t>
  </si>
  <si>
    <t>P1.692</t>
  </si>
  <si>
    <t>P1.693</t>
  </si>
  <si>
    <t>P1.694</t>
  </si>
  <si>
    <t>P1.695</t>
  </si>
  <si>
    <t>P1.696</t>
  </si>
  <si>
    <t>P1.697</t>
  </si>
  <si>
    <t>P1.698</t>
  </si>
  <si>
    <t>P1.699</t>
  </si>
  <si>
    <t>P1.700</t>
  </si>
  <si>
    <t>P1.701</t>
  </si>
  <si>
    <t>P1.702</t>
  </si>
  <si>
    <t>P1.703</t>
  </si>
  <si>
    <t>P1.704</t>
  </si>
  <si>
    <t>P1.705</t>
  </si>
  <si>
    <t>P1.706</t>
  </si>
  <si>
    <t>P1.708</t>
  </si>
  <si>
    <t>P1.709</t>
  </si>
  <si>
    <t>P1.711</t>
  </si>
  <si>
    <t>P1.713</t>
  </si>
  <si>
    <t>P1.714</t>
  </si>
  <si>
    <t>P1.715</t>
  </si>
  <si>
    <t>P1.716</t>
  </si>
  <si>
    <t>P1.717</t>
  </si>
  <si>
    <t>P1.718</t>
  </si>
  <si>
    <t>P1.719</t>
  </si>
  <si>
    <t>P1.720</t>
  </si>
  <si>
    <t>P1.721</t>
  </si>
  <si>
    <t>P1.722</t>
  </si>
  <si>
    <t>P1.723</t>
  </si>
  <si>
    <t>P1.724</t>
  </si>
  <si>
    <t>P1.725</t>
  </si>
  <si>
    <t>P1.726</t>
  </si>
  <si>
    <t>P1.727</t>
  </si>
  <si>
    <t>P1.729</t>
  </si>
  <si>
    <t>P1.730</t>
  </si>
  <si>
    <t>P1.731</t>
  </si>
  <si>
    <t>P1.734</t>
  </si>
  <si>
    <t>P1.735</t>
  </si>
  <si>
    <t>P1.736</t>
  </si>
  <si>
    <t>P1.737</t>
  </si>
  <si>
    <t>P1.739</t>
  </si>
  <si>
    <t>P1.740</t>
  </si>
  <si>
    <t>P1.741</t>
  </si>
  <si>
    <t>P1.742</t>
  </si>
  <si>
    <t>P1.743</t>
  </si>
  <si>
    <t>P1.745</t>
  </si>
  <si>
    <t>P1.746</t>
  </si>
  <si>
    <t>P1.747</t>
  </si>
  <si>
    <t>P1.748</t>
  </si>
  <si>
    <t>P1.749</t>
  </si>
  <si>
    <t>P1.750</t>
  </si>
  <si>
    <t>P1.751</t>
  </si>
  <si>
    <t>P1.752</t>
  </si>
  <si>
    <t>P1.754</t>
  </si>
  <si>
    <t>P1.755</t>
  </si>
  <si>
    <t>P1.757</t>
  </si>
  <si>
    <t>P1.758</t>
  </si>
  <si>
    <t>P1.759</t>
  </si>
  <si>
    <t>P1.760</t>
  </si>
  <si>
    <t>P1.761</t>
  </si>
  <si>
    <t>P1.762</t>
  </si>
  <si>
    <t>P1.764</t>
  </si>
  <si>
    <t>P1.765</t>
  </si>
  <si>
    <t>P1.768</t>
  </si>
  <si>
    <t>P1.769</t>
  </si>
  <si>
    <t>P1.770</t>
  </si>
  <si>
    <t>P1.771</t>
  </si>
  <si>
    <t>P1.772</t>
  </si>
  <si>
    <t>P1.773</t>
  </si>
  <si>
    <t>P1.774</t>
  </si>
  <si>
    <t>P1.775</t>
  </si>
  <si>
    <t>P1.776</t>
  </si>
  <si>
    <t>P1.779</t>
  </si>
  <si>
    <t>P1.780</t>
  </si>
  <si>
    <t>P1.781</t>
  </si>
  <si>
    <t>P1.784</t>
  </si>
  <si>
    <t>P1.788</t>
  </si>
  <si>
    <t>P1.789</t>
  </si>
  <si>
    <t>P1.791</t>
  </si>
  <si>
    <t>P1.793</t>
  </si>
  <si>
    <t>P1.794</t>
  </si>
  <si>
    <t>P1.796</t>
  </si>
  <si>
    <t>P1.797</t>
  </si>
  <si>
    <t>P1.798</t>
  </si>
  <si>
    <t>P1.799</t>
  </si>
  <si>
    <t>P1.800</t>
  </si>
  <si>
    <t>P1.801</t>
  </si>
  <si>
    <t>P1.802</t>
  </si>
  <si>
    <t>P1.803</t>
  </si>
  <si>
    <t>P1.805</t>
  </si>
  <si>
    <t>P1.806</t>
  </si>
  <si>
    <t>P1.807</t>
  </si>
  <si>
    <t>P1.808</t>
  </si>
  <si>
    <t>P1.810</t>
  </si>
  <si>
    <t>P1.813</t>
  </si>
  <si>
    <t>P1.814</t>
  </si>
  <si>
    <t>P1.815</t>
  </si>
  <si>
    <t>P1.817</t>
  </si>
  <si>
    <t>P1.818</t>
  </si>
  <si>
    <t>P1.819</t>
  </si>
  <si>
    <t>P1.822</t>
  </si>
  <si>
    <t>P1.823</t>
  </si>
  <si>
    <t>P1.824</t>
  </si>
  <si>
    <t>P1.829</t>
  </si>
  <si>
    <t>P1.830</t>
  </si>
  <si>
    <t>P1.831</t>
  </si>
  <si>
    <t>P1.835</t>
  </si>
  <si>
    <t>P1.836</t>
  </si>
  <si>
    <t>P1.837</t>
  </si>
  <si>
    <t>P1.840</t>
  </si>
  <si>
    <t>P1.842</t>
  </si>
  <si>
    <t>P1.843</t>
  </si>
  <si>
    <t>P1.845</t>
  </si>
  <si>
    <t>P1.846</t>
  </si>
  <si>
    <t>P1.847</t>
  </si>
  <si>
    <t>P1.848</t>
  </si>
  <si>
    <t>P1.849</t>
  </si>
  <si>
    <t>P1.850</t>
  </si>
  <si>
    <t>P1.851</t>
  </si>
  <si>
    <t>P1.852</t>
  </si>
  <si>
    <t>P1.853</t>
  </si>
  <si>
    <t>P1.854</t>
  </si>
  <si>
    <t>P1.856</t>
  </si>
  <si>
    <t>P1.857</t>
  </si>
  <si>
    <t>P1.859</t>
  </si>
  <si>
    <t>P1.861</t>
  </si>
  <si>
    <t>P1.862</t>
  </si>
  <si>
    <t>P1.863</t>
  </si>
  <si>
    <t>P1.864</t>
  </si>
  <si>
    <t>P1.865</t>
  </si>
  <si>
    <t>P1.866</t>
  </si>
  <si>
    <t>P1.867</t>
  </si>
  <si>
    <t>P1.869</t>
  </si>
  <si>
    <t>P1.870</t>
  </si>
  <si>
    <t>P1.871</t>
  </si>
  <si>
    <t>P1.872</t>
  </si>
  <si>
    <t>P1.873</t>
  </si>
  <si>
    <t>P1.874</t>
  </si>
  <si>
    <t>P1.875</t>
  </si>
  <si>
    <t>P1.876</t>
  </si>
  <si>
    <t>P1.878</t>
  </si>
  <si>
    <t>P1.879</t>
  </si>
  <si>
    <t>P1.880</t>
  </si>
  <si>
    <t>P1.881</t>
  </si>
  <si>
    <t>P1.882</t>
  </si>
  <si>
    <t>P1.883</t>
  </si>
  <si>
    <t>P1.885</t>
  </si>
  <si>
    <t>P1.886</t>
  </si>
  <si>
    <t>P1.889</t>
  </si>
  <si>
    <t>P1.890</t>
  </si>
  <si>
    <t>P1.891</t>
  </si>
  <si>
    <t>P1.892</t>
  </si>
  <si>
    <t>P1.894</t>
  </si>
  <si>
    <t>P1.897</t>
  </si>
  <si>
    <t>P1.899</t>
  </si>
  <si>
    <t>P1.900</t>
  </si>
  <si>
    <t>P1.901</t>
  </si>
  <si>
    <t>P1.903</t>
  </si>
  <si>
    <t>P1.904</t>
  </si>
  <si>
    <t>P1.905</t>
  </si>
  <si>
    <t>P1.906</t>
  </si>
  <si>
    <t>P1.907</t>
  </si>
  <si>
    <t>P1.908</t>
  </si>
  <si>
    <t>P1.909</t>
  </si>
  <si>
    <t>P1.911</t>
  </si>
  <si>
    <t>P1.913</t>
  </si>
  <si>
    <t>P1.914</t>
  </si>
  <si>
    <t>P1.915</t>
  </si>
  <si>
    <t>P1.916</t>
  </si>
  <si>
    <t>P1.918</t>
  </si>
  <si>
    <t>P1.919</t>
  </si>
  <si>
    <t>P1.920</t>
  </si>
  <si>
    <t>P1.921</t>
  </si>
  <si>
    <t>P1.922</t>
  </si>
  <si>
    <t>P1.924</t>
  </si>
  <si>
    <t>P1.925</t>
  </si>
  <si>
    <t>P1.927</t>
  </si>
  <si>
    <t>P1.928</t>
  </si>
  <si>
    <t>P1.929</t>
  </si>
  <si>
    <t>P1.930</t>
  </si>
  <si>
    <t>P1.931</t>
  </si>
  <si>
    <t>P1.932</t>
  </si>
  <si>
    <t>P1.933</t>
  </si>
  <si>
    <t>P1.934</t>
  </si>
  <si>
    <t>P1.935</t>
  </si>
  <si>
    <t>P1.936</t>
  </si>
  <si>
    <t>P1.937</t>
  </si>
  <si>
    <t>P1.938</t>
  </si>
  <si>
    <t>P1.939</t>
  </si>
  <si>
    <t>P1.940</t>
  </si>
  <si>
    <t>P1.941</t>
  </si>
  <si>
    <t>P1.943</t>
  </si>
  <si>
    <t>P1.944</t>
  </si>
  <si>
    <t>P1.945</t>
  </si>
  <si>
    <t>P1.946</t>
  </si>
  <si>
    <t>P1.947</t>
  </si>
  <si>
    <t>P1.948</t>
  </si>
  <si>
    <t>P1.949</t>
  </si>
  <si>
    <t>P1.950</t>
  </si>
  <si>
    <t>P1.951</t>
  </si>
  <si>
    <t>P1.952</t>
  </si>
  <si>
    <t>P1.953</t>
  </si>
  <si>
    <t>P1.954</t>
  </si>
  <si>
    <t>P1.955</t>
  </si>
  <si>
    <t>P1.956</t>
  </si>
  <si>
    <t>P1.957</t>
  </si>
  <si>
    <t>P1.958</t>
  </si>
  <si>
    <t>P1.959</t>
  </si>
  <si>
    <t>P1.961</t>
  </si>
  <si>
    <t>P1.962</t>
  </si>
  <si>
    <t>P1.963</t>
  </si>
  <si>
    <t>P1.964</t>
  </si>
  <si>
    <t>P1.965</t>
  </si>
  <si>
    <t>P1.966</t>
  </si>
  <si>
    <t>P1.967</t>
  </si>
  <si>
    <t>P1.968</t>
  </si>
  <si>
    <t>P1.969</t>
  </si>
  <si>
    <t>P1.971</t>
  </si>
  <si>
    <t>P1.976</t>
  </si>
  <si>
    <t>P1.977</t>
  </si>
  <si>
    <t>P1.978</t>
  </si>
  <si>
    <t>P1.979</t>
  </si>
  <si>
    <t>P1.980</t>
  </si>
  <si>
    <t>P1.981</t>
  </si>
  <si>
    <t>P1.984</t>
  </si>
  <si>
    <t>P1.985</t>
  </si>
  <si>
    <t>P1.986</t>
  </si>
  <si>
    <t>P1.987</t>
  </si>
  <si>
    <t>P1.988</t>
  </si>
  <si>
    <t>P1.989</t>
  </si>
  <si>
    <t>P1.991</t>
  </si>
  <si>
    <t>P1.992</t>
  </si>
  <si>
    <t>P1.994</t>
  </si>
  <si>
    <t>P1.996</t>
  </si>
  <si>
    <t>P1.997</t>
  </si>
  <si>
    <t>P1.999</t>
  </si>
  <si>
    <t>P1.1003</t>
  </si>
  <si>
    <t>P1.1005</t>
  </si>
  <si>
    <t>P1.1006</t>
  </si>
  <si>
    <t>P1.1008</t>
  </si>
  <si>
    <t>P1.1009</t>
  </si>
  <si>
    <t>P1.1010</t>
  </si>
  <si>
    <t>P1.1012</t>
  </si>
  <si>
    <t>P1.1013</t>
  </si>
  <si>
    <t>P1.1014</t>
  </si>
  <si>
    <t>P1.1015</t>
  </si>
  <si>
    <t>P1.1016</t>
  </si>
  <si>
    <t>P1.1017</t>
  </si>
  <si>
    <t>P1.1019</t>
  </si>
  <si>
    <t>P1.1020</t>
  </si>
  <si>
    <t>P1.1021</t>
  </si>
  <si>
    <t>P1.1023</t>
  </si>
  <si>
    <t>P1.1024</t>
  </si>
  <si>
    <t>P1.1025</t>
  </si>
  <si>
    <t>P1.1026</t>
  </si>
  <si>
    <t>P1.1028</t>
  </si>
  <si>
    <t>P1.1029</t>
  </si>
  <si>
    <t>P1.1030</t>
  </si>
  <si>
    <t>P1.1031</t>
  </si>
  <si>
    <t>P1.1033</t>
  </si>
  <si>
    <t>P1.1034</t>
  </si>
  <si>
    <t>P1.1035</t>
  </si>
  <si>
    <t>P1.1037</t>
  </si>
  <si>
    <t>P1.1038</t>
  </si>
  <si>
    <t>P1.1039</t>
  </si>
  <si>
    <t>P1.1040</t>
  </si>
  <si>
    <t>P1.1041</t>
  </si>
  <si>
    <t>P1.1042</t>
  </si>
  <si>
    <t>P1.1044</t>
  </si>
  <si>
    <t>P1.1045</t>
  </si>
  <si>
    <t>P1.1046</t>
  </si>
  <si>
    <t>P1.1047</t>
  </si>
  <si>
    <t>P1.1048</t>
  </si>
  <si>
    <t>P1.1049</t>
  </si>
  <si>
    <t>P1.1050</t>
  </si>
  <si>
    <t>P1.1052</t>
  </si>
  <si>
    <t>P1.1054</t>
  </si>
  <si>
    <t>P1.1056</t>
  </si>
  <si>
    <t>P1.1057</t>
  </si>
  <si>
    <t>P1.1058</t>
  </si>
  <si>
    <t>P1.1060</t>
  </si>
  <si>
    <t>P1.1061</t>
  </si>
  <si>
    <t>P1.1063</t>
  </si>
  <si>
    <t>P1.1064</t>
  </si>
  <si>
    <t>P1.1065</t>
  </si>
  <si>
    <t>P1.1066</t>
  </si>
  <si>
    <t>P1.1067</t>
  </si>
  <si>
    <t>P1.1068</t>
  </si>
  <si>
    <t>P1.1070</t>
  </si>
  <si>
    <t>P1.1071</t>
  </si>
  <si>
    <t>P1.1072</t>
  </si>
  <si>
    <t>P1.1073</t>
  </si>
  <si>
    <t>P1.1074</t>
  </si>
  <si>
    <t>P1.1075</t>
  </si>
  <si>
    <t>P1.1076</t>
  </si>
  <si>
    <t>P1.1077</t>
  </si>
  <si>
    <t>P1.1078</t>
  </si>
  <si>
    <t>P1.1079</t>
  </si>
  <si>
    <t>P1.1080</t>
  </si>
  <si>
    <t>P1.1081</t>
  </si>
  <si>
    <t>P1.1082</t>
  </si>
  <si>
    <t>P1.1083</t>
  </si>
  <si>
    <t>P1.1084</t>
  </si>
  <si>
    <t>P1.1085</t>
  </si>
  <si>
    <t>P1.1086</t>
  </si>
  <si>
    <t>P1.1087</t>
  </si>
  <si>
    <t>P1.1088</t>
  </si>
  <si>
    <t>P1.1089</t>
  </si>
  <si>
    <t>P1.1090</t>
  </si>
  <si>
    <t>P1.1091</t>
  </si>
  <si>
    <t>P1.1093</t>
  </si>
  <si>
    <t>P1.1094</t>
  </si>
  <si>
    <t>P1.1095</t>
  </si>
  <si>
    <t>P1.1096</t>
  </si>
  <si>
    <t>P1.1097</t>
  </si>
  <si>
    <t>P1.1098</t>
  </si>
  <si>
    <t>P1.1099</t>
  </si>
  <si>
    <t>P1.1100</t>
  </si>
  <si>
    <t>P1.1102</t>
  </si>
  <si>
    <t>P1.1103</t>
  </si>
  <si>
    <t>P1.1105</t>
  </si>
  <si>
    <t>P1.1106</t>
  </si>
  <si>
    <t>P1.1107</t>
  </si>
  <si>
    <t>P1.1108</t>
  </si>
  <si>
    <t>P1.1110</t>
  </si>
  <si>
    <t>P1.1111</t>
  </si>
  <si>
    <t>P1.1112</t>
  </si>
  <si>
    <t>P1.1113</t>
  </si>
  <si>
    <t>P1.1114</t>
  </si>
  <si>
    <t>P1.1116</t>
  </si>
  <si>
    <t>P1.1117</t>
  </si>
  <si>
    <t>P1.1118</t>
  </si>
  <si>
    <t>P1.1119</t>
  </si>
  <si>
    <t>P1.1120</t>
  </si>
  <si>
    <t>P1.1121</t>
  </si>
  <si>
    <t>P1.1122</t>
  </si>
  <si>
    <t>P1.1124</t>
  </si>
  <si>
    <t>P1.1125</t>
  </si>
  <si>
    <t>P1.1126</t>
  </si>
  <si>
    <t>P1.1128</t>
  </si>
  <si>
    <t>P1.1129</t>
  </si>
  <si>
    <t>P1.1130</t>
  </si>
  <si>
    <t>P1.1132</t>
  </si>
  <si>
    <t>P1.1133</t>
  </si>
  <si>
    <t>P1.1134</t>
  </si>
  <si>
    <t>P1.1136</t>
  </si>
  <si>
    <t>P1.1137</t>
  </si>
  <si>
    <t>P1.1138</t>
  </si>
  <si>
    <t>P1.1139</t>
  </si>
  <si>
    <t>P1.1140</t>
  </si>
  <si>
    <t>P1.1141</t>
  </si>
  <si>
    <t>P1.1142</t>
  </si>
  <si>
    <t>P1.1143</t>
  </si>
  <si>
    <t>P1.1144</t>
  </si>
  <si>
    <t>P1.1145</t>
  </si>
  <si>
    <t>P1.1146</t>
  </si>
  <si>
    <t>P1.1147</t>
  </si>
  <si>
    <t>P1.1148</t>
  </si>
  <si>
    <t>P1.1149</t>
  </si>
  <si>
    <t>P1.1150</t>
  </si>
  <si>
    <t>P1.1151</t>
  </si>
  <si>
    <t>P1.1152</t>
  </si>
  <si>
    <t>P1.1153</t>
  </si>
  <si>
    <t>P1.1154</t>
  </si>
  <si>
    <t>P1.1156</t>
  </si>
  <si>
    <t>P1.1157</t>
  </si>
  <si>
    <t>P1.1158</t>
  </si>
  <si>
    <t>P1.1159</t>
  </si>
  <si>
    <t>P1.1161</t>
  </si>
  <si>
    <t>P1.1162</t>
  </si>
  <si>
    <t>P1.1167</t>
  </si>
  <si>
    <t>P1.1168</t>
  </si>
  <si>
    <t>P1.1169</t>
  </si>
  <si>
    <t>P1.1170</t>
  </si>
  <si>
    <t>P1.1171</t>
  </si>
  <si>
    <t>P1.1172</t>
  </si>
  <si>
    <t>P1.1174</t>
  </si>
  <si>
    <t>P1.1175</t>
  </si>
  <si>
    <t>P1.1176</t>
  </si>
  <si>
    <t>P1.1177</t>
  </si>
  <si>
    <t>P1.1178</t>
  </si>
  <si>
    <t>P1.1179</t>
  </si>
  <si>
    <t>P1.1180</t>
  </si>
  <si>
    <t>P1.1181</t>
  </si>
  <si>
    <t>P1.1182</t>
  </si>
  <si>
    <t>P1.1183</t>
  </si>
  <si>
    <t>P1.1184</t>
  </si>
  <si>
    <t>P1.1185</t>
  </si>
  <si>
    <t>P1.1186</t>
  </si>
  <si>
    <t>P1.1187</t>
  </si>
  <si>
    <t>P1.1188</t>
  </si>
  <si>
    <t>P1.1189</t>
  </si>
  <si>
    <t>P1.1190</t>
  </si>
  <si>
    <t>P1.1191</t>
  </si>
  <si>
    <t>P1.1193</t>
  </si>
  <si>
    <t>P1.1194</t>
  </si>
  <si>
    <t>P1.1195</t>
  </si>
  <si>
    <t>P1.1196</t>
  </si>
  <si>
    <t>P1.1197</t>
  </si>
  <si>
    <t>P1.1198</t>
  </si>
  <si>
    <t>P1.1199</t>
  </si>
  <si>
    <t>P1.1200</t>
  </si>
  <si>
    <t>P1.1201</t>
  </si>
  <si>
    <t>P1.1202</t>
  </si>
  <si>
    <t>P1.1203</t>
  </si>
  <si>
    <t>P1.1206</t>
  </si>
  <si>
    <t>P1.1207</t>
  </si>
  <si>
    <t>P1.1208</t>
  </si>
  <si>
    <t>P1.1209</t>
  </si>
  <si>
    <t>P1.1210</t>
  </si>
  <si>
    <t>P1.1212</t>
  </si>
  <si>
    <t>P1.1213</t>
  </si>
  <si>
    <t>P1.1214</t>
  </si>
  <si>
    <t>P1.1215</t>
  </si>
  <si>
    <t>P1.1216</t>
  </si>
  <si>
    <t>P1.1217</t>
  </si>
  <si>
    <t>P1.1219</t>
  </si>
  <si>
    <t>P1.1220</t>
  </si>
  <si>
    <t>P1.1221</t>
  </si>
  <si>
    <t>P1.1222</t>
  </si>
  <si>
    <t>P1.1224</t>
  </si>
  <si>
    <t>P1.1225</t>
  </si>
  <si>
    <t>P1.1226</t>
  </si>
  <si>
    <t>P1.1227</t>
  </si>
  <si>
    <t>P1.1228</t>
  </si>
  <si>
    <t>P1.1229</t>
  </si>
  <si>
    <t>P1.1230</t>
  </si>
  <si>
    <t>P1.1231</t>
  </si>
  <si>
    <t>P1.1232</t>
  </si>
  <si>
    <t>P1.1233</t>
  </si>
  <si>
    <t>P1.1234</t>
  </si>
  <si>
    <t>P1.1235</t>
  </si>
  <si>
    <t>P1.1240</t>
  </si>
  <si>
    <t>P1.1242</t>
  </si>
  <si>
    <t>P1.1243</t>
  </si>
  <si>
    <t>P1.1244</t>
  </si>
  <si>
    <t>P1.1245</t>
  </si>
  <si>
    <t>P1.1246</t>
  </si>
  <si>
    <t>P1.1247</t>
  </si>
  <si>
    <t>P1.1249</t>
  </si>
  <si>
    <t>P1.1250</t>
  </si>
  <si>
    <t>P1.1251</t>
  </si>
  <si>
    <t>P1.1252</t>
  </si>
  <si>
    <t>P1.1253</t>
  </si>
  <si>
    <t>P1.1254</t>
  </si>
  <si>
    <t>P1.1256</t>
  </si>
  <si>
    <t>P1.1257</t>
  </si>
  <si>
    <t>P1.1258</t>
  </si>
  <si>
    <t>P1.1259</t>
  </si>
  <si>
    <t>P1.1260</t>
  </si>
  <si>
    <t>P1.1261</t>
  </si>
  <si>
    <t>P1.1263</t>
  </si>
  <si>
    <t>P1.1264</t>
  </si>
  <si>
    <t>P1.1265</t>
  </si>
  <si>
    <t>P1.1266</t>
  </si>
  <si>
    <t>P1.1268</t>
  </si>
  <si>
    <t>P1.1267</t>
  </si>
  <si>
    <t>P1.1270</t>
  </si>
  <si>
    <t>P1.1271</t>
  </si>
  <si>
    <t>P1.1272</t>
  </si>
  <si>
    <t>P1.1274</t>
  </si>
  <si>
    <t>P1.1276</t>
  </si>
  <si>
    <t>P1.1277</t>
  </si>
  <si>
    <t>P1.1280</t>
  </si>
  <si>
    <t>P1.1281</t>
  </si>
  <si>
    <t>P1.1282</t>
  </si>
  <si>
    <t>P1.1284</t>
  </si>
  <si>
    <t>P1.1285</t>
  </si>
  <si>
    <t>P1.1286</t>
  </si>
  <si>
    <t>P1.1288</t>
  </si>
  <si>
    <t>P1.1290</t>
  </si>
  <si>
    <t>P1.1291</t>
  </si>
  <si>
    <t>P1.1292</t>
  </si>
  <si>
    <t>P1.1293</t>
  </si>
  <si>
    <t>P1.1294</t>
  </si>
  <si>
    <t>P1.1295</t>
  </si>
  <si>
    <t>P1.1296</t>
  </si>
  <si>
    <t>P1.1300</t>
  </si>
  <si>
    <t>P1.1301</t>
  </si>
  <si>
    <t>P1.1302</t>
  </si>
  <si>
    <t>P1.1303</t>
  </si>
  <si>
    <t>P1.1305</t>
  </si>
  <si>
    <t>P1.1307</t>
  </si>
  <si>
    <t>P1.1308</t>
  </si>
  <si>
    <t>P1.1309</t>
  </si>
  <si>
    <t>P1.1311</t>
  </si>
  <si>
    <t>P1.1312</t>
  </si>
  <si>
    <t>P1.1313</t>
  </si>
  <si>
    <t>P1.1314</t>
  </si>
  <si>
    <t>P1.1315</t>
  </si>
  <si>
    <t>P1.1316</t>
  </si>
  <si>
    <t>P1.1317</t>
  </si>
  <si>
    <t>P1.1318</t>
  </si>
  <si>
    <t>P1.1319</t>
  </si>
  <si>
    <t>P1.1320</t>
  </si>
  <si>
    <t>P1.1321</t>
  </si>
  <si>
    <t>P1.1323</t>
  </si>
  <si>
    <t>P1.1324</t>
  </si>
  <si>
    <t>P1.1325</t>
  </si>
  <si>
    <t>P1.1326</t>
  </si>
  <si>
    <t>P1.1327</t>
  </si>
  <si>
    <t>P1.1328</t>
  </si>
  <si>
    <t>P1.1329</t>
  </si>
  <si>
    <t>P1.1330</t>
  </si>
  <si>
    <t>P1.1331</t>
  </si>
  <si>
    <t>P1.1332</t>
  </si>
  <si>
    <t>P1.1333</t>
  </si>
  <si>
    <t>P1.1334</t>
  </si>
  <si>
    <t>P1.1335</t>
  </si>
  <si>
    <t>P1.1336</t>
  </si>
  <si>
    <t>P1.1337</t>
  </si>
  <si>
    <t>P1.1338</t>
  </si>
  <si>
    <t>P1.1339</t>
  </si>
  <si>
    <t>P1.1340</t>
  </si>
  <si>
    <t>P1.1342</t>
  </si>
  <si>
    <t>P1.1344</t>
  </si>
  <si>
    <t>P1.1345</t>
  </si>
  <si>
    <t>P1.1346</t>
  </si>
  <si>
    <t>P1.1347</t>
  </si>
  <si>
    <t>P1.1348</t>
  </si>
  <si>
    <t>P1.1349</t>
  </si>
  <si>
    <t>P1.1351</t>
  </si>
  <si>
    <t>P1.1353</t>
  </si>
  <si>
    <t>P1.1354</t>
  </si>
  <si>
    <t>P1.1355</t>
  </si>
  <si>
    <t>P1.1356</t>
  </si>
  <si>
    <t>P1.1358</t>
  </si>
  <si>
    <t>P1.1357</t>
  </si>
  <si>
    <t>P1.1360</t>
  </si>
  <si>
    <t>P1.1361</t>
  </si>
  <si>
    <t>P1.1362</t>
  </si>
  <si>
    <t>P1.1365</t>
  </si>
  <si>
    <t>P1.1367</t>
  </si>
  <si>
    <t>P1.1368</t>
  </si>
  <si>
    <t>P1.1369</t>
  </si>
  <si>
    <t>P1.1370</t>
  </si>
  <si>
    <t>P1.1371</t>
  </si>
  <si>
    <t>P1.1372</t>
  </si>
  <si>
    <t>P1.1373</t>
  </si>
  <si>
    <t>P1.1376</t>
  </si>
  <si>
    <t>P1.1377</t>
  </si>
  <si>
    <t>P1.1378</t>
  </si>
  <si>
    <t>P1.1379</t>
  </si>
  <si>
    <t>P1.1380</t>
  </si>
  <si>
    <t>P1.1381</t>
  </si>
  <si>
    <t>P1.1382</t>
  </si>
  <si>
    <t>P1.1383</t>
  </si>
  <si>
    <t>P1.1384</t>
  </si>
  <si>
    <t>P1.1386</t>
  </si>
  <si>
    <t>P1.1387</t>
  </si>
  <si>
    <t>P1.1388</t>
  </si>
  <si>
    <t>P1.1391</t>
  </si>
  <si>
    <t>P1.1392</t>
  </si>
  <si>
    <t>P1.1393</t>
  </si>
  <si>
    <t>P1.1394</t>
  </si>
  <si>
    <t>P1.1395</t>
  </si>
  <si>
    <t>P1.1396</t>
  </si>
  <si>
    <t>P1.1397</t>
  </si>
  <si>
    <t>P1.1398</t>
  </si>
  <si>
    <t>P1.1399</t>
  </si>
  <si>
    <t>P1.1400</t>
  </si>
  <si>
    <t>P1.1401</t>
  </si>
  <si>
    <t>P1.1402</t>
  </si>
  <si>
    <t>P1.1403</t>
  </si>
  <si>
    <t>P1.1404</t>
  </si>
  <si>
    <t>P1.1406</t>
  </si>
  <si>
    <t>P1.1407</t>
  </si>
  <si>
    <t>P1.1408</t>
  </si>
  <si>
    <t>P1.1409</t>
  </si>
  <si>
    <t>P1.1412</t>
  </si>
  <si>
    <t>P1.1413</t>
  </si>
  <si>
    <t>P1.1414</t>
  </si>
  <si>
    <t>P1.1415</t>
  </si>
  <si>
    <t>P1.1416</t>
  </si>
  <si>
    <t>P1.1417</t>
  </si>
  <si>
    <t>P1.1418</t>
  </si>
  <si>
    <t>P1.1419</t>
  </si>
  <si>
    <t>P1.1420</t>
  </si>
  <si>
    <t>P1.1421</t>
  </si>
  <si>
    <t>P1.1422</t>
  </si>
  <si>
    <t>P1.1423</t>
  </si>
  <si>
    <t>P1.1425</t>
  </si>
  <si>
    <t>P1.1426</t>
  </si>
  <si>
    <t>P1.1427</t>
  </si>
  <si>
    <t>P1.1429</t>
  </si>
  <si>
    <t>P1.1431</t>
  </si>
  <si>
    <t>P1.1432</t>
  </si>
  <si>
    <t>P1.1434</t>
  </si>
  <si>
    <t>P1.1435</t>
  </si>
  <si>
    <t>P1.1436</t>
  </si>
  <si>
    <t>P1.1438</t>
  </si>
  <si>
    <t>P1.1439</t>
  </si>
  <si>
    <t>P1.1442</t>
  </si>
  <si>
    <t>P1.1443</t>
  </si>
  <si>
    <t>P1.1444</t>
  </si>
  <si>
    <t>P1.1454</t>
  </si>
  <si>
    <t>P1.1455</t>
  </si>
  <si>
    <t>P1.1458</t>
  </si>
  <si>
    <t>P1.1462</t>
  </si>
  <si>
    <t>P1.1463</t>
  </si>
  <si>
    <t>P1.1465</t>
  </si>
  <si>
    <t>P1.1467</t>
  </si>
  <si>
    <t>P1.1468</t>
  </si>
  <si>
    <t>P1.1469</t>
  </si>
  <si>
    <t>P1.1471</t>
  </si>
  <si>
    <t>P1.1472</t>
  </si>
  <si>
    <t>P1.1473</t>
  </si>
  <si>
    <t>P1.1475</t>
  </si>
  <si>
    <t>P1.1477</t>
  </si>
  <si>
    <t>P1.1478</t>
  </si>
  <si>
    <t>P1.1479</t>
  </si>
  <si>
    <t>P1.1482</t>
  </si>
  <si>
    <t>P1.1487</t>
  </si>
  <si>
    <t>P1.1488</t>
  </si>
  <si>
    <t>P1.1489</t>
  </si>
  <si>
    <t>P1.1490</t>
  </si>
  <si>
    <t>P1.1491</t>
  </si>
  <si>
    <t>P1.1492</t>
  </si>
  <si>
    <t>P1.1493</t>
  </si>
  <si>
    <t>P1.1494</t>
  </si>
  <si>
    <t>P1.1495</t>
  </si>
  <si>
    <t>P1.1496</t>
  </si>
  <si>
    <t>P1.1498</t>
  </si>
  <si>
    <t>P1.1499</t>
  </si>
  <si>
    <t>P1.1500</t>
  </si>
  <si>
    <t>P1.1501</t>
  </si>
  <si>
    <t>P1.1502</t>
  </si>
  <si>
    <t>P1.1503</t>
  </si>
  <si>
    <t>P1.1504</t>
  </si>
  <si>
    <t>P1.1505</t>
  </si>
  <si>
    <t>P1.1506</t>
  </si>
  <si>
    <t>P1.1507</t>
  </si>
  <si>
    <t>P1.1508</t>
  </si>
  <si>
    <t>P1.1509</t>
  </si>
  <si>
    <t>P1.1510</t>
  </si>
  <si>
    <t>P1.1511</t>
  </si>
  <si>
    <t>P1.1513</t>
  </si>
  <si>
    <t>P1.1514</t>
  </si>
  <si>
    <t>P1.1516</t>
  </si>
  <si>
    <t>P1.1517</t>
  </si>
  <si>
    <t>P1.1518</t>
  </si>
  <si>
    <t>P1.1519</t>
  </si>
  <si>
    <t>P1.1520</t>
  </si>
  <si>
    <t>P1.1521</t>
  </si>
  <si>
    <t>P1.1522</t>
  </si>
  <si>
    <t>P1.1523</t>
  </si>
  <si>
    <t>P1.1525</t>
  </si>
  <si>
    <t>P1.1526</t>
  </si>
  <si>
    <t>P1.1527</t>
  </si>
  <si>
    <t>P1.1528</t>
  </si>
  <si>
    <t>P1.1529</t>
  </si>
  <si>
    <t>P1.1530</t>
  </si>
  <si>
    <t>P1.1531</t>
  </si>
  <si>
    <t>P1.1532</t>
  </si>
  <si>
    <t>P1.1533</t>
  </si>
  <si>
    <t>P1.1535</t>
  </si>
  <si>
    <t>P1.1536</t>
  </si>
  <si>
    <t>P1.1537</t>
  </si>
  <si>
    <t>P1.1538</t>
  </si>
  <si>
    <t>P1.1539</t>
  </si>
  <si>
    <t>P1.1540</t>
  </si>
  <si>
    <t>P1.1541</t>
  </si>
  <si>
    <t>P1.1542</t>
  </si>
  <si>
    <t>P1.1543</t>
  </si>
  <si>
    <t>P1.1544</t>
  </si>
  <si>
    <t>P1.1545</t>
  </si>
  <si>
    <t>P1.1546</t>
  </si>
  <si>
    <t>P1.1548</t>
  </si>
  <si>
    <t>P1.1549</t>
  </si>
  <si>
    <t>P1.1550</t>
  </si>
  <si>
    <t>P1.1551</t>
  </si>
  <si>
    <t>P1.1553</t>
  </si>
  <si>
    <t>P1.1554</t>
  </si>
  <si>
    <t>P1.1555</t>
  </si>
  <si>
    <t>P1.1556</t>
  </si>
  <si>
    <t>P1.1557</t>
  </si>
  <si>
    <t>P1.1558</t>
  </si>
  <si>
    <t>P1.1559</t>
  </si>
  <si>
    <t>P1.1560</t>
  </si>
  <si>
    <t>P1.1561</t>
  </si>
  <si>
    <t>P1.1562</t>
  </si>
  <si>
    <t>P1.1563</t>
  </si>
  <si>
    <t>P1.1564</t>
  </si>
  <si>
    <t>P1.1566</t>
  </si>
  <si>
    <t>P1.1567</t>
  </si>
  <si>
    <t>P1.1568</t>
  </si>
  <si>
    <t>P1.1569</t>
  </si>
  <si>
    <t>P1.1570</t>
  </si>
  <si>
    <t>P1.1571</t>
  </si>
  <si>
    <t>P1.1573</t>
  </si>
  <si>
    <t>P1.1574</t>
  </si>
  <si>
    <t>P1.1575</t>
  </si>
  <si>
    <t>P1.1576</t>
  </si>
  <si>
    <t>P1.1578</t>
  </si>
  <si>
    <t>P1.1580</t>
  </si>
  <si>
    <t>P1.1581</t>
  </si>
  <si>
    <t>P1.1582</t>
  </si>
  <si>
    <t>P1.1583</t>
  </si>
  <si>
    <t>P1.1584</t>
  </si>
  <si>
    <t>P1.1585</t>
  </si>
  <si>
    <t>P1.1586</t>
  </si>
  <si>
    <t>P1.1588</t>
  </si>
  <si>
    <t>P1.1590</t>
  </si>
  <si>
    <t>P1.1591</t>
  </si>
  <si>
    <t>P1.1592</t>
  </si>
  <si>
    <t>P1.1596</t>
  </si>
  <si>
    <t>P1.1597</t>
  </si>
  <si>
    <t>P1.1598</t>
  </si>
  <si>
    <t>P1.1599</t>
  </si>
  <si>
    <t>P1.1601</t>
  </si>
  <si>
    <t>P1.1602</t>
  </si>
  <si>
    <t>P1.1603</t>
  </si>
  <si>
    <t>P1.1604</t>
  </si>
  <si>
    <t>P1.1606</t>
  </si>
  <si>
    <t>P1.1608</t>
  </si>
  <si>
    <t>P1.1609</t>
  </si>
  <si>
    <t>P1.1610</t>
  </si>
  <si>
    <t>P1.1611</t>
  </si>
  <si>
    <t>P1.1613</t>
  </si>
  <si>
    <t>P1.1614</t>
  </si>
  <si>
    <t>P1.1615</t>
  </si>
  <si>
    <t>P1.1617</t>
  </si>
  <si>
    <t>P1.1618</t>
  </si>
  <si>
    <t>P1.1619</t>
  </si>
  <si>
    <t>P1.1620</t>
  </si>
  <si>
    <t>P1.1621</t>
  </si>
  <si>
    <t>P1.1622</t>
  </si>
  <si>
    <t>P1.1623</t>
  </si>
  <si>
    <t>P1.1624</t>
  </si>
  <si>
    <t>P1.1625</t>
  </si>
  <si>
    <t>P1.1627</t>
  </si>
  <si>
    <t>P1.1628</t>
  </si>
  <si>
    <t>P1.1629</t>
  </si>
  <si>
    <t>P1.1630</t>
  </si>
  <si>
    <t>P1.1633</t>
  </si>
  <si>
    <t>P1.1634</t>
  </si>
  <si>
    <t>P1.1635</t>
  </si>
  <si>
    <t>P1.1636</t>
  </si>
  <si>
    <t>P1.1637</t>
  </si>
  <si>
    <t>P1.1638</t>
  </si>
  <si>
    <t>P1.1639</t>
  </si>
  <si>
    <t>P1.1640</t>
  </si>
  <si>
    <t>P1.1641</t>
  </si>
  <si>
    <t>P1.1642</t>
  </si>
  <si>
    <t>P1.1643</t>
  </si>
  <si>
    <t>P1.1645</t>
  </si>
  <si>
    <t>P1.1646</t>
  </si>
  <si>
    <t>P1.1647</t>
  </si>
  <si>
    <t>P1.1648</t>
  </si>
  <si>
    <t>P1.1649</t>
  </si>
  <si>
    <t>P1.1650</t>
  </si>
  <si>
    <t>P1.1651</t>
  </si>
  <si>
    <t>P1.1652</t>
  </si>
  <si>
    <t>P1.1657</t>
  </si>
  <si>
    <t>P1.1662</t>
  </si>
  <si>
    <t>P1.1663</t>
  </si>
  <si>
    <t>P1.1664</t>
  </si>
  <si>
    <t>P1.1665</t>
  </si>
  <si>
    <t>P1.1666</t>
  </si>
  <si>
    <t>P1.1667</t>
  </si>
  <si>
    <t>P1.1668</t>
  </si>
  <si>
    <t>P1.1669</t>
  </si>
  <si>
    <t>P1.1670</t>
  </si>
  <si>
    <t>P1.1671</t>
  </si>
  <si>
    <t>P1.1672</t>
  </si>
  <si>
    <t>P1.1673</t>
  </si>
  <si>
    <t>P1.1674</t>
  </si>
  <si>
    <t>P1.1675</t>
  </si>
  <si>
    <t>P1.1676</t>
  </si>
  <si>
    <t>P1.1680</t>
  </si>
  <si>
    <t>P1.1681</t>
  </si>
  <si>
    <t>P1.1682</t>
  </si>
  <si>
    <t>P1.1683</t>
  </si>
  <si>
    <t>P1.1684</t>
  </si>
  <si>
    <t>P1.1685</t>
  </si>
  <si>
    <t>P1.1686</t>
  </si>
  <si>
    <t>P1.1687</t>
  </si>
  <si>
    <t>P1.1688</t>
  </si>
  <si>
    <t>P1.1689</t>
  </si>
  <si>
    <t>P1.1690</t>
  </si>
  <si>
    <t>P1.1691</t>
  </si>
  <si>
    <t>P1.1692</t>
  </si>
  <si>
    <t>P1.1693</t>
  </si>
  <si>
    <t>P1.1694</t>
  </si>
  <si>
    <t>P1.1695</t>
  </si>
  <si>
    <t>P1.1696</t>
  </si>
  <si>
    <t>P1.1697</t>
  </si>
  <si>
    <t>P1.1698</t>
  </si>
  <si>
    <t>P1.1699</t>
  </si>
  <si>
    <t>P1.1700</t>
  </si>
  <si>
    <t>P1.1701</t>
  </si>
  <si>
    <t>P1.1702</t>
  </si>
  <si>
    <t>P1.1703</t>
  </si>
  <si>
    <t>P1.1704</t>
  </si>
  <si>
    <t>P1.1705</t>
  </si>
  <si>
    <t>P1.1706</t>
  </si>
  <si>
    <t>P1.1707</t>
  </si>
  <si>
    <t>P1.1708</t>
  </si>
  <si>
    <t>P1.1709</t>
  </si>
  <si>
    <t>P1.1710</t>
  </si>
  <si>
    <t>P1.1711</t>
  </si>
  <si>
    <t>P1.1712</t>
  </si>
  <si>
    <t>P1.1713</t>
  </si>
  <si>
    <t>P1.1714</t>
  </si>
  <si>
    <t>P1.1715</t>
  </si>
  <si>
    <t>P1.1716</t>
  </si>
  <si>
    <t>P1.1717</t>
  </si>
  <si>
    <t>P1.1718</t>
  </si>
  <si>
    <t>P1.1719</t>
  </si>
  <si>
    <t>P1.1720</t>
  </si>
  <si>
    <t>P1.1721</t>
  </si>
  <si>
    <t>P1.1722</t>
  </si>
  <si>
    <t>P1.1723</t>
  </si>
  <si>
    <t>P1.1724</t>
  </si>
  <si>
    <t>P1.1725</t>
  </si>
  <si>
    <t>P1.1726</t>
  </si>
  <si>
    <t>P1.1727</t>
  </si>
  <si>
    <t>P1.1728</t>
  </si>
  <si>
    <t>P1.1729</t>
  </si>
  <si>
    <t>P1.1730</t>
  </si>
  <si>
    <t>P1.1731</t>
  </si>
  <si>
    <t>P1.1732</t>
  </si>
  <si>
    <t>P1.1733</t>
  </si>
  <si>
    <t>P1.1735</t>
  </si>
  <si>
    <t>P1.1736</t>
  </si>
  <si>
    <t>P1.1737</t>
  </si>
  <si>
    <t>P1.1738</t>
  </si>
  <si>
    <t>P1.1740</t>
  </si>
  <si>
    <t>P1.1741</t>
  </si>
  <si>
    <t>P1.1742</t>
  </si>
  <si>
    <t>P1.1743</t>
  </si>
  <si>
    <t>P1.1744</t>
  </si>
  <si>
    <t>P1.1745</t>
  </si>
  <si>
    <t>P1.1746</t>
  </si>
  <si>
    <t>P1.1747</t>
  </si>
  <si>
    <t>P1.1748</t>
  </si>
  <si>
    <t>P1.1749</t>
  </si>
  <si>
    <t>P1.1750</t>
  </si>
  <si>
    <t>P1.1751</t>
  </si>
  <si>
    <t>P1.1752</t>
  </si>
  <si>
    <t>P1.1753</t>
  </si>
  <si>
    <t>P1.1754</t>
  </si>
  <si>
    <t>P1.1755</t>
  </si>
  <si>
    <t>P1.1756</t>
  </si>
  <si>
    <t>P1.1757</t>
  </si>
  <si>
    <t>P1.1758</t>
  </si>
  <si>
    <t>P1.1759</t>
  </si>
  <si>
    <t>P1.1760</t>
  </si>
  <si>
    <t>P1.1761</t>
  </si>
  <si>
    <t>P1.1762</t>
  </si>
  <si>
    <t>P1.1763</t>
  </si>
  <si>
    <t>P1.1764</t>
  </si>
  <si>
    <t>P1.1765</t>
  </si>
  <si>
    <t>P1.1766</t>
  </si>
  <si>
    <t>P1.1767</t>
  </si>
  <si>
    <t>P1.1768</t>
  </si>
  <si>
    <t>P1.1769</t>
  </si>
  <si>
    <t>P1.1770</t>
  </si>
  <si>
    <t>P1.1771</t>
  </si>
  <si>
    <t>P1.1772</t>
  </si>
  <si>
    <t>P1.1773</t>
  </si>
  <si>
    <t>P1.1774</t>
  </si>
  <si>
    <t>P1.1776</t>
  </si>
  <si>
    <t>P1.1779</t>
  </si>
  <si>
    <t>P1.1780</t>
  </si>
  <si>
    <t>P1.1781</t>
  </si>
  <si>
    <t>P1.1782</t>
  </si>
  <si>
    <t>P1.1783</t>
  </si>
  <si>
    <t>P1.1784</t>
  </si>
  <si>
    <t>P1.1785</t>
  </si>
  <si>
    <t>P1.1786</t>
  </si>
  <si>
    <t>P1.1787</t>
  </si>
  <si>
    <t>P1.1788</t>
  </si>
  <si>
    <t>P1.1789</t>
  </si>
  <si>
    <t>P1.1790</t>
  </si>
  <si>
    <t>P1.1791</t>
  </si>
  <si>
    <t>P1.1792</t>
  </si>
  <si>
    <t>P1.1794</t>
  </si>
  <si>
    <t>P1.1795</t>
  </si>
  <si>
    <t>P1.1796</t>
  </si>
  <si>
    <t>P1.1797</t>
  </si>
  <si>
    <t>P1.1798</t>
  </si>
  <si>
    <t>P1.1799</t>
  </si>
  <si>
    <t>P1.1800</t>
  </si>
  <si>
    <t>P1.1801</t>
  </si>
  <si>
    <t>P1.1802</t>
  </si>
  <si>
    <t>P1.1803</t>
  </si>
  <si>
    <t>P1.1804</t>
  </si>
  <si>
    <t>P1.1805</t>
  </si>
  <si>
    <t>P1.1806</t>
  </si>
  <si>
    <t>P1.1807</t>
  </si>
  <si>
    <t>P1.1808</t>
  </si>
  <si>
    <t>P1.1809</t>
  </si>
  <si>
    <t>P1.1811</t>
  </si>
  <si>
    <t>P1.1812</t>
  </si>
  <si>
    <t>P1.1813</t>
  </si>
  <si>
    <t>P1.1814</t>
  </si>
  <si>
    <t>P1.1815</t>
  </si>
  <si>
    <t>P1.1816</t>
  </si>
  <si>
    <t>P1.1817</t>
  </si>
  <si>
    <t>P1.1818</t>
  </si>
  <si>
    <t>P1.1819</t>
  </si>
  <si>
    <t>P1.1820</t>
  </si>
  <si>
    <t>P1.1821</t>
  </si>
  <si>
    <t>P1.1822</t>
  </si>
  <si>
    <t>P1.1823</t>
  </si>
  <si>
    <t>P1.1824</t>
  </si>
  <si>
    <t>P1.1825</t>
  </si>
  <si>
    <t>P1.1826</t>
  </si>
  <si>
    <t>P1.1827</t>
  </si>
  <si>
    <t>P1.1829</t>
  </si>
  <si>
    <t>P1.1830</t>
  </si>
  <si>
    <t>P1.1831</t>
  </si>
  <si>
    <t>P1.1832</t>
  </si>
  <si>
    <t>P1.1833</t>
  </si>
  <si>
    <t>P1.1834</t>
  </si>
  <si>
    <t>P1.1836</t>
  </si>
  <si>
    <t>P1.1837</t>
  </si>
  <si>
    <t>P1.1838</t>
  </si>
  <si>
    <t>P1.1839</t>
  </si>
  <si>
    <t>P1.1840</t>
  </si>
  <si>
    <t>P1.1841</t>
  </si>
  <si>
    <t>P1.1842</t>
  </si>
  <si>
    <t>P1.1843</t>
  </si>
  <si>
    <t>P1.1844</t>
  </si>
  <si>
    <t>P1.1846</t>
  </si>
  <si>
    <t>P1.1848</t>
  </si>
  <si>
    <t>P1.1852</t>
  </si>
  <si>
    <t>P1.1853</t>
  </si>
  <si>
    <t>P1.1854</t>
  </si>
  <si>
    <t>P1.1855</t>
  </si>
  <si>
    <t>P1.1856</t>
  </si>
  <si>
    <t>P1.1857</t>
  </si>
  <si>
    <t>P1.1858</t>
  </si>
  <si>
    <t>P1.1859</t>
  </si>
  <si>
    <t>P1.1860</t>
  </si>
  <si>
    <t>P1.1862</t>
  </si>
  <si>
    <t>P1.1863</t>
  </si>
  <si>
    <t>P1.1864</t>
  </si>
  <si>
    <t>P1.1865</t>
  </si>
  <si>
    <t>P1.1866</t>
  </si>
  <si>
    <t>P1.1867</t>
  </si>
  <si>
    <t>P1.1868</t>
  </si>
  <si>
    <t>P1.1869</t>
  </si>
  <si>
    <t>P1.1870</t>
  </si>
  <si>
    <t>P1.1871</t>
  </si>
  <si>
    <t>P1.1873</t>
  </si>
  <si>
    <t>P1.1874</t>
  </si>
  <si>
    <t>P1.1875</t>
  </si>
  <si>
    <t>P1.1878</t>
  </si>
  <si>
    <t>P1.1879</t>
  </si>
  <si>
    <t>P1.1880</t>
  </si>
  <si>
    <t>P1.1881</t>
  </si>
  <si>
    <t>P1.1882</t>
  </si>
  <si>
    <t>P1.1887</t>
  </si>
  <si>
    <t>P1.1885</t>
  </si>
  <si>
    <t>P1.1883</t>
  </si>
  <si>
    <t>P1.1888</t>
  </si>
  <si>
    <t>P1.1889</t>
  </si>
  <si>
    <t>P1.1890</t>
  </si>
  <si>
    <t>P1.1891</t>
  </si>
  <si>
    <t>P1.1892</t>
  </si>
  <si>
    <t>P1.1893</t>
  </si>
  <si>
    <t>P1.1894</t>
  </si>
  <si>
    <t>P1.1896</t>
  </si>
  <si>
    <t>P1.1897</t>
  </si>
  <si>
    <t>P1.1899</t>
  </si>
  <si>
    <t>P1.1902</t>
  </si>
  <si>
    <t>P1.1903</t>
  </si>
  <si>
    <t>P1.1904</t>
  </si>
  <si>
    <t>P1.1905</t>
  </si>
  <si>
    <t>P1.1906</t>
  </si>
  <si>
    <t>P1.1907</t>
  </si>
  <si>
    <t>P1.1908</t>
  </si>
  <si>
    <t>P1.1909</t>
  </si>
  <si>
    <t>P1.1910</t>
  </si>
  <si>
    <t>P1.1911</t>
  </si>
  <si>
    <t>P1.1912</t>
  </si>
  <si>
    <t>P1.1914</t>
  </si>
  <si>
    <t>P1.1915</t>
  </si>
  <si>
    <t>P1.1917</t>
  </si>
  <si>
    <t>P1.1918</t>
  </si>
  <si>
    <t>P1.1919</t>
  </si>
  <si>
    <t>P1.1920</t>
  </si>
  <si>
    <t>P1.1921</t>
  </si>
  <si>
    <t>P1.1922</t>
  </si>
  <si>
    <t>P1.1923</t>
  </si>
  <si>
    <t>P1.1924</t>
  </si>
  <si>
    <t>P1.1925</t>
  </si>
  <si>
    <t>P1.1926</t>
  </si>
  <si>
    <t>P1.1927</t>
  </si>
  <si>
    <t>P1.1928</t>
  </si>
  <si>
    <t>P1.1929</t>
  </si>
  <si>
    <t>P1.1930</t>
  </si>
  <si>
    <t>P1.1931</t>
  </si>
  <si>
    <t>P1.1933</t>
  </si>
  <si>
    <t>P1.1934</t>
  </si>
  <si>
    <t>P1.1936</t>
  </si>
  <si>
    <t>P1.1940</t>
  </si>
  <si>
    <t>P1.1941</t>
  </si>
  <si>
    <t>P1.1942</t>
  </si>
  <si>
    <t>P1.1943</t>
  </si>
  <si>
    <t>P1.1945</t>
  </si>
  <si>
    <t>P1.1946</t>
  </si>
  <si>
    <t>P1.1948</t>
  </si>
  <si>
    <t>P1.1949</t>
  </si>
  <si>
    <t>P1.1950</t>
  </si>
  <si>
    <t>P1.1951</t>
  </si>
  <si>
    <t>P1.1952</t>
  </si>
  <si>
    <t>P1.1953</t>
  </si>
  <si>
    <t>P1.1954</t>
  </si>
  <si>
    <t>P1.1955</t>
  </si>
  <si>
    <t>P1.1956</t>
  </si>
  <si>
    <t>P1.1958</t>
  </si>
  <si>
    <t>P1.1959</t>
  </si>
  <si>
    <t>P1.1960</t>
  </si>
  <si>
    <t>P1.1961</t>
  </si>
  <si>
    <t>P1.1962</t>
  </si>
  <si>
    <t>P1.1963</t>
  </si>
  <si>
    <t>P1.1964</t>
  </si>
  <si>
    <t>P1.1965</t>
  </si>
  <si>
    <t>P1.1968</t>
  </si>
  <si>
    <t>P1.1969</t>
  </si>
  <si>
    <t>P1.1970</t>
  </si>
  <si>
    <t>P1.1971</t>
  </si>
  <si>
    <t>P1.1972</t>
  </si>
  <si>
    <t>P1.1973</t>
  </si>
  <si>
    <t>P1.1974</t>
  </si>
  <si>
    <t>P1.1975</t>
  </si>
  <si>
    <t>P1.1976</t>
  </si>
  <si>
    <t>P1.1977</t>
  </si>
  <si>
    <t>P1.1978</t>
  </si>
  <si>
    <t>P1.1979</t>
  </si>
  <si>
    <t>P1.1980</t>
  </si>
  <si>
    <t>P1.1981</t>
  </si>
  <si>
    <t>P1.1982</t>
  </si>
  <si>
    <t>P1.1983</t>
  </si>
  <si>
    <t>P1.1984</t>
  </si>
  <si>
    <t>P1.1985</t>
  </si>
  <si>
    <t>P1.1986</t>
  </si>
  <si>
    <t>P1.1987</t>
  </si>
  <si>
    <t>P1.1988</t>
  </si>
  <si>
    <t>P1.1989</t>
  </si>
  <si>
    <t>P1.1990</t>
  </si>
  <si>
    <t>P1.1991</t>
  </si>
  <si>
    <t>P1.1992</t>
  </si>
  <si>
    <t>P1.1993</t>
  </si>
  <si>
    <t>P1.1994</t>
  </si>
  <si>
    <t>P1.1995</t>
  </si>
  <si>
    <t>P1.1996</t>
  </si>
  <si>
    <t>P1.1997</t>
  </si>
  <si>
    <t>P1.1998</t>
  </si>
  <si>
    <t>P1.1999</t>
  </si>
  <si>
    <t>P1.2000</t>
  </si>
  <si>
    <t>P1.2001</t>
  </si>
  <si>
    <t>P1.2002</t>
  </si>
  <si>
    <t>P1.2003</t>
  </si>
  <si>
    <t>P1.2004</t>
  </si>
  <si>
    <t>P1.2005</t>
  </si>
  <si>
    <t>P1.2007</t>
  </si>
  <si>
    <t>P1.2008</t>
  </si>
  <si>
    <t>P1.2009</t>
  </si>
  <si>
    <t>P1.2010</t>
  </si>
  <si>
    <t>P1.2011</t>
  </si>
  <si>
    <t>P1.2012</t>
  </si>
  <si>
    <t>P1.2013</t>
  </si>
  <si>
    <t>P1.2014</t>
  </si>
  <si>
    <t>P1.2015</t>
  </si>
  <si>
    <t>P1.2016</t>
  </si>
  <si>
    <t>P1.2017</t>
  </si>
  <si>
    <t>P1.2019</t>
  </si>
  <si>
    <t>P1.2020</t>
  </si>
  <si>
    <t>P1.2021</t>
  </si>
  <si>
    <t>P1.2022</t>
  </si>
  <si>
    <t>P1.2023</t>
  </si>
  <si>
    <t>P1.2024</t>
  </si>
  <si>
    <t>P1.2025</t>
  </si>
  <si>
    <t>P1.2026</t>
  </si>
  <si>
    <t>P1.2028</t>
  </si>
  <si>
    <t>P1.2030</t>
  </si>
  <si>
    <t>P1.2031</t>
  </si>
  <si>
    <t>P1.2032</t>
  </si>
  <si>
    <t>P1.2033</t>
  </si>
  <si>
    <t>P1.2034</t>
  </si>
  <si>
    <t>P1.2035</t>
  </si>
  <si>
    <t>P1.2036</t>
  </si>
  <si>
    <t>P1.2037</t>
  </si>
  <si>
    <t>P1.2038</t>
  </si>
  <si>
    <t>P1.2039</t>
  </si>
  <si>
    <t>P1.2040</t>
  </si>
  <si>
    <t>P1.2041</t>
  </si>
  <si>
    <t>P1.2042</t>
  </si>
  <si>
    <t>P1.2043</t>
  </si>
  <si>
    <t>P1.2044</t>
  </si>
  <si>
    <t>P1.2045</t>
  </si>
  <si>
    <t>P1.2047</t>
  </si>
  <si>
    <t>P1.2049</t>
  </si>
  <si>
    <t>P1.2050</t>
  </si>
  <si>
    <t>P1.2051</t>
  </si>
  <si>
    <t>P1.2052</t>
  </si>
  <si>
    <t>P1.2053</t>
  </si>
  <si>
    <t>P1.2054</t>
  </si>
  <si>
    <t>P1.2055</t>
  </si>
  <si>
    <t>P1.2056</t>
  </si>
  <si>
    <t>P1.2057</t>
  </si>
  <si>
    <t>P1.2058</t>
  </si>
  <si>
    <t>P1.2059</t>
  </si>
  <si>
    <t>P1.2060</t>
  </si>
  <si>
    <t>P1.2061</t>
  </si>
  <si>
    <t>P1.2062</t>
  </si>
  <si>
    <t>P1.2063</t>
  </si>
  <si>
    <t>P1.2064</t>
  </si>
  <si>
    <t>P1.2065</t>
  </si>
  <si>
    <t>P1.2066</t>
  </si>
  <si>
    <t>P1.2067</t>
  </si>
  <si>
    <t>P1.2068</t>
  </si>
  <si>
    <t>P1.2069</t>
  </si>
  <si>
    <t>P1.2070</t>
  </si>
  <si>
    <t>P1.2071</t>
  </si>
  <si>
    <t>P1.2072</t>
  </si>
  <si>
    <t>P1.2073</t>
  </si>
  <si>
    <t>P1.2074</t>
  </si>
  <si>
    <t>P1.2075</t>
  </si>
  <si>
    <t>P1.2076</t>
  </si>
  <si>
    <t>P1.2077</t>
  </si>
  <si>
    <t>P1.2078</t>
  </si>
  <si>
    <t>P1.2079</t>
  </si>
  <si>
    <t>P1.2080</t>
  </si>
  <si>
    <t>P1.2081</t>
  </si>
  <si>
    <t>P1.2082</t>
  </si>
  <si>
    <t>P1.2083</t>
  </si>
  <si>
    <t>P1.2084</t>
  </si>
  <si>
    <t>P1.2085</t>
  </si>
  <si>
    <t>P1.2086</t>
  </si>
  <si>
    <t>P1.2087</t>
  </si>
  <si>
    <t>P1.2088</t>
  </si>
  <si>
    <t>P1.2089</t>
  </si>
  <si>
    <t>P1.2090</t>
  </si>
  <si>
    <t>P1.70</t>
  </si>
  <si>
    <t xml:space="preserve">~No. of problems
 /individual </t>
  </si>
  <si>
    <t>PLEASE DO NOT EDIT OR DELETE THIS SHEET</t>
  </si>
  <si>
    <t>P1.29</t>
  </si>
  <si>
    <t>P1.52</t>
  </si>
  <si>
    <t>P1.100</t>
  </si>
  <si>
    <t>P1.116</t>
  </si>
  <si>
    <t>P1.135</t>
  </si>
  <si>
    <t>P1.136</t>
  </si>
  <si>
    <t>P1.153</t>
  </si>
  <si>
    <t>P1.154</t>
  </si>
  <si>
    <t>P1.163</t>
  </si>
  <si>
    <t>P1.185</t>
  </si>
  <si>
    <t>P1.192</t>
  </si>
  <si>
    <t>P1.203</t>
  </si>
  <si>
    <t>P1.206</t>
  </si>
  <si>
    <t>P1.216</t>
  </si>
  <si>
    <t>P1.225</t>
  </si>
  <si>
    <t>P1.231</t>
  </si>
  <si>
    <t>P1.234</t>
  </si>
  <si>
    <t>P1.256</t>
  </si>
  <si>
    <t>P1.286</t>
  </si>
  <si>
    <t>P1.294</t>
  </si>
  <si>
    <t>P1.303</t>
  </si>
  <si>
    <t>P1.328</t>
  </si>
  <si>
    <t>P1.346</t>
  </si>
  <si>
    <t>P1.348</t>
  </si>
  <si>
    <t>P1.351</t>
  </si>
  <si>
    <t>P1.354</t>
  </si>
  <si>
    <t>P1.371</t>
  </si>
  <si>
    <t>P1.378</t>
  </si>
  <si>
    <t>P1.382</t>
  </si>
  <si>
    <t>P1.385</t>
  </si>
  <si>
    <t>P1.391</t>
  </si>
  <si>
    <t>P1.401</t>
  </si>
  <si>
    <t>P1.405</t>
  </si>
  <si>
    <t>P1.424</t>
  </si>
  <si>
    <t>P1.428</t>
  </si>
  <si>
    <t>P1.462</t>
  </si>
  <si>
    <t>P1.490</t>
  </si>
  <si>
    <t>P1.497</t>
  </si>
  <si>
    <t>P1.535</t>
  </si>
  <si>
    <t>P1.551</t>
  </si>
  <si>
    <t>P1.570</t>
  </si>
  <si>
    <t>P1.578</t>
  </si>
  <si>
    <t>P1.636</t>
  </si>
  <si>
    <t>P1.643</t>
  </si>
  <si>
    <t>P1.655</t>
  </si>
  <si>
    <t>P1.659</t>
  </si>
  <si>
    <t>P1.687</t>
  </si>
  <si>
    <t>P1.763</t>
  </si>
  <si>
    <t>P1.766</t>
  </si>
  <si>
    <t>P1.782</t>
  </si>
  <si>
    <t>P1.785</t>
  </si>
  <si>
    <t>P1.811</t>
  </si>
  <si>
    <t>P1.820</t>
  </si>
  <si>
    <t>P1.826</t>
  </si>
  <si>
    <t>P1.887</t>
  </si>
  <si>
    <t>P1.888</t>
  </si>
  <si>
    <t>P1.898</t>
  </si>
  <si>
    <t>P1.910</t>
  </si>
  <si>
    <t>P1.912</t>
  </si>
  <si>
    <t>P1.917</t>
  </si>
  <si>
    <t>P1.960</t>
  </si>
  <si>
    <t>P1.972</t>
  </si>
  <si>
    <t>P1.1027</t>
  </si>
  <si>
    <t>P1.1032</t>
  </si>
  <si>
    <t>P1.1036</t>
  </si>
  <si>
    <t>P1.1055</t>
  </si>
  <si>
    <t>P1.1059</t>
  </si>
  <si>
    <t>P1.1092</t>
  </si>
  <si>
    <t>P1.1104</t>
  </si>
  <si>
    <t>P1.1123</t>
  </si>
  <si>
    <t>P1.1160</t>
  </si>
  <si>
    <t>P1.1166</t>
  </si>
  <si>
    <t>P1.1211</t>
  </si>
  <si>
    <t>P1.1238</t>
  </si>
  <si>
    <t>P1.1269</t>
  </si>
  <si>
    <t>P1.1283</t>
  </si>
  <si>
    <t>P1.1298</t>
  </si>
  <si>
    <t>P1.1359</t>
  </si>
  <si>
    <t>P1.1363</t>
  </si>
  <si>
    <t>P1.1374</t>
  </si>
  <si>
    <t>P1.1375</t>
  </si>
  <si>
    <t>P1.1405</t>
  </si>
  <si>
    <t>P1.1411</t>
  </si>
  <si>
    <t>P1.1430</t>
  </si>
  <si>
    <t>P1.1497</t>
  </si>
  <si>
    <t>P1.1534</t>
  </si>
  <si>
    <t>P1.1565</t>
  </si>
  <si>
    <t>P1.1572</t>
  </si>
  <si>
    <t>P1.1593</t>
  </si>
  <si>
    <t>P1.1594</t>
  </si>
  <si>
    <t>P1.1595</t>
  </si>
  <si>
    <t>P1.1607</t>
  </si>
  <si>
    <t>P1.1612</t>
  </si>
  <si>
    <t>P1.1631</t>
  </si>
  <si>
    <t>P1.1678</t>
  </si>
  <si>
    <t>P1.1845</t>
  </si>
  <si>
    <t>P1.1884</t>
  </si>
  <si>
    <t>P1.1895</t>
  </si>
  <si>
    <t>P1.1898</t>
  </si>
  <si>
    <t>P1.1901</t>
  </si>
  <si>
    <t>P1.1932</t>
  </si>
  <si>
    <t>P1.1947</t>
  </si>
  <si>
    <t>P1.2029</t>
  </si>
  <si>
    <t>P1.2091</t>
  </si>
  <si>
    <t>P1.2092</t>
  </si>
  <si>
    <t>P1.2093</t>
  </si>
  <si>
    <t>P1.2094</t>
  </si>
  <si>
    <t>P1.2095</t>
  </si>
  <si>
    <t>P1.2096</t>
  </si>
  <si>
    <t>P1.2097</t>
  </si>
  <si>
    <t>P1.2098</t>
  </si>
  <si>
    <t>P1.2099</t>
  </si>
  <si>
    <t>P1.2100</t>
  </si>
  <si>
    <t>P1.2101</t>
  </si>
  <si>
    <t>P1.2102</t>
  </si>
  <si>
    <t>P1.2103</t>
  </si>
  <si>
    <t>P1.2104</t>
  </si>
  <si>
    <t>P1.2105</t>
  </si>
  <si>
    <t>P1.2106</t>
  </si>
  <si>
    <t>P1.2107</t>
  </si>
  <si>
    <t>P1.2108</t>
  </si>
  <si>
    <t>P1.2109</t>
  </si>
  <si>
    <t>P1.2110</t>
  </si>
  <si>
    <t>P1.2111</t>
  </si>
  <si>
    <t>P1.2112</t>
  </si>
  <si>
    <t>P1.2113</t>
  </si>
  <si>
    <t>P1.2114</t>
  </si>
  <si>
    <t>P1.2115</t>
  </si>
  <si>
    <t>P1.2116</t>
  </si>
  <si>
    <t>P1.2117</t>
  </si>
  <si>
    <t>P1.2118</t>
  </si>
  <si>
    <t>P1.2119</t>
  </si>
  <si>
    <t>P1.2120</t>
  </si>
  <si>
    <t>P1.2121</t>
  </si>
  <si>
    <t>P1.2122</t>
  </si>
  <si>
    <t>P1.2123</t>
  </si>
  <si>
    <t>P1.2124</t>
  </si>
  <si>
    <t>P1.2125</t>
  </si>
  <si>
    <t>P1.2126</t>
  </si>
  <si>
    <t>P1.2127</t>
  </si>
  <si>
    <t>P1.2128</t>
  </si>
  <si>
    <t>P1.2129</t>
  </si>
  <si>
    <t>P1.2130</t>
  </si>
  <si>
    <t>P1.2131</t>
  </si>
  <si>
    <t>P1.2132</t>
  </si>
  <si>
    <t>P1.2133</t>
  </si>
  <si>
    <t>P1.2134</t>
  </si>
  <si>
    <t>P1.2135</t>
  </si>
  <si>
    <t>P1.2136</t>
  </si>
  <si>
    <t>P1.2137</t>
  </si>
  <si>
    <t>P1.2138</t>
  </si>
  <si>
    <t>P1.2139</t>
  </si>
  <si>
    <t>P1.2140</t>
  </si>
  <si>
    <t>P1.2141</t>
  </si>
  <si>
    <t>P1.2142</t>
  </si>
  <si>
    <t>P1.2143</t>
  </si>
  <si>
    <t>P1.2144</t>
  </si>
  <si>
    <t>P1.2145</t>
  </si>
  <si>
    <t>P1.2146</t>
  </si>
  <si>
    <t>P1.2147</t>
  </si>
  <si>
    <t>P1.2148</t>
  </si>
  <si>
    <t>P1.2149</t>
  </si>
  <si>
    <t>P1.2150</t>
  </si>
  <si>
    <t>P1.2151</t>
  </si>
  <si>
    <t>P1.2152</t>
  </si>
  <si>
    <t>P1.2153</t>
  </si>
  <si>
    <t>P1.2154</t>
  </si>
  <si>
    <t>P1.2155</t>
  </si>
  <si>
    <t>P1.2156</t>
  </si>
  <si>
    <t>P1.2157</t>
  </si>
  <si>
    <t>P1.2158</t>
  </si>
  <si>
    <t>P1.2159</t>
  </si>
  <si>
    <t>P1.2160</t>
  </si>
  <si>
    <t>P1.2161</t>
  </si>
  <si>
    <t>P1.2162</t>
  </si>
  <si>
    <t>P1.2163</t>
  </si>
  <si>
    <t>P1.2164</t>
  </si>
  <si>
    <t>P1.2165</t>
  </si>
  <si>
    <t>P1.2166</t>
  </si>
  <si>
    <t>P1.2167</t>
  </si>
  <si>
    <t>P1.2168</t>
  </si>
  <si>
    <t>P1.2169</t>
  </si>
  <si>
    <t>P1.2170</t>
  </si>
  <si>
    <t>P1.2171</t>
  </si>
  <si>
    <t>P1.2172</t>
  </si>
  <si>
    <t>P1.2173</t>
  </si>
  <si>
    <t>P1.2174</t>
  </si>
  <si>
    <t>P1.2175</t>
  </si>
  <si>
    <t>P1.2176</t>
  </si>
  <si>
    <t>P1.2177</t>
  </si>
  <si>
    <t>P1.2178</t>
  </si>
  <si>
    <t>P1.2179</t>
  </si>
  <si>
    <t>P1.2180</t>
  </si>
  <si>
    <t>P1.2181</t>
  </si>
  <si>
    <t>P1.2182</t>
  </si>
  <si>
    <t>P1.2183</t>
  </si>
  <si>
    <t>P1.2184</t>
  </si>
  <si>
    <t>P1.2185</t>
  </si>
  <si>
    <t>P1.2186</t>
  </si>
  <si>
    <t>P1.2187</t>
  </si>
  <si>
    <t>P1.2188</t>
  </si>
  <si>
    <t>P1.2189</t>
  </si>
  <si>
    <t>P1.2190</t>
  </si>
  <si>
    <t>P1.2191</t>
  </si>
  <si>
    <t>P1.2192</t>
  </si>
  <si>
    <t>P1.2193</t>
  </si>
  <si>
    <t>P1.2194</t>
  </si>
  <si>
    <t>P1.2195</t>
  </si>
  <si>
    <t>P1.2196</t>
  </si>
  <si>
    <t>P1.2197</t>
  </si>
  <si>
    <t>P1.2198</t>
  </si>
  <si>
    <t>P1.2199</t>
  </si>
  <si>
    <t>P1.2200</t>
  </si>
  <si>
    <t>P1.2201</t>
  </si>
  <si>
    <t>P1.2202</t>
  </si>
  <si>
    <t>P1.2203</t>
  </si>
  <si>
    <t>P1.2204</t>
  </si>
  <si>
    <t>P1.2205</t>
  </si>
  <si>
    <t>P1.2206</t>
  </si>
  <si>
    <t>P1.2207</t>
  </si>
  <si>
    <t>P1.2208</t>
  </si>
  <si>
    <t>P1.2209</t>
  </si>
  <si>
    <t>P1.2210</t>
  </si>
  <si>
    <t>P1.2211</t>
  </si>
  <si>
    <t>P1.2212</t>
  </si>
  <si>
    <t>P1.2213</t>
  </si>
  <si>
    <t>P1.2214</t>
  </si>
  <si>
    <t>P1.2215</t>
  </si>
  <si>
    <t>P1.2216</t>
  </si>
  <si>
    <t>P1.2217</t>
  </si>
  <si>
    <t>P1.2218</t>
  </si>
  <si>
    <t>P1.2219</t>
  </si>
  <si>
    <t>P1.2220</t>
  </si>
  <si>
    <t>P1.2221</t>
  </si>
  <si>
    <t>P1.2222</t>
  </si>
  <si>
    <t>P1.2223</t>
  </si>
  <si>
    <t>P1.2224</t>
  </si>
  <si>
    <t>P1.2225</t>
  </si>
  <si>
    <t>P1.2226</t>
  </si>
  <si>
    <t>P1.2227</t>
  </si>
  <si>
    <t>P1.2228</t>
  </si>
  <si>
    <t>P1.2229</t>
  </si>
  <si>
    <t>P1.2230</t>
  </si>
  <si>
    <t>P1.2231</t>
  </si>
  <si>
    <t>P1.2232</t>
  </si>
  <si>
    <t>P1.2233</t>
  </si>
  <si>
    <t>P1.2234</t>
  </si>
  <si>
    <t>P1.2235</t>
  </si>
  <si>
    <t>P1.2236</t>
  </si>
  <si>
    <t>P1.2237</t>
  </si>
  <si>
    <t>P1.2238</t>
  </si>
  <si>
    <t>P1.2239</t>
  </si>
  <si>
    <t>P1.2240</t>
  </si>
  <si>
    <t>P1.2241</t>
  </si>
  <si>
    <t>P1.2242</t>
  </si>
  <si>
    <t>P1.2243</t>
  </si>
  <si>
    <t>P1.2244</t>
  </si>
  <si>
    <t>P1.2245</t>
  </si>
  <si>
    <t>P1.2246</t>
  </si>
  <si>
    <t>P1.2247</t>
  </si>
  <si>
    <t>P1.2248</t>
  </si>
  <si>
    <t>P1.2249</t>
  </si>
  <si>
    <t>P1.2250</t>
  </si>
  <si>
    <t>P1.2251</t>
  </si>
  <si>
    <t>P1.2252</t>
  </si>
  <si>
    <t>P1.2253</t>
  </si>
  <si>
    <t>P1.2254</t>
  </si>
  <si>
    <t>P1.2255</t>
  </si>
  <si>
    <t>P1.2256</t>
  </si>
  <si>
    <t>P1.2257</t>
  </si>
  <si>
    <t>P1.2258</t>
  </si>
  <si>
    <t>P1.2259</t>
  </si>
  <si>
    <t>P1.2260</t>
  </si>
  <si>
    <t>P1.2261</t>
  </si>
  <si>
    <t>P1.2262</t>
  </si>
  <si>
    <t>P1.2263</t>
  </si>
  <si>
    <t>P1.2264</t>
  </si>
  <si>
    <t>P1.2265</t>
  </si>
  <si>
    <t>P1.2266</t>
  </si>
  <si>
    <t>P1.2267</t>
  </si>
  <si>
    <t>P1.2268</t>
  </si>
  <si>
    <t>P1.2269</t>
  </si>
  <si>
    <t>P1.2270</t>
  </si>
  <si>
    <t>P1.2271</t>
  </si>
  <si>
    <t>P1.2272</t>
  </si>
  <si>
    <t>P1.2273</t>
  </si>
  <si>
    <t>P1.2274</t>
  </si>
  <si>
    <t>P1.2275</t>
  </si>
  <si>
    <t>P1.2276</t>
  </si>
  <si>
    <t>P1.2277</t>
  </si>
  <si>
    <t>P1.2278</t>
  </si>
  <si>
    <t>P1.2279</t>
  </si>
  <si>
    <t>P1.2280</t>
  </si>
  <si>
    <t>P1.2281</t>
  </si>
  <si>
    <t>P1.2282</t>
  </si>
  <si>
    <t>P1.2283</t>
  </si>
  <si>
    <t>P1.2284</t>
  </si>
  <si>
    <t>P1.2285</t>
  </si>
  <si>
    <t>P1.2286</t>
  </si>
  <si>
    <t>P1.2287</t>
  </si>
  <si>
    <t>P1.2288</t>
  </si>
  <si>
    <t>P1.2289</t>
  </si>
  <si>
    <t>P1.2290</t>
  </si>
  <si>
    <t>P1.2291</t>
  </si>
  <si>
    <t>P1.2292</t>
  </si>
  <si>
    <t>P1.2293</t>
  </si>
  <si>
    <t>P1.2294</t>
  </si>
  <si>
    <t>P1.2295</t>
  </si>
  <si>
    <t>P1.2296</t>
  </si>
  <si>
    <t>P1.2297</t>
  </si>
  <si>
    <t>P1.2298</t>
  </si>
  <si>
    <t>P1.2299</t>
  </si>
  <si>
    <t>P1.2300</t>
  </si>
  <si>
    <t>P1.2301</t>
  </si>
  <si>
    <t>P1.2302</t>
  </si>
  <si>
    <t>P1.2303</t>
  </si>
  <si>
    <t>P1.2304</t>
  </si>
  <si>
    <t>P1.2305</t>
  </si>
  <si>
    <t>P1.2306</t>
  </si>
  <si>
    <t>P1.2307</t>
  </si>
  <si>
    <t>P1.2308</t>
  </si>
  <si>
    <t>P1.2309</t>
  </si>
  <si>
    <t>P1.2310</t>
  </si>
  <si>
    <t>P1.2311</t>
  </si>
  <si>
    <t>P1.2312</t>
  </si>
  <si>
    <t>P1.2313</t>
  </si>
  <si>
    <t>P1.2314</t>
  </si>
  <si>
    <t>P1.2315</t>
  </si>
  <si>
    <t>P1.2316</t>
  </si>
  <si>
    <t>P1.2317</t>
  </si>
  <si>
    <t>P1.2318</t>
  </si>
  <si>
    <t>P1.2319</t>
  </si>
  <si>
    <t>P1.2320</t>
  </si>
  <si>
    <t>P1.2321</t>
  </si>
  <si>
    <t>P1.2322</t>
  </si>
  <si>
    <t>P1.2323</t>
  </si>
  <si>
    <t>P1.2324</t>
  </si>
  <si>
    <t>P1.2325</t>
  </si>
  <si>
    <t>P1.2326</t>
  </si>
  <si>
    <t>P1.2327</t>
  </si>
  <si>
    <t>P1.2328</t>
  </si>
  <si>
    <t>P1.2329</t>
  </si>
  <si>
    <t>P1.2330</t>
  </si>
  <si>
    <t>P1.2331</t>
  </si>
  <si>
    <t>P1.2332</t>
  </si>
  <si>
    <t>P1.2333</t>
  </si>
  <si>
    <t>P1.2334</t>
  </si>
  <si>
    <t>P1.2335</t>
  </si>
  <si>
    <t>P1.2336</t>
  </si>
  <si>
    <t>P1.2337</t>
  </si>
  <si>
    <t>P1.2338</t>
  </si>
  <si>
    <t>P1.2339</t>
  </si>
  <si>
    <t>P1.2340</t>
  </si>
  <si>
    <t>P1.2341</t>
  </si>
  <si>
    <t>P1.2342</t>
  </si>
  <si>
    <t>P1.2343</t>
  </si>
  <si>
    <t>P1.2344</t>
  </si>
  <si>
    <t>P1.2345</t>
  </si>
  <si>
    <t>P1.2346</t>
  </si>
  <si>
    <t>P1.2347</t>
  </si>
  <si>
    <t>P1.2348</t>
  </si>
  <si>
    <t>P1.2349</t>
  </si>
  <si>
    <t>P1.2350</t>
  </si>
  <si>
    <t>P1.2351</t>
  </si>
  <si>
    <t>P1.2352</t>
  </si>
  <si>
    <t>P1.2353</t>
  </si>
  <si>
    <t>P1.2354</t>
  </si>
  <si>
    <t>P1.2355</t>
  </si>
  <si>
    <t>P1.2356</t>
  </si>
  <si>
    <t>P1.2357</t>
  </si>
  <si>
    <t>P1.2358</t>
  </si>
  <si>
    <t>P1.2359</t>
  </si>
  <si>
    <t>P1.2360</t>
  </si>
  <si>
    <t>P1.2361</t>
  </si>
  <si>
    <t>P1.2362</t>
  </si>
  <si>
    <t>P1.2363</t>
  </si>
  <si>
    <t>P1.2364</t>
  </si>
  <si>
    <t>P1.2365</t>
  </si>
  <si>
    <t>P1.2366</t>
  </si>
  <si>
    <t>P1.2367</t>
  </si>
  <si>
    <t>P1.2368</t>
  </si>
  <si>
    <t>P1.2369</t>
  </si>
  <si>
    <t>P1.2370</t>
  </si>
  <si>
    <t>P1.2371</t>
  </si>
  <si>
    <t>P1.2372</t>
  </si>
  <si>
    <t>P1.2373</t>
  </si>
  <si>
    <t>P1.2374</t>
  </si>
  <si>
    <t>P1.2375</t>
  </si>
  <si>
    <t>P1.2376</t>
  </si>
  <si>
    <t>P1.2377</t>
  </si>
  <si>
    <t>P1.2378</t>
  </si>
  <si>
    <t>P1.2379</t>
  </si>
  <si>
    <t>P1.2380</t>
  </si>
  <si>
    <t>P1.2381</t>
  </si>
  <si>
    <t>P1.2382</t>
  </si>
  <si>
    <t>P1.2383</t>
  </si>
  <si>
    <t>P1.2384</t>
  </si>
  <si>
    <t>P1.2385</t>
  </si>
  <si>
    <t>P1.2386</t>
  </si>
  <si>
    <t>P1.2387</t>
  </si>
  <si>
    <t>P1.2388</t>
  </si>
  <si>
    <t>P1.2389</t>
  </si>
  <si>
    <t>P1.2390</t>
  </si>
  <si>
    <t>P1.2391</t>
  </si>
  <si>
    <t>P1.2392</t>
  </si>
  <si>
    <t>P1.2393</t>
  </si>
  <si>
    <t>P1.2394</t>
  </si>
  <si>
    <t>P1.2395</t>
  </si>
  <si>
    <t>P1.2396</t>
  </si>
  <si>
    <t>P1.2397</t>
  </si>
  <si>
    <t>P1.2398</t>
  </si>
  <si>
    <t>P1.2399</t>
  </si>
  <si>
    <t>P1.2400</t>
  </si>
  <si>
    <t>P1.2401</t>
  </si>
  <si>
    <t>P1.2402</t>
  </si>
  <si>
    <t>P1.2403</t>
  </si>
  <si>
    <t>P1.2404</t>
  </si>
  <si>
    <t>P1.2405</t>
  </si>
  <si>
    <t>P1.2406</t>
  </si>
  <si>
    <t>P1.2407</t>
  </si>
  <si>
    <t>P1.2408</t>
  </si>
  <si>
    <t>P1.2409</t>
  </si>
  <si>
    <t>P1.2410</t>
  </si>
  <si>
    <t>P1.2411</t>
  </si>
  <si>
    <t>P1.2412</t>
  </si>
  <si>
    <t>P1.2413</t>
  </si>
  <si>
    <t>P1.2414</t>
  </si>
  <si>
    <t>P1.2415</t>
  </si>
  <si>
    <t>P1.2416</t>
  </si>
  <si>
    <t>P1.2417</t>
  </si>
  <si>
    <t>P1.2418</t>
  </si>
  <si>
    <t>P1.2419</t>
  </si>
  <si>
    <t>P1.2420</t>
  </si>
  <si>
    <t>P1.2421</t>
  </si>
  <si>
    <t>P1.2422</t>
  </si>
  <si>
    <t>P1.2423</t>
  </si>
  <si>
    <t>P1.2424</t>
  </si>
  <si>
    <t>P1.2425</t>
  </si>
  <si>
    <t>P1.2426</t>
  </si>
  <si>
    <t>P1.2427</t>
  </si>
  <si>
    <t>P1.2428</t>
  </si>
  <si>
    <t>P1.2429</t>
  </si>
  <si>
    <t>P1.2430</t>
  </si>
  <si>
    <t>P1.2431</t>
  </si>
  <si>
    <t>P1.2432</t>
  </si>
  <si>
    <t>P1.2433</t>
  </si>
  <si>
    <t>P1.2434</t>
  </si>
  <si>
    <t>P1.2435</t>
  </si>
  <si>
    <t>P1.2436</t>
  </si>
  <si>
    <t>P1.2437</t>
  </si>
  <si>
    <t>P1.2438</t>
  </si>
  <si>
    <t>P1.2439</t>
  </si>
  <si>
    <t>P1.2440</t>
  </si>
  <si>
    <t>P1.2441</t>
  </si>
  <si>
    <t>P1.2442</t>
  </si>
  <si>
    <t>P1.2443</t>
  </si>
  <si>
    <t>P1.2444</t>
  </si>
  <si>
    <t>P1.2445</t>
  </si>
  <si>
    <t>P1.2446</t>
  </si>
  <si>
    <t>P1.2447</t>
  </si>
  <si>
    <t>P1.2448</t>
  </si>
  <si>
    <t>P1.2449</t>
  </si>
  <si>
    <t>P1.2450</t>
  </si>
  <si>
    <t>P1.2451</t>
  </si>
  <si>
    <t>P1.2452</t>
  </si>
  <si>
    <t>P1.2453</t>
  </si>
  <si>
    <t>P1.2454</t>
  </si>
  <si>
    <t>P1.2455</t>
  </si>
  <si>
    <t>P1.2456</t>
  </si>
  <si>
    <t>P1.2457</t>
  </si>
  <si>
    <t>P1.2458</t>
  </si>
  <si>
    <t>P1.2459</t>
  </si>
  <si>
    <t>P1.2460</t>
  </si>
  <si>
    <t>P1.2461</t>
  </si>
  <si>
    <t>P1.2462</t>
  </si>
  <si>
    <t>P1.2463</t>
  </si>
  <si>
    <t>P1.2464</t>
  </si>
  <si>
    <t>P1.2465</t>
  </si>
  <si>
    <t>P1.2466</t>
  </si>
  <si>
    <t>P1.2467</t>
  </si>
  <si>
    <t>P1.2468</t>
  </si>
  <si>
    <t>P1.2469</t>
  </si>
  <si>
    <t>P1.2470</t>
  </si>
  <si>
    <t>P1.2471</t>
  </si>
  <si>
    <t>P1.2472</t>
  </si>
  <si>
    <t>P1.2473</t>
  </si>
  <si>
    <t>P1.2474</t>
  </si>
  <si>
    <t>P1.2475</t>
  </si>
  <si>
    <t>P1.2476</t>
  </si>
  <si>
    <t>P1.2477</t>
  </si>
  <si>
    <t>P1.2478</t>
  </si>
  <si>
    <t>P1.2479</t>
  </si>
  <si>
    <t>P1.2480</t>
  </si>
  <si>
    <t>P1.2481</t>
  </si>
  <si>
    <t>P1.2482</t>
  </si>
  <si>
    <t>P1.2483</t>
  </si>
  <si>
    <t>P1.2484</t>
  </si>
  <si>
    <t>P1.2485</t>
  </si>
  <si>
    <t>P1.2486</t>
  </si>
  <si>
    <t>P1.2487</t>
  </si>
  <si>
    <t>P1.2488</t>
  </si>
  <si>
    <t>P1.2489</t>
  </si>
  <si>
    <t>P1.2490</t>
  </si>
  <si>
    <t>P1.2491</t>
  </si>
  <si>
    <t>P1.2492</t>
  </si>
  <si>
    <t>P1.2493</t>
  </si>
  <si>
    <t>P1.2494</t>
  </si>
  <si>
    <t>P1.2495</t>
  </si>
  <si>
    <t>P1.2496</t>
  </si>
  <si>
    <t>P1.2497</t>
  </si>
  <si>
    <t>P1.2498</t>
  </si>
  <si>
    <t>P1.2499</t>
  </si>
  <si>
    <t>P1.2500</t>
  </si>
  <si>
    <t>P1.2501</t>
  </si>
  <si>
    <t>P1.2502</t>
  </si>
  <si>
    <t>P1.2503</t>
  </si>
  <si>
    <t>P1.2504</t>
  </si>
  <si>
    <t>P1.2505</t>
  </si>
  <si>
    <t>P1.2506</t>
  </si>
  <si>
    <t>P1.2507</t>
  </si>
  <si>
    <t>P1.2508</t>
  </si>
  <si>
    <t>P1.2509</t>
  </si>
  <si>
    <t>P1.2510</t>
  </si>
  <si>
    <t>P1.2511</t>
  </si>
  <si>
    <t>P1.2512</t>
  </si>
  <si>
    <t>P1.2513</t>
  </si>
  <si>
    <t>P1.2514</t>
  </si>
  <si>
    <t>P1.2515</t>
  </si>
  <si>
    <t>P1.2516</t>
  </si>
  <si>
    <t>P1.2517</t>
  </si>
  <si>
    <t>P1.2518</t>
  </si>
  <si>
    <t>P1.2519</t>
  </si>
  <si>
    <t>P1.2520</t>
  </si>
  <si>
    <t>P1.2521</t>
  </si>
  <si>
    <t>P1.2522</t>
  </si>
  <si>
    <t>P1.2523</t>
  </si>
  <si>
    <t>P1.2524</t>
  </si>
  <si>
    <t>P1.2525</t>
  </si>
  <si>
    <t>P1.2526</t>
  </si>
  <si>
    <t>P1.2527</t>
  </si>
  <si>
    <t>P1.2528</t>
  </si>
  <si>
    <t>P1.2529</t>
  </si>
  <si>
    <t>P1.2530</t>
  </si>
  <si>
    <t>P1.2531</t>
  </si>
  <si>
    <t>P1.2532</t>
  </si>
  <si>
    <t>P1.2533</t>
  </si>
  <si>
    <t>P1.2534</t>
  </si>
  <si>
    <t>P1.2535</t>
  </si>
  <si>
    <t>P1.2536</t>
  </si>
  <si>
    <t>P1.2537</t>
  </si>
  <si>
    <t>P1.2538</t>
  </si>
  <si>
    <t>P1.2539</t>
  </si>
  <si>
    <t>P1.2540</t>
  </si>
  <si>
    <t>P1.2541</t>
  </si>
  <si>
    <t>P1.2542</t>
  </si>
  <si>
    <t>P1.2543</t>
  </si>
  <si>
    <t>P1.2544</t>
  </si>
  <si>
    <t>P1.2545</t>
  </si>
  <si>
    <t>P1.2546</t>
  </si>
  <si>
    <t>P1.2547</t>
  </si>
  <si>
    <t>P1.2548</t>
  </si>
  <si>
    <t>P1.2549</t>
  </si>
  <si>
    <t>P1.2550</t>
  </si>
  <si>
    <t>P1.2551</t>
  </si>
  <si>
    <t>P1.2552</t>
  </si>
  <si>
    <t>P1.2553</t>
  </si>
  <si>
    <t>P1.2554</t>
  </si>
  <si>
    <t>P1.2555</t>
  </si>
  <si>
    <t>P1.2556</t>
  </si>
  <si>
    <t>P1.2557</t>
  </si>
  <si>
    <t>P1.2558</t>
  </si>
  <si>
    <t>P1.2559</t>
  </si>
  <si>
    <t>P1.2560</t>
  </si>
  <si>
    <t>P1.2561</t>
  </si>
  <si>
    <t>P1.2562</t>
  </si>
  <si>
    <t>P1.2563</t>
  </si>
  <si>
    <t>P1.2564</t>
  </si>
  <si>
    <t>P1.2565</t>
  </si>
  <si>
    <t>P1.2566</t>
  </si>
  <si>
    <t>P1.2567</t>
  </si>
  <si>
    <t>P1.2568</t>
  </si>
  <si>
    <t>P1.2569</t>
  </si>
  <si>
    <t>P1.2570</t>
  </si>
  <si>
    <t>P1.2571</t>
  </si>
  <si>
    <t>P1.2572</t>
  </si>
  <si>
    <t>P1.2573</t>
  </si>
  <si>
    <t>P1.2574</t>
  </si>
  <si>
    <t>P1.2575</t>
  </si>
  <si>
    <t>P1.2576</t>
  </si>
  <si>
    <t>P1.2577</t>
  </si>
  <si>
    <t>P1.2578</t>
  </si>
  <si>
    <t>P1.2579</t>
  </si>
  <si>
    <t>P1.2580</t>
  </si>
  <si>
    <t>P1.2581</t>
  </si>
  <si>
    <t>P1.2582</t>
  </si>
  <si>
    <t>P1.2583</t>
  </si>
  <si>
    <t>P1.2584</t>
  </si>
  <si>
    <t>P1.2585</t>
  </si>
  <si>
    <t>P1.2586</t>
  </si>
  <si>
    <t>P1.2587</t>
  </si>
  <si>
    <t>P1.2588</t>
  </si>
  <si>
    <t>P1.2589</t>
  </si>
  <si>
    <t>P1.2590</t>
  </si>
  <si>
    <t>P1.2591</t>
  </si>
  <si>
    <t>P1.2592</t>
  </si>
  <si>
    <t>P1.2593</t>
  </si>
  <si>
    <t>P1.2594</t>
  </si>
  <si>
    <t>P1.2595</t>
  </si>
  <si>
    <t>P1.2596</t>
  </si>
  <si>
    <t>P1.2597</t>
  </si>
  <si>
    <t>P1.2598</t>
  </si>
  <si>
    <t>P1.2599</t>
  </si>
  <si>
    <t>P1.2600</t>
  </si>
  <si>
    <t>P1.2601</t>
  </si>
  <si>
    <t>P1.2602</t>
  </si>
  <si>
    <t>P1.2603</t>
  </si>
  <si>
    <t>P1.2604</t>
  </si>
  <si>
    <t>P1.2605</t>
  </si>
  <si>
    <t>P1.2606</t>
  </si>
  <si>
    <t>P1.2607</t>
  </si>
  <si>
    <t>P1.2608</t>
  </si>
  <si>
    <t>P1.2609</t>
  </si>
  <si>
    <t>P1.2610</t>
  </si>
  <si>
    <t>P1.2611</t>
  </si>
  <si>
    <t>P1.2612</t>
  </si>
  <si>
    <t>P1.2613</t>
  </si>
  <si>
    <t>P1.2614</t>
  </si>
  <si>
    <t>P1.2615</t>
  </si>
  <si>
    <t>P1.2616</t>
  </si>
  <si>
    <t>P1.2617</t>
  </si>
  <si>
    <t>P1.2618</t>
  </si>
  <si>
    <t>P1.2619</t>
  </si>
  <si>
    <t>P1.2620</t>
  </si>
  <si>
    <t>P1.2621</t>
  </si>
  <si>
    <t>P1.2622</t>
  </si>
  <si>
    <t>P1.2623</t>
  </si>
  <si>
    <t>P1.2624</t>
  </si>
  <si>
    <t>P1.2625</t>
  </si>
  <si>
    <t>P1.2626</t>
  </si>
  <si>
    <t>P1.2627</t>
  </si>
  <si>
    <t>P1.2628</t>
  </si>
  <si>
    <t>P1.2629</t>
  </si>
  <si>
    <t>P1.2630</t>
  </si>
  <si>
    <t>P1.2631</t>
  </si>
  <si>
    <t>P1.2632</t>
  </si>
  <si>
    <t>P1.2633</t>
  </si>
  <si>
    <t>P1.2634</t>
  </si>
  <si>
    <t>P1.2635</t>
  </si>
  <si>
    <t>P1.2636</t>
  </si>
  <si>
    <t>P1.2637</t>
  </si>
  <si>
    <t>P1.2638</t>
  </si>
  <si>
    <t>P1.2639</t>
  </si>
  <si>
    <t>P1.2640</t>
  </si>
  <si>
    <t>P1.2641</t>
  </si>
  <si>
    <t>P1.2642</t>
  </si>
  <si>
    <t>P1.2643</t>
  </si>
  <si>
    <t>P1.2644</t>
  </si>
  <si>
    <t>P1.2645</t>
  </si>
  <si>
    <t>P1.2646</t>
  </si>
  <si>
    <t>P1.2647</t>
  </si>
  <si>
    <t>P1.2648</t>
  </si>
  <si>
    <t>P1.2649</t>
  </si>
  <si>
    <t>P1.2650</t>
  </si>
  <si>
    <t>P1.2651</t>
  </si>
  <si>
    <t>P1.2652</t>
  </si>
  <si>
    <t>P1.2653</t>
  </si>
  <si>
    <t>P1.2654</t>
  </si>
  <si>
    <t>P1.2655</t>
  </si>
  <si>
    <t>P1.2656</t>
  </si>
  <si>
    <t>P1.2657</t>
  </si>
  <si>
    <t>P1.2658</t>
  </si>
  <si>
    <t>P1.2659</t>
  </si>
  <si>
    <t>P1.2660</t>
  </si>
  <si>
    <t>P1.2661</t>
  </si>
  <si>
    <t>P1.2662</t>
  </si>
  <si>
    <t>P1.2663</t>
  </si>
  <si>
    <t>P1.2664</t>
  </si>
  <si>
    <t>P1.2665</t>
  </si>
  <si>
    <t>P1.2666</t>
  </si>
  <si>
    <t>P1.2667</t>
  </si>
  <si>
    <t>P1.2668</t>
  </si>
  <si>
    <t>P1.2669</t>
  </si>
  <si>
    <t>P1.2670</t>
  </si>
  <si>
    <t>P1.2671</t>
  </si>
  <si>
    <t>P1.2672</t>
  </si>
  <si>
    <t>P1.2673</t>
  </si>
  <si>
    <t>P1.2674</t>
  </si>
  <si>
    <t>P1.2675</t>
  </si>
  <si>
    <t>P1.2676</t>
  </si>
  <si>
    <t>P1.2677</t>
  </si>
  <si>
    <t>P1.2678</t>
  </si>
  <si>
    <t>P1.2679</t>
  </si>
  <si>
    <t>P1.2680</t>
  </si>
  <si>
    <t>P1.2681</t>
  </si>
  <si>
    <t>P1.2682</t>
  </si>
  <si>
    <t>P1.2683</t>
  </si>
  <si>
    <t>P1.2684</t>
  </si>
  <si>
    <t>P1.2685</t>
  </si>
  <si>
    <t>P1.2686</t>
  </si>
  <si>
    <t>P1.2687</t>
  </si>
  <si>
    <t>P1.2688</t>
  </si>
  <si>
    <t>P1.2689</t>
  </si>
  <si>
    <t>P1.2690</t>
  </si>
  <si>
    <t>P1.2691</t>
  </si>
  <si>
    <t>P1.2692</t>
  </si>
  <si>
    <t>P1.2693</t>
  </si>
  <si>
    <t>P1.2694</t>
  </si>
  <si>
    <t>P1.2695</t>
  </si>
  <si>
    <t>P1.2696</t>
  </si>
  <si>
    <t>P1.2697</t>
  </si>
  <si>
    <t>P1.2698</t>
  </si>
  <si>
    <t>P1.2699</t>
  </si>
  <si>
    <t>P1.2700</t>
  </si>
  <si>
    <t>P1.2701</t>
  </si>
  <si>
    <t>P1.2702</t>
  </si>
  <si>
    <t>P1.2703</t>
  </si>
  <si>
    <t>P1.2704</t>
  </si>
  <si>
    <t>P1.2705</t>
  </si>
  <si>
    <t>P1.2706</t>
  </si>
  <si>
    <t>P1.2707</t>
  </si>
  <si>
    <t>P1.2708</t>
  </si>
  <si>
    <t>P1.2709</t>
  </si>
  <si>
    <t>P1.2710</t>
  </si>
  <si>
    <t>P1.2711</t>
  </si>
  <si>
    <t>P1.2712</t>
  </si>
  <si>
    <t>P1.2713</t>
  </si>
  <si>
    <t>P1.2714</t>
  </si>
  <si>
    <t>P1.2715</t>
  </si>
  <si>
    <t>P1.2716</t>
  </si>
  <si>
    <t>P1.2717</t>
  </si>
  <si>
    <t>P1.2718</t>
  </si>
  <si>
    <t>P1.2719</t>
  </si>
  <si>
    <t>P1.2720</t>
  </si>
  <si>
    <t>P1.2721</t>
  </si>
  <si>
    <t>P1.2722</t>
  </si>
  <si>
    <t>P1.2723</t>
  </si>
  <si>
    <t>P1.2724</t>
  </si>
  <si>
    <t>P1.2725</t>
  </si>
  <si>
    <t>P1.2726</t>
  </si>
  <si>
    <t>P1.2727</t>
  </si>
  <si>
    <t>P1.2728</t>
  </si>
  <si>
    <t>P1.2729</t>
  </si>
  <si>
    <t>P1.2730</t>
  </si>
  <si>
    <t>P1.2731</t>
  </si>
  <si>
    <t>P1.2732</t>
  </si>
  <si>
    <t>P1.2733</t>
  </si>
  <si>
    <t>P1.2734</t>
  </si>
  <si>
    <t>P1.2735</t>
  </si>
  <si>
    <t>P1.2736</t>
  </si>
  <si>
    <t>P1.2737</t>
  </si>
  <si>
    <t>P1.2738</t>
  </si>
  <si>
    <t>P1.2739</t>
  </si>
  <si>
    <t>P1.2740</t>
  </si>
  <si>
    <t>P1.2741</t>
  </si>
  <si>
    <t>P1.2742</t>
  </si>
  <si>
    <t>P1.2743</t>
  </si>
  <si>
    <t>P1.2744</t>
  </si>
  <si>
    <t>P1.2745</t>
  </si>
  <si>
    <t>P1.2746</t>
  </si>
  <si>
    <t>P1.2747</t>
  </si>
  <si>
    <t>P1.2748</t>
  </si>
  <si>
    <t>P1.2749</t>
  </si>
  <si>
    <t>P1.2750</t>
  </si>
  <si>
    <t>P1.2751</t>
  </si>
  <si>
    <t>P1.2752</t>
  </si>
  <si>
    <t>P1.2753</t>
  </si>
  <si>
    <t>P1.2754</t>
  </si>
  <si>
    <t>P1.2755</t>
  </si>
  <si>
    <t>P1.2756</t>
  </si>
  <si>
    <t>P1.2757</t>
  </si>
  <si>
    <t>P1.2758</t>
  </si>
  <si>
    <t>P1.2759</t>
  </si>
  <si>
    <t>P1.2760</t>
  </si>
  <si>
    <t>P1.2761</t>
  </si>
  <si>
    <t>P1.2762</t>
  </si>
  <si>
    <t>P1.2763</t>
  </si>
  <si>
    <t>P1.2764</t>
  </si>
  <si>
    <t>P1.2765</t>
  </si>
  <si>
    <t>P1.2766</t>
  </si>
  <si>
    <t>P1.2767</t>
  </si>
  <si>
    <t>P1.2768</t>
  </si>
  <si>
    <t>P1.2769</t>
  </si>
  <si>
    <t>P1.2770</t>
  </si>
  <si>
    <t>P1.2771</t>
  </si>
  <si>
    <t>P1.2772</t>
  </si>
  <si>
    <t>P1.2773</t>
  </si>
  <si>
    <t>P1.2774</t>
  </si>
  <si>
    <t>P1.2775</t>
  </si>
  <si>
    <t>P1.2776</t>
  </si>
  <si>
    <t>P1.2777</t>
  </si>
  <si>
    <t>P1.2778</t>
  </si>
  <si>
    <t>P1.2779</t>
  </si>
  <si>
    <t>P1.2780</t>
  </si>
  <si>
    <t>P1.2781</t>
  </si>
  <si>
    <t>P1.2782</t>
  </si>
  <si>
    <t>P1.2783</t>
  </si>
  <si>
    <t>P1.2784</t>
  </si>
  <si>
    <t>P1.2785</t>
  </si>
  <si>
    <t>P1.2786</t>
  </si>
  <si>
    <t>P1.2787</t>
  </si>
  <si>
    <t>P1.2788</t>
  </si>
  <si>
    <t>P1.2789</t>
  </si>
  <si>
    <t>P1.2790</t>
  </si>
  <si>
    <t>P1.2791</t>
  </si>
  <si>
    <t>P1.2792</t>
  </si>
  <si>
    <t>P1.2793</t>
  </si>
  <si>
    <t>P1.2794</t>
  </si>
  <si>
    <t>P1.2795</t>
  </si>
  <si>
    <t>P1.2796</t>
  </si>
  <si>
    <t>P1.2797</t>
  </si>
  <si>
    <t>P1.2798</t>
  </si>
  <si>
    <t>P1.2799</t>
  </si>
  <si>
    <t>P1.2800</t>
  </si>
  <si>
    <t>P1.2801</t>
  </si>
  <si>
    <t>P1.2802</t>
  </si>
  <si>
    <t>P1.2803</t>
  </si>
  <si>
    <t>P1.2804</t>
  </si>
  <si>
    <t>P1.2805</t>
  </si>
  <si>
    <t>P1.2806</t>
  </si>
  <si>
    <t>P1.2807</t>
  </si>
  <si>
    <t>P1.2808</t>
  </si>
  <si>
    <t>P1.2809</t>
  </si>
  <si>
    <t>P1.2810</t>
  </si>
  <si>
    <t>P1.2811</t>
  </si>
  <si>
    <t>P1.2812</t>
  </si>
  <si>
    <t>P1.2813</t>
  </si>
  <si>
    <t>P1.2814</t>
  </si>
  <si>
    <t>P1.2815</t>
  </si>
  <si>
    <t>P1.2816</t>
  </si>
  <si>
    <t>P1.2817</t>
  </si>
  <si>
    <t>P1.2818</t>
  </si>
  <si>
    <t>P1.2819</t>
  </si>
  <si>
    <t>P1.2820</t>
  </si>
  <si>
    <t>P1.2821</t>
  </si>
  <si>
    <t>P1.2822</t>
  </si>
  <si>
    <t>P1.2823</t>
  </si>
  <si>
    <t>P1.2824</t>
  </si>
  <si>
    <t>P1.2825</t>
  </si>
  <si>
    <t>P1.2826</t>
  </si>
  <si>
    <t>P1.2827</t>
  </si>
  <si>
    <t>P1.2828</t>
  </si>
  <si>
    <t>P1.2829</t>
  </si>
  <si>
    <t>P1.2830</t>
  </si>
  <si>
    <t>P1.2831</t>
  </si>
  <si>
    <t>P1.2832</t>
  </si>
  <si>
    <t>P1.2833</t>
  </si>
  <si>
    <t>P1.2834</t>
  </si>
  <si>
    <t>P1.2835</t>
  </si>
  <si>
    <t>P1.2836</t>
  </si>
  <si>
    <t>P1.2837</t>
  </si>
  <si>
    <t>P1.2838</t>
  </si>
  <si>
    <t>P1.2839</t>
  </si>
  <si>
    <t>P1.2840</t>
  </si>
  <si>
    <t>P1.2841</t>
  </si>
  <si>
    <t>P1.2842</t>
  </si>
  <si>
    <t>P1.2843</t>
  </si>
  <si>
    <t>P1.2844</t>
  </si>
  <si>
    <t>P1.2845</t>
  </si>
  <si>
    <t>P1.2846</t>
  </si>
  <si>
    <t>P1.2847</t>
  </si>
  <si>
    <t>P1.2848</t>
  </si>
  <si>
    <t>P1.2849</t>
  </si>
  <si>
    <t>P1.2850</t>
  </si>
  <si>
    <t>P1.2851</t>
  </si>
  <si>
    <t>P1.2852</t>
  </si>
  <si>
    <t>P1.2853</t>
  </si>
  <si>
    <t>P1.2854</t>
  </si>
  <si>
    <t>P1.2855</t>
  </si>
  <si>
    <t>P1.2856</t>
  </si>
  <si>
    <t>P1.2857</t>
  </si>
  <si>
    <t>P1.2858</t>
  </si>
  <si>
    <t>P1.2859</t>
  </si>
  <si>
    <t>P1.2860</t>
  </si>
  <si>
    <t>P1.2861</t>
  </si>
  <si>
    <t>P1.2862</t>
  </si>
  <si>
    <t>P1.2863</t>
  </si>
  <si>
    <t>P1.2864</t>
  </si>
  <si>
    <t>P1.2865</t>
  </si>
  <si>
    <t>P1.2866</t>
  </si>
  <si>
    <t>P1.2867</t>
  </si>
  <si>
    <t>P1.2868</t>
  </si>
  <si>
    <t>P1.2869</t>
  </si>
  <si>
    <t>P1.2870</t>
  </si>
  <si>
    <t>P1.2871</t>
  </si>
  <si>
    <t>P1.2872</t>
  </si>
  <si>
    <t>P1.2873</t>
  </si>
  <si>
    <t>P1.2874</t>
  </si>
  <si>
    <t>P1.2875</t>
  </si>
  <si>
    <t>P1.2876</t>
  </si>
  <si>
    <t>P1.2877</t>
  </si>
  <si>
    <t>P1.2878</t>
  </si>
  <si>
    <t>P1.2879</t>
  </si>
  <si>
    <t>P1.2880</t>
  </si>
  <si>
    <t>P1.2881</t>
  </si>
  <si>
    <t>P1.2882</t>
  </si>
  <si>
    <t>P1.2883</t>
  </si>
  <si>
    <t>P1.2884</t>
  </si>
  <si>
    <t>P1.2885</t>
  </si>
  <si>
    <t>P1.2886</t>
  </si>
  <si>
    <t>P1.2887</t>
  </si>
  <si>
    <t>P1.2888</t>
  </si>
  <si>
    <t>P1.2889</t>
  </si>
  <si>
    <t>P1.2890</t>
  </si>
  <si>
    <t>P1.2891</t>
  </si>
  <si>
    <t>P1.2892</t>
  </si>
  <si>
    <t>P1.2893</t>
  </si>
  <si>
    <t>P1.2894</t>
  </si>
  <si>
    <t>P1.2895</t>
  </si>
  <si>
    <t>P1.2896</t>
  </si>
  <si>
    <t>P1.2897</t>
  </si>
  <si>
    <t>P1.2898</t>
  </si>
  <si>
    <t>P1.2899</t>
  </si>
  <si>
    <t>P1.2900</t>
  </si>
  <si>
    <t>P1.2901</t>
  </si>
  <si>
    <t>P1.2902</t>
  </si>
  <si>
    <t>P1.2903</t>
  </si>
  <si>
    <t>P1.2904</t>
  </si>
  <si>
    <t>P1.2905</t>
  </si>
  <si>
    <t>P1.2906</t>
  </si>
  <si>
    <t>P1.2907</t>
  </si>
  <si>
    <t>P1.2908</t>
  </si>
  <si>
    <t>P1.2909</t>
  </si>
  <si>
    <t>P1.2910</t>
  </si>
  <si>
    <t>P1.2911</t>
  </si>
  <si>
    <t>P1.2912</t>
  </si>
  <si>
    <t>P1.2913</t>
  </si>
  <si>
    <t>P1.2914</t>
  </si>
  <si>
    <t>P1.2915</t>
  </si>
  <si>
    <t>P1.2916</t>
  </si>
  <si>
    <t>P1.2917</t>
  </si>
  <si>
    <t>P1.2918</t>
  </si>
  <si>
    <t>P1.2919</t>
  </si>
  <si>
    <t>P1.2920</t>
  </si>
  <si>
    <t>P1.2921</t>
  </si>
  <si>
    <t>P1.2922</t>
  </si>
  <si>
    <t>P1.2923</t>
  </si>
  <si>
    <t>P1.2924</t>
  </si>
  <si>
    <t>P1.2925</t>
  </si>
  <si>
    <t>P1.2926</t>
  </si>
  <si>
    <t>P1.2927</t>
  </si>
  <si>
    <t>P1.2928</t>
  </si>
  <si>
    <t>P1.2929</t>
  </si>
  <si>
    <t>P1.2930</t>
  </si>
  <si>
    <t>P1.2931</t>
  </si>
  <si>
    <t>P1.2932</t>
  </si>
  <si>
    <t>P1.2933</t>
  </si>
  <si>
    <t>P1.2934</t>
  </si>
  <si>
    <t>P1.2935</t>
  </si>
  <si>
    <t>P1.2936</t>
  </si>
  <si>
    <t>P1.2937</t>
  </si>
  <si>
    <t>P1.2938</t>
  </si>
  <si>
    <t>P1.2939</t>
  </si>
  <si>
    <t>P1.2940</t>
  </si>
  <si>
    <t>P1.2941</t>
  </si>
  <si>
    <t>P1.2942</t>
  </si>
  <si>
    <t>P1.2943</t>
  </si>
  <si>
    <t>P1.2944</t>
  </si>
  <si>
    <t>P1.2945</t>
  </si>
  <si>
    <t>P1.2946</t>
  </si>
  <si>
    <t>P1.2947</t>
  </si>
  <si>
    <t>P1.2948</t>
  </si>
  <si>
    <t>P1.2949</t>
  </si>
  <si>
    <t>P1.2950</t>
  </si>
  <si>
    <t>P1.2951</t>
  </si>
  <si>
    <t>P1.2952</t>
  </si>
  <si>
    <t>P1.2953</t>
  </si>
  <si>
    <t>P1.2954</t>
  </si>
  <si>
    <t>P1.2955</t>
  </si>
  <si>
    <t>P1.2956</t>
  </si>
  <si>
    <t>P1.2957</t>
  </si>
  <si>
    <t>P1.2958</t>
  </si>
  <si>
    <t>P1.2959</t>
  </si>
  <si>
    <t>P1.2960</t>
  </si>
  <si>
    <t>P1.2961</t>
  </si>
  <si>
    <t>P1.2962</t>
  </si>
  <si>
    <t>P1.2963</t>
  </si>
  <si>
    <t>P1.2964</t>
  </si>
  <si>
    <t>P1.2965</t>
  </si>
  <si>
    <t>P1.2966</t>
  </si>
  <si>
    <t>P1.2967</t>
  </si>
  <si>
    <t>P1.2968</t>
  </si>
  <si>
    <t>P1.2969</t>
  </si>
  <si>
    <t>P1.2970</t>
  </si>
  <si>
    <t>P1.2971</t>
  </si>
  <si>
    <t>P1.2972</t>
  </si>
  <si>
    <t>P1.2973</t>
  </si>
  <si>
    <t>P1.2974</t>
  </si>
  <si>
    <t>P1.2975</t>
  </si>
  <si>
    <t>P1.2976</t>
  </si>
  <si>
    <t>P1.2977</t>
  </si>
  <si>
    <t>P1.2978</t>
  </si>
  <si>
    <t>P1.2979</t>
  </si>
  <si>
    <t>P1.2980</t>
  </si>
  <si>
    <t>P1.2981</t>
  </si>
  <si>
    <t>P1.2982</t>
  </si>
  <si>
    <t>P1.2983</t>
  </si>
  <si>
    <t>P1.2984</t>
  </si>
  <si>
    <t>P1.2985</t>
  </si>
  <si>
    <t>P1.2986</t>
  </si>
  <si>
    <t>P1.2987</t>
  </si>
  <si>
    <t>P1.2988</t>
  </si>
  <si>
    <t>P1.2989</t>
  </si>
  <si>
    <t>P1.2990</t>
  </si>
  <si>
    <t>P1.2991</t>
  </si>
  <si>
    <t>P1.2992</t>
  </si>
  <si>
    <t>P1.2993</t>
  </si>
  <si>
    <t>P1.2994</t>
  </si>
  <si>
    <t>P1.2995</t>
  </si>
  <si>
    <t>P1.2996</t>
  </si>
  <si>
    <t>P1.2997</t>
  </si>
  <si>
    <t>P1.2998</t>
  </si>
  <si>
    <t>P1.2999</t>
  </si>
  <si>
    <t>P1.3000</t>
  </si>
  <si>
    <t>P1.3001</t>
  </si>
  <si>
    <t>P1.3002</t>
  </si>
  <si>
    <t>P1.3003</t>
  </si>
  <si>
    <t>P1.3004</t>
  </si>
  <si>
    <t>P1.3005</t>
  </si>
  <si>
    <t>P1.3006</t>
  </si>
  <si>
    <t>P1.3007</t>
  </si>
  <si>
    <t>P1.3008</t>
  </si>
  <si>
    <t>P1.3009</t>
  </si>
  <si>
    <t>P1.3010</t>
  </si>
  <si>
    <t>P1.3011</t>
  </si>
  <si>
    <t>P1.3012</t>
  </si>
  <si>
    <t>P1.3013</t>
  </si>
  <si>
    <t>P1.3014</t>
  </si>
  <si>
    <t>P1.3015</t>
  </si>
  <si>
    <t>P1.3016</t>
  </si>
  <si>
    <t>P1.3017</t>
  </si>
  <si>
    <t>P1.3018</t>
  </si>
  <si>
    <t>P1.3019</t>
  </si>
  <si>
    <t>P1.3020</t>
  </si>
  <si>
    <t>P1.3021</t>
  </si>
  <si>
    <t>P1.3022</t>
  </si>
  <si>
    <t>P1.3023</t>
  </si>
  <si>
    <t>P1.3024</t>
  </si>
  <si>
    <t>P1.3025</t>
  </si>
  <si>
    <t>P1.3026</t>
  </si>
  <si>
    <t>P1.3027</t>
  </si>
  <si>
    <t>P1.3028</t>
  </si>
  <si>
    <t>P1.3029</t>
  </si>
  <si>
    <t>P1.3030</t>
  </si>
  <si>
    <t>P1.3031</t>
  </si>
  <si>
    <t>P1.3032</t>
  </si>
  <si>
    <t>P1.3033</t>
  </si>
  <si>
    <t>P1.3034</t>
  </si>
  <si>
    <t>P1.3035</t>
  </si>
  <si>
    <t>P1.3036</t>
  </si>
  <si>
    <t>P1.3037</t>
  </si>
  <si>
    <t>P1.3038</t>
  </si>
  <si>
    <t>P1.3039</t>
  </si>
  <si>
    <t>P1.3040</t>
  </si>
  <si>
    <t>P1.3041</t>
  </si>
  <si>
    <t>P1.3042</t>
  </si>
  <si>
    <t>P1.3043</t>
  </si>
  <si>
    <t>P1.3044</t>
  </si>
  <si>
    <t>P1.3045</t>
  </si>
  <si>
    <t>P1.3046</t>
  </si>
  <si>
    <t>P1.3047</t>
  </si>
  <si>
    <t>P1.3048</t>
  </si>
  <si>
    <t>P1.3049</t>
  </si>
  <si>
    <t>P1.3050</t>
  </si>
  <si>
    <t>P1.3051</t>
  </si>
  <si>
    <t>P1.3052</t>
  </si>
  <si>
    <t>P1.3053</t>
  </si>
  <si>
    <t>P1.3054</t>
  </si>
  <si>
    <t>P1.3055</t>
  </si>
  <si>
    <t>P1.3056</t>
  </si>
  <si>
    <t>P1.3057</t>
  </si>
  <si>
    <t>P1.3058</t>
  </si>
  <si>
    <t>P1.3059</t>
  </si>
  <si>
    <t>P1.3060</t>
  </si>
  <si>
    <t>P1.3061</t>
  </si>
  <si>
    <t>P1.3062</t>
  </si>
  <si>
    <t>P1.3063</t>
  </si>
  <si>
    <t>P1.3064</t>
  </si>
  <si>
    <t>P1.3065</t>
  </si>
  <si>
    <t>P1.3066</t>
  </si>
  <si>
    <t>P1.3067</t>
  </si>
  <si>
    <t>P1.3068</t>
  </si>
  <si>
    <t>P1.3069</t>
  </si>
  <si>
    <t>P1.3070</t>
  </si>
  <si>
    <t>P1.3071</t>
  </si>
  <si>
    <t>P1.3072</t>
  </si>
  <si>
    <t>P1.3073</t>
  </si>
  <si>
    <t>P1.3074</t>
  </si>
  <si>
    <t>P1.3075</t>
  </si>
  <si>
    <t>P1.3076</t>
  </si>
  <si>
    <t>P1.3077</t>
  </si>
  <si>
    <t>P1.3078</t>
  </si>
  <si>
    <t>P1.3079</t>
  </si>
  <si>
    <t>P1.3080</t>
  </si>
  <si>
    <t>P1.3081</t>
  </si>
  <si>
    <t>P1.3082</t>
  </si>
  <si>
    <t>P1.3083</t>
  </si>
  <si>
    <t>P1.3084</t>
  </si>
  <si>
    <t>P1.3085</t>
  </si>
  <si>
    <t>P1.3086</t>
  </si>
  <si>
    <t>P1.3087</t>
  </si>
  <si>
    <t>P1.3088</t>
  </si>
  <si>
    <t>P1.3089</t>
  </si>
  <si>
    <t>P1.3090</t>
  </si>
  <si>
    <t>P1.3091</t>
  </si>
  <si>
    <t>P1.3092</t>
  </si>
  <si>
    <t>P1.3093</t>
  </si>
  <si>
    <t>P1.3094</t>
  </si>
  <si>
    <t>P1.3095</t>
  </si>
  <si>
    <t>P1.3096</t>
  </si>
  <si>
    <t>P1.3097</t>
  </si>
  <si>
    <t>P1.3098</t>
  </si>
  <si>
    <t>P1.3099</t>
  </si>
  <si>
    <t>P1.3100</t>
  </si>
  <si>
    <t>P1.3101</t>
  </si>
  <si>
    <t>P1.3102</t>
  </si>
  <si>
    <t>P1.3103</t>
  </si>
  <si>
    <t>P1.3104</t>
  </si>
  <si>
    <t>P1.3105</t>
  </si>
  <si>
    <t>P1.3106</t>
  </si>
  <si>
    <t>P1.3107</t>
  </si>
  <si>
    <t>P1.3108</t>
  </si>
  <si>
    <t>P1.3109</t>
  </si>
  <si>
    <t>P1.3110</t>
  </si>
  <si>
    <t>P1.3111</t>
  </si>
  <si>
    <t>P1.3112</t>
  </si>
  <si>
    <t>P1.3113</t>
  </si>
  <si>
    <t>Have you experienced any problems in the last year with any of the areas below? By problem we mean something that was particularly unwelcome or or caused you some difficulty. Please select all that apply or tick 'None of these'</t>
  </si>
  <si>
    <t>Accessing local authority services online or other bureaucracy</t>
  </si>
  <si>
    <t>None of these</t>
  </si>
  <si>
    <t>Accessing mental health service</t>
  </si>
  <si>
    <t>civil court proceedings</t>
  </si>
  <si>
    <t>the non disabled gatekeeping me from work</t>
  </si>
  <si>
    <t>Dealing with inflating debts, buying food &amp; health</t>
  </si>
  <si>
    <t>Welafre</t>
  </si>
  <si>
    <t>Trying to claim welfare benefits</t>
  </si>
  <si>
    <t>BULLYING</t>
  </si>
  <si>
    <t>Accessing health services Discriminated health</t>
  </si>
  <si>
    <t>welfare benefts, led to tribunal when I appealed</t>
  </si>
  <si>
    <t>Accessing health services.</t>
  </si>
  <si>
    <t>Housing issues  over  payments  due  to sanctions</t>
  </si>
  <si>
    <t>Problems at work following Whistleblowing</t>
  </si>
  <si>
    <t>debts/legal as cant afford legal services</t>
  </si>
  <si>
    <t>Housing &amp; benefits</t>
  </si>
  <si>
    <t>Both</t>
  </si>
  <si>
    <t>Family difficiulties</t>
  </si>
  <si>
    <t>criminal records</t>
  </si>
  <si>
    <t>benefits tribunal for ESA</t>
  </si>
  <si>
    <t>Problems with neighbours/community</t>
  </si>
  <si>
    <t>Having to prove to the govt that I am disabled</t>
  </si>
  <si>
    <t>stress managing caring and work</t>
  </si>
  <si>
    <t>Am worried my Benefits are stopped</t>
  </si>
  <si>
    <t>i need help contacting adjudicator - tax credit</t>
  </si>
  <si>
    <t>Accessing health and child scholling</t>
  </si>
  <si>
    <t>benefit reform</t>
  </si>
  <si>
    <t>Benefits tribunal</t>
  </si>
  <si>
    <t>Employer problem</t>
  </si>
  <si>
    <t>being homeless</t>
  </si>
  <si>
    <t>Meeting Bills</t>
  </si>
  <si>
    <t>Management styles at work was the most unwelcome</t>
  </si>
  <si>
    <t>debts meeting bills</t>
  </si>
  <si>
    <t>benefit advice and debt</t>
  </si>
  <si>
    <t>ESA claim</t>
  </si>
  <si>
    <t>buying on line</t>
  </si>
  <si>
    <t>FAMILY</t>
  </si>
  <si>
    <t>accessing caring services</t>
  </si>
  <si>
    <t>buying service</t>
  </si>
  <si>
    <t>pension credit application</t>
  </si>
  <si>
    <t>Problem with neighbour</t>
  </si>
  <si>
    <t>accessing health Services</t>
  </si>
  <si>
    <t>These are all personal rather than community</t>
  </si>
  <si>
    <t>buying goods/services</t>
  </si>
  <si>
    <t>Family problems</t>
  </si>
  <si>
    <t>dealing with district nurses for my elderly father</t>
  </si>
  <si>
    <t>legal action involving tribunal</t>
  </si>
  <si>
    <t>Accessing health care and support</t>
  </si>
  <si>
    <t>Separated &amp; debt. Also facing being homeless soon.</t>
  </si>
  <si>
    <t>School (Academy)</t>
  </si>
  <si>
    <t>Mental health needs</t>
  </si>
  <si>
    <t>Currently being sued - passport website scam</t>
  </si>
  <si>
    <t>possible house repossession</t>
  </si>
  <si>
    <t>homeless</t>
  </si>
  <si>
    <t>fraudulentt bill following phone theft</t>
  </si>
  <si>
    <t>Dispute with landlord re return of deposit</t>
  </si>
  <si>
    <t>lack of help and support around hate incidents</t>
  </si>
  <si>
    <t>housing/welfare issues</t>
  </si>
  <si>
    <t>Discrimination/abuse from neighbours</t>
  </si>
  <si>
    <t>Debts coupled with problems with employer</t>
  </si>
  <si>
    <t>Housing issue</t>
  </si>
  <si>
    <t>Accessing caring services for elderly mother</t>
  </si>
  <si>
    <t>debt of a family member</t>
  </si>
  <si>
    <t>Accessing health</t>
  </si>
  <si>
    <t>Accessing caring services</t>
  </si>
  <si>
    <t>Claiming benefits ESA CB and PIP</t>
  </si>
  <si>
    <t>2ill4 ATOS ass= noESA+no welfare tillCTS,2ill4JSA</t>
  </si>
  <si>
    <t>Trying to get my brother rehoused</t>
  </si>
  <si>
    <t>Process of claiming ESA</t>
  </si>
  <si>
    <t>immigration</t>
  </si>
  <si>
    <t>Housing problems</t>
  </si>
  <si>
    <t>discrimination elsewhere</t>
  </si>
  <si>
    <t>employment</t>
  </si>
  <si>
    <t>Nuisance Phone calls,e.g. PPI, etc.</t>
  </si>
  <si>
    <t>Taxation</t>
  </si>
  <si>
    <t>housinh</t>
  </si>
  <si>
    <t>All equally</t>
  </si>
  <si>
    <t>Both above are due to welfare</t>
  </si>
  <si>
    <t>getting money back power provider when switched</t>
  </si>
  <si>
    <t>family relationships</t>
  </si>
  <si>
    <t>Immigration/nationality caused the most difficulty</t>
  </si>
  <si>
    <t>Debts/Meeting Bills</t>
  </si>
  <si>
    <t>Employer</t>
  </si>
  <si>
    <t>twats in uninsured vehicles.</t>
  </si>
  <si>
    <t>Bills/benefits - both</t>
  </si>
  <si>
    <t>Welfare benefits. ESA claim.</t>
  </si>
  <si>
    <t>Relationship and legal problems</t>
  </si>
  <si>
    <t>DEBT &amp; CHILD's EDUCATION BULLYING</t>
  </si>
  <si>
    <t>Death of parent</t>
  </si>
  <si>
    <t>my neighbour is my family</t>
  </si>
  <si>
    <t>Welfare benefits - child tax credit overpayment</t>
  </si>
  <si>
    <t>I could not work so debts mounted</t>
  </si>
  <si>
    <t>Bedroom Tax Appeal and applying for ESA</t>
  </si>
  <si>
    <t>problems with the police</t>
  </si>
  <si>
    <t>I work in the sector, benefits by far the worst</t>
  </si>
  <si>
    <t>Welfare claim</t>
  </si>
  <si>
    <t>work issues</t>
  </si>
  <si>
    <t>getting social care services</t>
  </si>
  <si>
    <t>My child's education</t>
  </si>
  <si>
    <t>Access to transportation to school for my child.</t>
  </si>
  <si>
    <t>Immagration</t>
  </si>
  <si>
    <t>Family relationship issues</t>
  </si>
  <si>
    <t>police and cps</t>
  </si>
  <si>
    <t>Unable me/my disabilities and refusing help.</t>
  </si>
  <si>
    <t>Family or Relationships</t>
  </si>
  <si>
    <t>Relationship trouble.</t>
  </si>
  <si>
    <t>Work</t>
  </si>
  <si>
    <t>Adult social care</t>
  </si>
  <si>
    <t>housing association with disability grant</t>
  </si>
  <si>
    <t>Utility provider issues</t>
  </si>
  <si>
    <t>HOUSING + NATIONALITY</t>
  </si>
  <si>
    <t>stress of applying for ESA further damaging health</t>
  </si>
  <si>
    <t>Both but more the debts</t>
  </si>
  <si>
    <t>welfare benefits &amp; legal action (Tribunals)</t>
  </si>
  <si>
    <t>Losing benefits</t>
  </si>
  <si>
    <t>family issues and housing</t>
  </si>
  <si>
    <t>health and money</t>
  </si>
  <si>
    <t>debts/bills and mental health</t>
  </si>
  <si>
    <t>benefits and health</t>
  </si>
  <si>
    <t>Housing and debt</t>
  </si>
  <si>
    <t>Category 1</t>
  </si>
  <si>
    <t>1 (includes option 'none of these'</t>
  </si>
  <si>
    <t>14 (n=2)</t>
  </si>
  <si>
    <t>12 (n=2)</t>
  </si>
  <si>
    <t>13 (n=1)</t>
  </si>
  <si>
    <t>11 (n=2)</t>
  </si>
  <si>
    <t>10 (n=0)</t>
  </si>
  <si>
    <t>9 (n=8)</t>
  </si>
  <si>
    <t>8 (n=30)</t>
  </si>
  <si>
    <t>7 (n=22)</t>
  </si>
  <si>
    <t>5 (n=106)</t>
  </si>
  <si>
    <t>4 (n=205)</t>
  </si>
  <si>
    <t>3 (n=303)</t>
  </si>
  <si>
    <t>2 (n=453)</t>
  </si>
  <si>
    <t>6 (n=61)</t>
  </si>
  <si>
    <t>Answer Options</t>
  </si>
  <si>
    <t>Response Percent</t>
  </si>
  <si>
    <t>Response Count</t>
  </si>
  <si>
    <t>answered question</t>
  </si>
  <si>
    <t>skipped question</t>
  </si>
  <si>
    <t>Coding Framework for "If you selected more than one please tell us which was the most unwelcome or caused you the most difficulty"</t>
  </si>
  <si>
    <t>Researcher Code</t>
  </si>
  <si>
    <t>The following types of responses are included in this category</t>
  </si>
  <si>
    <t>Category 2</t>
  </si>
  <si>
    <t>Category 3</t>
  </si>
  <si>
    <t>Many respondents are managing multiple challenging problems and need help prioritising issues which will impact on health and wellbeing</t>
  </si>
  <si>
    <t xml:space="preserve">I think the survey clearly highlights the need for holistic advice as people rarely present with a single problem </t>
  </si>
  <si>
    <t>I was surprised by how many family and neighbour issues were present, maybe this is harder for people to handle and is a constant presence.</t>
  </si>
  <si>
    <t xml:space="preserve">I also noted that access to appropriate and timely healthcare seems to be a significant volume, may be worth flagging up.  </t>
  </si>
  <si>
    <t>[IDENTIFYING INFORMATION REMOVED]</t>
  </si>
  <si>
    <t>Local Authorities e.g. Council and their lack of transparency,
Authorities killing mother and theft of assets,
tenancy agreement for a shop,
Worried about impact on Councils re immigration,
squatting lodger,
Judges ignoring legislation
a disabled dependant trapped in finance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</si>
</sst>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yy"/>
    <numFmt numFmtId="165" formatCode="0.0%"/>
  </numFmts>
  <fonts count="15" x14ac:knownFonts="1">
    <font>
      <sz val="10"/>
      <name val="Microsoft Sans Serif"/>
    </font>
    <font>
      <sz val="10"/>
      <name val="Microsoft Sans Serif"/>
      <family val="2"/>
    </font>
    <font>
      <b/>
      <sz val="10"/>
      <name val="Microsoft Sans Serif"/>
      <family val="2"/>
    </font>
    <font>
      <sz val="10"/>
      <name val="Microsoft Sans Serif"/>
      <family val="2"/>
    </font>
    <font>
      <b/>
      <sz val="11"/>
      <name val="Calibri"/>
      <family val="2"/>
    </font>
    <font>
      <sz val="10"/>
      <color theme="1"/>
      <name val="Microsoft Sans Serif"/>
      <family val="2"/>
    </font>
    <font>
      <b/>
      <sz val="14"/>
      <name val="Microsoft Sans Serif"/>
      <family val="2"/>
    </font>
    <font>
      <sz val="7"/>
      <name val="Microsoft Sans Serif"/>
      <family val="2"/>
    </font>
    <font>
      <b/>
      <sz val="10"/>
      <color indexed="0"/>
      <name val="Microsoft Sans Serif"/>
    </font>
    <font>
      <b/>
      <i/>
      <sz val="10"/>
      <color indexed="0"/>
      <name val="Microsoft Sans Serif"/>
    </font>
    <font>
      <sz val="8"/>
      <name val="Microsoft Sans Serif"/>
      <family val="2"/>
    </font>
    <font>
      <u/>
      <sz val="10"/>
      <color theme="10"/>
      <name val="Microsoft Sans Serif"/>
    </font>
    <font>
      <u/>
      <sz val="10"/>
      <color theme="11"/>
      <name val="Microsoft Sans Serif"/>
    </font>
    <font>
      <sz val="7"/>
      <name val="Microsoft Sans Serif"/>
    </font>
    <font>
      <sz val="11"/>
      <color rgb="FF000000"/>
      <name val="Calibri"/>
    </font>
  </fonts>
  <fills count="7">
    <fill>
      <patternFill patternType="none"/>
    </fill>
    <fill>
      <patternFill patternType="gray125"/>
    </fill>
    <fill>
      <patternFill patternType="solid">
        <fgColor theme="9"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theme="9"/>
        <bgColor indexed="64"/>
      </patternFill>
    </fill>
    <fill>
      <patternFill patternType="solid">
        <fgColor theme="0"/>
        <bgColor indexed="64"/>
      </patternFill>
    </fill>
  </fills>
  <borders count="17">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medium">
        <color auto="1"/>
      </right>
      <top/>
      <bottom style="medium">
        <color auto="1"/>
      </bottom>
      <diagonal/>
    </border>
    <border>
      <left/>
      <right style="medium">
        <color auto="1"/>
      </right>
      <top/>
      <bottom/>
      <diagonal/>
    </border>
    <border>
      <left style="medium">
        <color auto="1"/>
      </left>
      <right/>
      <top/>
      <bottom style="medium">
        <color auto="1"/>
      </bottom>
      <diagonal/>
    </border>
    <border>
      <left/>
      <right style="medium">
        <color auto="1"/>
      </right>
      <top style="medium">
        <color auto="1"/>
      </top>
      <bottom/>
      <diagonal/>
    </border>
    <border>
      <left style="medium">
        <color auto="1"/>
      </left>
      <right style="medium">
        <color auto="1"/>
      </right>
      <top style="medium">
        <color auto="1"/>
      </top>
      <bottom/>
      <diagonal/>
    </border>
    <border>
      <left style="medium">
        <color auto="1"/>
      </left>
      <right/>
      <top style="medium">
        <color auto="1"/>
      </top>
      <bottom/>
      <diagonal/>
    </border>
    <border>
      <left/>
      <right/>
      <top style="medium">
        <color auto="1"/>
      </top>
      <bottom/>
      <diagonal/>
    </border>
    <border>
      <left style="medium">
        <color auto="1"/>
      </left>
      <right/>
      <top/>
      <bottom/>
      <diagonal/>
    </border>
    <border>
      <left/>
      <right/>
      <top/>
      <bottom style="medium">
        <color auto="1"/>
      </bottom>
      <diagonal/>
    </border>
    <border>
      <left style="thin">
        <color auto="1"/>
      </left>
      <right style="thin">
        <color auto="1"/>
      </right>
      <top style="thin">
        <color auto="1"/>
      </top>
      <bottom style="thin">
        <color auto="1"/>
      </bottom>
      <diagonal/>
    </border>
  </borders>
  <cellStyleXfs count="3">
    <xf numFmtId="0" fontId="0" fillId="0" borderId="0"/>
    <xf numFmtId="0" fontId="11" fillId="0" borderId="0" applyNumberFormat="0" applyFill="0" applyBorder="0" applyAlignment="0" applyProtection="0"/>
    <xf numFmtId="0" fontId="12" fillId="0" borderId="0" applyNumberFormat="0" applyFill="0" applyBorder="0" applyAlignment="0" applyProtection="0"/>
  </cellStyleXfs>
  <cellXfs count="90">
    <xf numFmtId="0" fontId="0" fillId="0" borderId="0" xfId="0"/>
    <xf numFmtId="0" fontId="0" fillId="0" borderId="0" xfId="0" applyAlignment="1">
      <alignment horizontal="left" vertical="top" wrapText="1"/>
    </xf>
    <xf numFmtId="0" fontId="0" fillId="0" borderId="1" xfId="0" applyBorder="1"/>
    <xf numFmtId="0" fontId="3" fillId="0" borderId="1" xfId="0" applyFont="1" applyBorder="1" applyAlignment="1">
      <alignment horizontal="left" vertical="top" wrapText="1"/>
    </xf>
    <xf numFmtId="0" fontId="0" fillId="0" borderId="1" xfId="0" applyBorder="1" applyAlignment="1">
      <alignment vertical="top"/>
    </xf>
    <xf numFmtId="0" fontId="3" fillId="0" borderId="1" xfId="0" applyFont="1" applyBorder="1" applyAlignment="1">
      <alignment vertical="top" wrapText="1"/>
    </xf>
    <xf numFmtId="0" fontId="4" fillId="0" borderId="1" xfId="0" applyFont="1" applyBorder="1" applyAlignment="1">
      <alignment horizontal="center" vertical="top" wrapText="1"/>
    </xf>
    <xf numFmtId="0" fontId="4" fillId="0" borderId="1" xfId="0" applyFont="1" applyBorder="1" applyAlignment="1">
      <alignment vertical="top" wrapText="1"/>
    </xf>
    <xf numFmtId="0" fontId="3" fillId="0" borderId="1" xfId="0" applyFont="1" applyBorder="1" applyAlignment="1">
      <alignment vertical="top"/>
    </xf>
    <xf numFmtId="0" fontId="0" fillId="0" borderId="3" xfId="0" applyBorder="1" applyAlignment="1">
      <alignment vertical="top"/>
    </xf>
    <xf numFmtId="0" fontId="1" fillId="0" borderId="1" xfId="0" applyFont="1" applyBorder="1" applyAlignment="1">
      <alignment vertical="top" wrapText="1"/>
    </xf>
    <xf numFmtId="0" fontId="1" fillId="0" borderId="1" xfId="0" applyFont="1" applyBorder="1" applyAlignment="1">
      <alignment vertical="top"/>
    </xf>
    <xf numFmtId="0" fontId="1" fillId="0" borderId="1" xfId="0" applyFont="1" applyBorder="1" applyAlignment="1">
      <alignment horizontal="left" vertical="top" wrapText="1"/>
    </xf>
    <xf numFmtId="0" fontId="1" fillId="0" borderId="0" xfId="0" applyFont="1"/>
    <xf numFmtId="0" fontId="1" fillId="0" borderId="1" xfId="0" applyFont="1" applyFill="1" applyBorder="1" applyAlignment="1">
      <alignment horizontal="left" vertical="top" wrapText="1"/>
    </xf>
    <xf numFmtId="0" fontId="1" fillId="3" borderId="1" xfId="0" applyFont="1" applyFill="1" applyBorder="1" applyAlignment="1">
      <alignment horizontal="left" vertical="top" wrapText="1"/>
    </xf>
    <xf numFmtId="0" fontId="0" fillId="3" borderId="1" xfId="0" applyFont="1" applyFill="1" applyBorder="1" applyAlignment="1">
      <alignment vertical="top"/>
    </xf>
    <xf numFmtId="0" fontId="0" fillId="3" borderId="1" xfId="0" applyFill="1" applyBorder="1"/>
    <xf numFmtId="0" fontId="1" fillId="0" borderId="0" xfId="0" applyFont="1" applyAlignment="1">
      <alignment wrapText="1"/>
    </xf>
    <xf numFmtId="0" fontId="0" fillId="0" borderId="7" xfId="0" applyBorder="1" applyAlignment="1">
      <alignment horizontal="left" vertical="top" wrapText="1"/>
    </xf>
    <xf numFmtId="0" fontId="0" fillId="0" borderId="6" xfId="0" applyBorder="1" applyAlignment="1">
      <alignment vertical="top"/>
    </xf>
    <xf numFmtId="0" fontId="1" fillId="0" borderId="6" xfId="0" applyFont="1" applyBorder="1" applyAlignment="1">
      <alignment horizontal="left" vertical="top" wrapText="1"/>
    </xf>
    <xf numFmtId="0" fontId="0" fillId="0" borderId="6" xfId="0" applyBorder="1" applyAlignment="1">
      <alignment horizontal="left" vertical="top" wrapText="1"/>
    </xf>
    <xf numFmtId="0" fontId="3" fillId="0" borderId="6" xfId="0" applyFont="1" applyBorder="1" applyAlignment="1">
      <alignment horizontal="left" vertical="top" wrapText="1"/>
    </xf>
    <xf numFmtId="10" fontId="0" fillId="0" borderId="4" xfId="0" applyNumberFormat="1" applyBorder="1"/>
    <xf numFmtId="0" fontId="1" fillId="0" borderId="7" xfId="0" applyFont="1" applyBorder="1"/>
    <xf numFmtId="0" fontId="1" fillId="0" borderId="3" xfId="0" applyFont="1" applyBorder="1"/>
    <xf numFmtId="0" fontId="0" fillId="0" borderId="3" xfId="0" applyBorder="1"/>
    <xf numFmtId="0" fontId="0" fillId="0" borderId="9" xfId="0" applyFont="1" applyFill="1" applyBorder="1"/>
    <xf numFmtId="0" fontId="3" fillId="2" borderId="10" xfId="0" applyFont="1" applyFill="1" applyBorder="1" applyAlignment="1">
      <alignment vertical="top"/>
    </xf>
    <xf numFmtId="0" fontId="0" fillId="2" borderId="11" xfId="0" applyFill="1" applyBorder="1" applyAlignment="1">
      <alignment vertical="top"/>
    </xf>
    <xf numFmtId="0" fontId="0" fillId="2" borderId="11" xfId="0" applyFill="1" applyBorder="1"/>
    <xf numFmtId="0" fontId="0" fillId="2" borderId="12" xfId="0" applyFill="1" applyBorder="1"/>
    <xf numFmtId="0" fontId="0" fillId="0" borderId="6" xfId="0" applyFill="1" applyBorder="1" applyAlignment="1">
      <alignment horizontal="left" vertical="top" wrapText="1"/>
    </xf>
    <xf numFmtId="0" fontId="0" fillId="0" borderId="16" xfId="0" applyBorder="1" applyAlignment="1">
      <alignment horizontal="center" vertical="center"/>
    </xf>
    <xf numFmtId="0" fontId="7" fillId="0" borderId="0" xfId="0" applyFont="1" applyAlignment="1">
      <alignment horizontal="left" vertical="top" wrapText="1"/>
    </xf>
    <xf numFmtId="164" fontId="2" fillId="0" borderId="0" xfId="0" applyNumberFormat="1" applyFont="1" applyAlignment="1">
      <alignment vertical="top" wrapText="1"/>
    </xf>
    <xf numFmtId="164" fontId="0" fillId="0" borderId="0" xfId="0" applyNumberFormat="1"/>
    <xf numFmtId="0" fontId="0" fillId="0" borderId="0" xfId="0" applyAlignment="1">
      <alignment vertical="top" wrapText="1"/>
    </xf>
    <xf numFmtId="0" fontId="0" fillId="5" borderId="4" xfId="0" applyFill="1" applyBorder="1" applyAlignment="1">
      <alignment vertical="top"/>
    </xf>
    <xf numFmtId="0" fontId="0" fillId="5" borderId="5" xfId="0" applyFill="1" applyBorder="1" applyAlignment="1">
      <alignment vertical="top" wrapText="1"/>
    </xf>
    <xf numFmtId="0" fontId="0" fillId="5" borderId="6" xfId="0" applyFill="1" applyBorder="1" applyAlignment="1">
      <alignment vertical="top" wrapText="1"/>
    </xf>
    <xf numFmtId="0" fontId="0" fillId="0" borderId="0" xfId="0" applyAlignment="1">
      <alignment wrapText="1"/>
    </xf>
    <xf numFmtId="0" fontId="2" fillId="0" borderId="0" xfId="0" applyFont="1" applyAlignment="1">
      <alignment vertical="top" wrapText="1"/>
    </xf>
    <xf numFmtId="0" fontId="0" fillId="6" borderId="0" xfId="0" applyFill="1"/>
    <xf numFmtId="0" fontId="0" fillId="0" borderId="0" xfId="0" applyFill="1"/>
    <xf numFmtId="0" fontId="7" fillId="6" borderId="16" xfId="0" applyFont="1" applyFill="1" applyBorder="1" applyAlignment="1">
      <alignment horizontal="left" vertical="top" wrapText="1"/>
    </xf>
    <xf numFmtId="0" fontId="0" fillId="6" borderId="16" xfId="0" applyFill="1" applyBorder="1"/>
    <xf numFmtId="0" fontId="0" fillId="0" borderId="8" xfId="0" applyBorder="1" applyAlignment="1">
      <alignment horizontal="left" vertical="top" wrapText="1"/>
    </xf>
    <xf numFmtId="0" fontId="5" fillId="0" borderId="0" xfId="0" applyFont="1" applyFill="1"/>
    <xf numFmtId="0" fontId="5" fillId="0" borderId="0" xfId="0" applyFont="1" applyFill="1" applyAlignment="1">
      <alignment wrapText="1"/>
    </xf>
    <xf numFmtId="0" fontId="0" fillId="0" borderId="0" xfId="0" applyFill="1" applyAlignment="1">
      <alignment wrapText="1"/>
    </xf>
    <xf numFmtId="165" fontId="0" fillId="0" borderId="0" xfId="0" applyNumberFormat="1" applyFill="1" applyAlignment="1">
      <alignment horizontal="center" vertical="center"/>
    </xf>
    <xf numFmtId="1" fontId="0" fillId="0" borderId="0" xfId="0" applyNumberFormat="1" applyFill="1" applyAlignment="1">
      <alignment horizontal="center" vertical="center"/>
    </xf>
    <xf numFmtId="0" fontId="0" fillId="0" borderId="0" xfId="0" applyFill="1" applyAlignment="1">
      <alignment horizontal="center" vertical="center"/>
    </xf>
    <xf numFmtId="0" fontId="8" fillId="0" borderId="0" xfId="0" applyFont="1" applyFill="1" applyAlignment="1">
      <alignment horizontal="right"/>
    </xf>
    <xf numFmtId="0" fontId="10" fillId="0" borderId="0" xfId="0" applyFont="1" applyFill="1" applyAlignment="1">
      <alignment vertical="center" wrapText="1"/>
    </xf>
    <xf numFmtId="0" fontId="10" fillId="0" borderId="0" xfId="0" applyFont="1" applyFill="1" applyAlignment="1">
      <alignment horizontal="center" vertical="center" wrapText="1"/>
    </xf>
    <xf numFmtId="0" fontId="1" fillId="0" borderId="0" xfId="0" applyFont="1" applyFill="1" applyAlignment="1">
      <alignment wrapText="1"/>
    </xf>
    <xf numFmtId="165" fontId="1" fillId="0" borderId="0" xfId="0" applyNumberFormat="1" applyFont="1" applyFill="1" applyAlignment="1">
      <alignment horizontal="center" vertical="center"/>
    </xf>
    <xf numFmtId="1" fontId="1" fillId="0" borderId="0" xfId="0" applyNumberFormat="1" applyFont="1" applyFill="1" applyAlignment="1">
      <alignment horizontal="center" vertical="center"/>
    </xf>
    <xf numFmtId="0" fontId="0" fillId="0" borderId="1" xfId="0" applyBorder="1" applyAlignment="1">
      <alignment horizontal="center" vertical="center"/>
    </xf>
    <xf numFmtId="0" fontId="0" fillId="0" borderId="1" xfId="0" applyBorder="1" applyAlignment="1">
      <alignment horizontal="left" vertical="center" wrapText="1"/>
    </xf>
    <xf numFmtId="0" fontId="0" fillId="0" borderId="1" xfId="0" applyBorder="1" applyAlignment="1">
      <alignment vertical="center"/>
    </xf>
    <xf numFmtId="0" fontId="3" fillId="0" borderId="1" xfId="0" applyFont="1" applyBorder="1" applyAlignment="1">
      <alignment horizontal="center" vertical="center"/>
    </xf>
    <xf numFmtId="0" fontId="1" fillId="0" borderId="1" xfId="0" applyFont="1" applyBorder="1" applyAlignment="1">
      <alignment horizontal="left" vertical="center" wrapText="1"/>
    </xf>
    <xf numFmtId="0" fontId="3" fillId="0" borderId="1" xfId="0" applyFont="1" applyBorder="1" applyAlignment="1">
      <alignment horizontal="left" vertical="center" wrapText="1"/>
    </xf>
    <xf numFmtId="0" fontId="0" fillId="0" borderId="2" xfId="0" applyFill="1" applyBorder="1" applyAlignment="1">
      <alignment horizontal="left" vertical="center" wrapText="1"/>
    </xf>
    <xf numFmtId="0" fontId="1" fillId="0" borderId="1" xfId="0" applyFont="1" applyBorder="1" applyAlignment="1">
      <alignment vertical="center"/>
    </xf>
    <xf numFmtId="0" fontId="0" fillId="0" borderId="1" xfId="0" applyFont="1" applyBorder="1" applyAlignment="1">
      <alignment vertical="top" wrapText="1"/>
    </xf>
    <xf numFmtId="0" fontId="13" fillId="0" borderId="0" xfId="0" applyFont="1" applyAlignment="1">
      <alignment horizontal="left" vertical="top" wrapText="1"/>
    </xf>
    <xf numFmtId="0" fontId="0" fillId="0" borderId="16" xfId="0" applyFill="1" applyBorder="1"/>
    <xf numFmtId="0" fontId="0" fillId="0" borderId="0" xfId="0" applyNumberFormat="1"/>
    <xf numFmtId="0" fontId="14" fillId="0" borderId="0" xfId="0" applyFont="1"/>
    <xf numFmtId="0" fontId="2" fillId="0" borderId="4" xfId="0" applyFont="1"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6" fillId="4" borderId="12"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0" xfId="0" applyFont="1" applyFill="1" applyBorder="1" applyAlignment="1">
      <alignment horizontal="center" vertical="center" wrapText="1"/>
    </xf>
    <xf numFmtId="0" fontId="6" fillId="4" borderId="14" xfId="0" applyFont="1" applyFill="1" applyBorder="1" applyAlignment="1">
      <alignment horizontal="center" vertical="center" wrapText="1"/>
    </xf>
    <xf numFmtId="0" fontId="6" fillId="4" borderId="0" xfId="0" applyFont="1" applyFill="1" applyBorder="1" applyAlignment="1">
      <alignment horizontal="center" vertical="center" wrapText="1"/>
    </xf>
    <xf numFmtId="0" fontId="6" fillId="4" borderId="8" xfId="0" applyFont="1" applyFill="1" applyBorder="1" applyAlignment="1">
      <alignment horizontal="center" vertical="center" wrapText="1"/>
    </xf>
    <xf numFmtId="0" fontId="6" fillId="4" borderId="9"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7" xfId="0" applyFont="1" applyFill="1" applyBorder="1" applyAlignment="1">
      <alignment horizontal="center" vertical="center" wrapText="1"/>
    </xf>
    <xf numFmtId="0" fontId="0" fillId="0" borderId="0" xfId="0" applyFill="1" applyAlignment="1">
      <alignment wrapText="1"/>
    </xf>
    <xf numFmtId="0" fontId="0" fillId="0" borderId="0" xfId="0" applyFill="1" applyAlignment="1">
      <alignment horizontal="center" vertical="center" wrapText="1"/>
    </xf>
    <xf numFmtId="0" fontId="9" fillId="0" borderId="0" xfId="0" applyFont="1" applyFill="1" applyAlignment="1">
      <alignment horizontal="right"/>
    </xf>
    <xf numFmtId="0" fontId="2" fillId="0" borderId="0" xfId="0" applyFont="1" applyFill="1" applyAlignment="1">
      <alignment horizontal="center" vertical="center" wrapText="1"/>
    </xf>
  </cellXfs>
  <cellStyles count="3">
    <cellStyle name="Followed Hyperlink" xfId="2" builtinId="9" hidden="1"/>
    <cellStyle name="Hyperlink" xfId="1" builtinId="8" hidden="1"/>
    <cellStyle name="Normal" xfId="0" builtinId="0"/>
  </cellStyles>
  <dxfs count="22">
    <dxf>
      <numFmt numFmtId="14" formatCode="0.00%"/>
      <border diagonalUp="0" diagonalDown="0">
        <left style="medium">
          <color indexed="64"/>
        </left>
        <right/>
        <top style="medium">
          <color indexed="64"/>
        </top>
        <bottom style="medium">
          <color indexed="64"/>
        </bottom>
        <vertical/>
        <horizontal/>
      </border>
    </dxf>
    <dxf>
      <numFmt numFmtId="0" formatCode="General"/>
      <border diagonalUp="0" diagonalDown="0">
        <left style="medium">
          <color indexed="64"/>
        </left>
        <right style="medium">
          <color indexed="64"/>
        </right>
        <top style="medium">
          <color indexed="64"/>
        </top>
        <bottom style="medium">
          <color indexed="64"/>
        </bottom>
        <vertical/>
        <horizontal/>
      </border>
    </dxf>
    <dxf>
      <alignment horizontal="general" vertical="top" textRotation="0" wrapText="0" indent="0" justifyLastLine="0" shrinkToFit="0" readingOrder="0"/>
      <border diagonalUp="0" diagonalDown="0">
        <left style="medium">
          <color indexed="64"/>
        </left>
        <right style="medium">
          <color indexed="64"/>
        </right>
        <top style="medium">
          <color indexed="64"/>
        </top>
        <bottom style="medium">
          <color indexed="64"/>
        </bottom>
        <vertical/>
        <horizontal/>
      </border>
    </dxf>
    <dxf>
      <border outline="0">
        <left style="medium">
          <color indexed="64"/>
        </left>
        <right style="medium">
          <color indexed="64"/>
        </right>
        <top style="medium">
          <color indexed="64"/>
        </top>
        <bottom style="medium">
          <color indexed="64"/>
        </bottom>
      </border>
    </dxf>
    <dxf>
      <border outline="0">
        <bottom style="medium">
          <color indexed="64"/>
        </bottom>
      </border>
    </dxf>
    <dxf>
      <font>
        <b val="0"/>
        <i val="0"/>
        <strike val="0"/>
        <condense val="0"/>
        <extend val="0"/>
        <outline val="0"/>
        <shadow val="0"/>
        <u val="none"/>
        <vertAlign val="baseline"/>
        <sz val="10"/>
        <color auto="1"/>
        <name val="Microsoft Sans Serif"/>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font>
      <numFmt numFmtId="1"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Microsoft Sans Serif"/>
        <scheme val="none"/>
      </font>
      <fill>
        <patternFill patternType="none">
          <fgColor indexed="64"/>
          <bgColor indexed="65"/>
        </patternFill>
      </fill>
      <alignment horizontal="center" vertical="center" textRotation="0" wrapText="0" indent="0" justifyLastLine="0" shrinkToFit="0" readingOrder="0"/>
    </dxf>
    <dxf>
      <font>
        <b val="0"/>
        <i val="0"/>
      </font>
      <numFmt numFmtId="165" formatCode="0.0%"/>
      <fill>
        <patternFill patternType="none">
          <fgColor indexed="64"/>
          <bgColor indexed="65"/>
        </patternFill>
      </fill>
      <alignment horizontal="center" vertical="center" textRotation="0" wrapText="0" indent="0" justifyLastLine="0" shrinkToFit="0" readingOrder="0"/>
    </dxf>
    <dxf>
      <font>
        <b val="0"/>
        <i val="0"/>
      </font>
      <fill>
        <patternFill patternType="none">
          <fgColor indexed="64"/>
          <bgColor indexed="65"/>
        </patternFill>
      </fill>
      <alignment horizontal="general" vertical="bottom" textRotation="0" wrapText="1" indent="0" justifyLastLine="0" shrinkToFit="0" readingOrder="0"/>
    </dxf>
    <dxf>
      <font>
        <b val="0"/>
        <i val="0"/>
      </font>
      <fill>
        <patternFill patternType="none">
          <fgColor indexed="64"/>
          <bgColor indexed="65"/>
        </patternFill>
      </fill>
      <alignment horizontal="general" vertical="bottom" textRotation="0" wrapText="1" indent="0" justifyLastLine="0" shrinkToFit="0" readingOrder="0"/>
    </dxf>
    <dxf>
      <font>
        <b val="0"/>
        <i val="0"/>
      </font>
    </dxf>
    <dxf>
      <font>
        <b val="0"/>
        <i val="0"/>
        <strike val="0"/>
        <outline val="0"/>
        <shadow val="0"/>
        <u val="none"/>
        <vertAlign val="baseline"/>
        <sz val="8"/>
        <color auto="1"/>
        <name val="Microsoft Sans Serif"/>
        <scheme val="none"/>
      </font>
    </dxf>
    <dxf>
      <fill>
        <patternFill patternType="solid">
          <fgColor indexed="64"/>
          <bgColor theme="0"/>
        </patternFill>
      </fill>
      <border diagonalUp="0" diagonalDown="0" outline="0">
        <left style="thin">
          <color auto="1"/>
        </left>
        <right style="thin">
          <color auto="1"/>
        </right>
        <top style="thin">
          <color auto="1"/>
        </top>
        <bottom style="thin">
          <color auto="1"/>
        </bottom>
      </border>
    </dxf>
    <dxf>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1" indent="0" justifyLastLine="0" shrinkToFit="0" readingOrder="0"/>
    </dxf>
    <dxf>
      <alignment textRotation="0" wrapText="1" indent="0" justifyLastLine="0" shrinkToFit="0" readingOrder="0"/>
    </dxf>
    <dxf>
      <numFmt numFmtId="164" formatCode="mm/dd/yyyy"/>
    </dxf>
    <dxf>
      <numFmt numFmtId="164" formatCode="mm/dd/yyyy"/>
    </dxf>
    <dxf>
      <font>
        <b/>
        <i val="0"/>
        <strike val="0"/>
        <condense val="0"/>
        <extend val="0"/>
        <outline val="0"/>
        <shadow val="0"/>
        <u val="none"/>
        <vertAlign val="baseline"/>
        <sz val="10"/>
        <color auto="1"/>
        <name val="Microsoft Sans Serif"/>
        <scheme val="none"/>
      </font>
      <alignment horizontal="general" vertical="top" textRotation="0" wrapText="1" indent="0" justifyLastLine="0" shrinkToFit="0" readingOrder="0"/>
    </dxf>
    <dxf>
      <font>
        <b/>
        <i val="0"/>
        <strike val="0"/>
        <condense val="0"/>
        <extend val="0"/>
        <outline val="0"/>
        <shadow val="0"/>
        <u val="none"/>
        <vertAlign val="baseline"/>
        <sz val="10"/>
        <color auto="1"/>
        <name val="Microsoft Sans Serif"/>
        <scheme val="none"/>
      </font>
      <numFmt numFmtId="164" formatCode="mm/dd/yyyy"/>
      <alignment horizontal="general" vertical="top" textRotation="0" wrapText="1" indent="0" justifyLastLine="0" shrinkToFit="0" readingOrder="0"/>
    </dxf>
    <dxf>
      <font>
        <b val="0"/>
        <i val="0"/>
        <strike val="0"/>
        <condense val="0"/>
        <extend val="0"/>
        <outline val="0"/>
        <shadow val="0"/>
        <u val="none"/>
        <vertAlign val="baseline"/>
        <sz val="7"/>
        <color auto="1"/>
        <name val="Microsoft Sans Serif"/>
        <scheme val="none"/>
      </font>
      <alignment horizontal="left" vertical="top" textRotation="0" wrapText="1" indent="0" justifyLastLine="0" shrinkToFit="0" readingOrder="0"/>
    </dxf>
  </dxfs>
  <tableStyles count="0" defaultTableStyle="TableStyleMedium2" defaultPivotStyle="PivotStyleLight16"/>
  <colors>
    <mruColors>
      <color rgb="FF0066FF"/>
      <color rgb="FFFF7C80"/>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theme" Target="theme/theme1.xml"/><Relationship Id="rId8" Type="http://schemas.openxmlformats.org/officeDocument/2006/relationships/styles" Target="styles.xml"/><Relationship Id="rId9" Type="http://schemas.openxmlformats.org/officeDocument/2006/relationships/sharedStrings" Target="sharedStrings.xml"/><Relationship Id="rId10"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0453532367302296"/>
          <c:y val="0.0387522608600296"/>
          <c:w val="0.940810286652772"/>
          <c:h val="0.681087708314496"/>
        </c:manualLayout>
      </c:layout>
      <c:scatterChart>
        <c:scatterStyle val="lineMarker"/>
        <c:varyColors val="1"/>
        <c:ser>
          <c:idx val="0"/>
          <c:order val="0"/>
          <c:spPr>
            <a:ln w="28575">
              <a:noFill/>
            </a:ln>
          </c:spPr>
          <c:dPt>
            <c:idx val="12"/>
            <c:marker>
              <c:spPr>
                <a:solidFill>
                  <a:srgbClr val="0070C0"/>
                </a:solidFill>
              </c:spPr>
            </c:marker>
            <c:bubble3D val="1"/>
          </c:dPt>
          <c:dLbls>
            <c:dLbl>
              <c:idx val="0"/>
              <c:layout>
                <c:manualLayout>
                  <c:x val="-0.0280165126411225"/>
                  <c:y val="-0.0390645096515001"/>
                </c:manualLayout>
              </c:layout>
              <c:tx>
                <c:rich>
                  <a:bodyPr/>
                  <a:lstStyle/>
                  <a:p>
                    <a:r>
                      <a:rPr lang="en-US" b="1"/>
                      <a:t>2.1%</a:t>
                    </a:r>
                    <a:endParaRPr lang="en-US"/>
                  </a:p>
                </c:rich>
              </c:tx>
              <c:dLblPos val="r"/>
              <c:showLegendKey val="0"/>
              <c:showVal val="1"/>
              <c:showCatName val="0"/>
              <c:showSerName val="0"/>
              <c:showPercent val="0"/>
              <c:showBubbleSize val="0"/>
              <c:extLst>
                <c:ext xmlns:c15="http://schemas.microsoft.com/office/drawing/2012/chart" uri="{CE6537A1-D6FC-4f65-9D91-7224C49458BB}"/>
              </c:extLst>
            </c:dLbl>
            <c:dLbl>
              <c:idx val="1"/>
              <c:layout>
                <c:manualLayout>
                  <c:x val="-0.0308943049876058"/>
                  <c:y val="-0.0450371204308387"/>
                </c:manualLayout>
              </c:layout>
              <c:tx>
                <c:rich>
                  <a:bodyPr/>
                  <a:lstStyle/>
                  <a:p>
                    <a:r>
                      <a:rPr lang="en-US" b="1"/>
                      <a:t>3.4%</a:t>
                    </a:r>
                    <a:endParaRPr lang="en-US"/>
                  </a:p>
                </c:rich>
              </c:tx>
              <c:dLblPos val="r"/>
              <c:showLegendKey val="0"/>
              <c:showVal val="1"/>
              <c:showCatName val="0"/>
              <c:showSerName val="0"/>
              <c:showPercent val="0"/>
              <c:showBubbleSize val="0"/>
              <c:extLst>
                <c:ext xmlns:c15="http://schemas.microsoft.com/office/drawing/2012/chart" uri="{CE6537A1-D6FC-4f65-9D91-7224C49458BB}"/>
              </c:extLst>
            </c:dLbl>
            <c:dLbl>
              <c:idx val="2"/>
              <c:layout>
                <c:manualLayout>
                  <c:x val="-0.0308945610531258"/>
                  <c:y val="-0.0358342538786347"/>
                </c:manualLayout>
              </c:layout>
              <c:tx>
                <c:rich>
                  <a:bodyPr/>
                  <a:lstStyle/>
                  <a:p>
                    <a:r>
                      <a:rPr lang="en-US" b="1"/>
                      <a:t>6.7%</a:t>
                    </a:r>
                    <a:endParaRPr lang="en-US"/>
                  </a:p>
                </c:rich>
              </c:tx>
              <c:dLblPos val="r"/>
              <c:showLegendKey val="0"/>
              <c:showVal val="1"/>
              <c:showCatName val="0"/>
              <c:showSerName val="0"/>
              <c:showPercent val="0"/>
              <c:showBubbleSize val="0"/>
              <c:extLst>
                <c:ext xmlns:c15="http://schemas.microsoft.com/office/drawing/2012/chart" uri="{CE6537A1-D6FC-4f65-9D91-7224C49458BB}"/>
              </c:extLst>
            </c:dLbl>
            <c:dLbl>
              <c:idx val="3"/>
              <c:layout>
                <c:manualLayout>
                  <c:x val="-0.0242368123372642"/>
                  <c:y val="-0.0407981313430161"/>
                </c:manualLayout>
              </c:layout>
              <c:tx>
                <c:rich>
                  <a:bodyPr/>
                  <a:lstStyle/>
                  <a:p>
                    <a:r>
                      <a:rPr lang="en-US" b="1"/>
                      <a:t>7.0%</a:t>
                    </a:r>
                    <a:endParaRPr lang="en-US"/>
                  </a:p>
                </c:rich>
              </c:tx>
              <c:dLblPos val="r"/>
              <c:showLegendKey val="0"/>
              <c:showVal val="1"/>
              <c:showCatName val="0"/>
              <c:showSerName val="0"/>
              <c:showPercent val="0"/>
              <c:showBubbleSize val="0"/>
              <c:extLst>
                <c:ext xmlns:c15="http://schemas.microsoft.com/office/drawing/2012/chart" uri="{CE6537A1-D6FC-4f65-9D91-7224C49458BB}"/>
              </c:extLst>
            </c:dLbl>
            <c:dLbl>
              <c:idx val="4"/>
              <c:layout>
                <c:manualLayout>
                  <c:x val="-0.0195735136360607"/>
                  <c:y val="-0.0413024532581532"/>
                </c:manualLayout>
              </c:layout>
              <c:tx>
                <c:rich>
                  <a:bodyPr/>
                  <a:lstStyle/>
                  <a:p>
                    <a:r>
                      <a:rPr lang="en-US" b="1"/>
                      <a:t>7.4%</a:t>
                    </a:r>
                    <a:endParaRPr lang="en-US"/>
                  </a:p>
                </c:rich>
              </c:tx>
              <c:dLblPos val="r"/>
              <c:showLegendKey val="0"/>
              <c:showVal val="1"/>
              <c:showCatName val="0"/>
              <c:showSerName val="0"/>
              <c:showPercent val="0"/>
              <c:showBubbleSize val="0"/>
              <c:extLst>
                <c:ext xmlns:c15="http://schemas.microsoft.com/office/drawing/2012/chart" uri="{CE6537A1-D6FC-4f65-9D91-7224C49458BB}"/>
              </c:extLst>
            </c:dLbl>
            <c:dLbl>
              <c:idx val="5"/>
              <c:layout>
                <c:manualLayout>
                  <c:x val="-0.0226415071914518"/>
                  <c:y val="-0.0453752306207777"/>
                </c:manualLayout>
              </c:layout>
              <c:tx>
                <c:rich>
                  <a:bodyPr/>
                  <a:lstStyle/>
                  <a:p>
                    <a:r>
                      <a:rPr lang="en-US" b="1"/>
                      <a:t>7.6%</a:t>
                    </a:r>
                    <a:endParaRPr lang="en-US"/>
                  </a:p>
                </c:rich>
              </c:tx>
              <c:dLblPos val="r"/>
              <c:showLegendKey val="0"/>
              <c:showVal val="1"/>
              <c:showCatName val="0"/>
              <c:showSerName val="0"/>
              <c:showPercent val="0"/>
              <c:showBubbleSize val="0"/>
              <c:extLst>
                <c:ext xmlns:c15="http://schemas.microsoft.com/office/drawing/2012/chart" uri="{CE6537A1-D6FC-4f65-9D91-7224C49458BB}"/>
              </c:extLst>
            </c:dLbl>
            <c:dLbl>
              <c:idx val="6"/>
              <c:layout>
                <c:manualLayout>
                  <c:x val="-0.0264150917233604"/>
                  <c:y val="-0.0453752306207777"/>
                </c:manualLayout>
              </c:layout>
              <c:tx>
                <c:rich>
                  <a:bodyPr/>
                  <a:lstStyle/>
                  <a:p>
                    <a:r>
                      <a:rPr lang="en-US" b="1"/>
                      <a:t>10.6%</a:t>
                    </a:r>
                    <a:endParaRPr lang="en-US"/>
                  </a:p>
                </c:rich>
              </c:tx>
              <c:dLblPos val="r"/>
              <c:showLegendKey val="0"/>
              <c:showVal val="1"/>
              <c:showCatName val="0"/>
              <c:showSerName val="0"/>
              <c:showPercent val="0"/>
              <c:showBubbleSize val="0"/>
              <c:extLst>
                <c:ext xmlns:c15="http://schemas.microsoft.com/office/drawing/2012/chart" uri="{CE6537A1-D6FC-4f65-9D91-7224C49458BB}"/>
              </c:extLst>
            </c:dLbl>
            <c:dLbl>
              <c:idx val="7"/>
              <c:layout>
                <c:manualLayout>
                  <c:x val="-0.023899368702088"/>
                  <c:y val="-0.0453752306207776"/>
                </c:manualLayout>
              </c:layout>
              <c:tx>
                <c:rich>
                  <a:bodyPr/>
                  <a:lstStyle/>
                  <a:p>
                    <a:r>
                      <a:rPr lang="en-US" b="1"/>
                      <a:t>11.0%</a:t>
                    </a:r>
                    <a:endParaRPr lang="en-US"/>
                  </a:p>
                </c:rich>
              </c:tx>
              <c:dLblPos val="r"/>
              <c:showLegendKey val="0"/>
              <c:showVal val="1"/>
              <c:showCatName val="0"/>
              <c:showSerName val="0"/>
              <c:showPercent val="0"/>
              <c:showBubbleSize val="0"/>
              <c:extLst>
                <c:ext xmlns:c15="http://schemas.microsoft.com/office/drawing/2012/chart" uri="{CE6537A1-D6FC-4f65-9D91-7224C49458BB}"/>
              </c:extLst>
            </c:dLbl>
            <c:dLbl>
              <c:idx val="8"/>
              <c:layout>
                <c:manualLayout>
                  <c:x val="-0.0264150917233604"/>
                  <c:y val="-0.0418848282653332"/>
                </c:manualLayout>
              </c:layout>
              <c:tx>
                <c:rich>
                  <a:bodyPr/>
                  <a:lstStyle/>
                  <a:p>
                    <a:r>
                      <a:rPr lang="en-US" b="1"/>
                      <a:t>11.9%</a:t>
                    </a:r>
                    <a:endParaRPr lang="en-US"/>
                  </a:p>
                </c:rich>
              </c:tx>
              <c:dLblPos val="r"/>
              <c:showLegendKey val="0"/>
              <c:showVal val="1"/>
              <c:showCatName val="0"/>
              <c:showSerName val="0"/>
              <c:showPercent val="0"/>
              <c:showBubbleSize val="0"/>
              <c:extLst>
                <c:ext xmlns:c15="http://schemas.microsoft.com/office/drawing/2012/chart" uri="{CE6537A1-D6FC-4f65-9D91-7224C49458BB}"/>
              </c:extLst>
            </c:dLbl>
            <c:dLbl>
              <c:idx val="9"/>
              <c:layout>
                <c:manualLayout>
                  <c:x val="-0.030188676255269"/>
                  <c:y val="-0.0488656329762221"/>
                </c:manualLayout>
              </c:layout>
              <c:tx>
                <c:rich>
                  <a:bodyPr/>
                  <a:lstStyle/>
                  <a:p>
                    <a:r>
                      <a:rPr lang="en-US" b="1"/>
                      <a:t>12.3%</a:t>
                    </a:r>
                    <a:endParaRPr lang="en-US"/>
                  </a:p>
                </c:rich>
              </c:tx>
              <c:dLblPos val="r"/>
              <c:showLegendKey val="0"/>
              <c:showVal val="1"/>
              <c:showCatName val="0"/>
              <c:showSerName val="0"/>
              <c:showPercent val="0"/>
              <c:showBubbleSize val="0"/>
              <c:extLst>
                <c:ext xmlns:c15="http://schemas.microsoft.com/office/drawing/2012/chart" uri="{CE6537A1-D6FC-4f65-9D91-7224C49458BB}"/>
              </c:extLst>
            </c:dLbl>
            <c:dLbl>
              <c:idx val="10"/>
              <c:layout>
                <c:manualLayout>
                  <c:x val="-0.0264150917233604"/>
                  <c:y val="-0.0418848282653332"/>
                </c:manualLayout>
              </c:layout>
              <c:tx>
                <c:rich>
                  <a:bodyPr/>
                  <a:lstStyle/>
                  <a:p>
                    <a:r>
                      <a:rPr lang="en-US" b="1"/>
                      <a:t>19.1%</a:t>
                    </a:r>
                    <a:endParaRPr lang="en-US"/>
                  </a:p>
                </c:rich>
              </c:tx>
              <c:dLblPos val="r"/>
              <c:showLegendKey val="0"/>
              <c:showVal val="1"/>
              <c:showCatName val="0"/>
              <c:showSerName val="0"/>
              <c:showPercent val="0"/>
              <c:showBubbleSize val="0"/>
              <c:extLst>
                <c:ext xmlns:c15="http://schemas.microsoft.com/office/drawing/2012/chart" uri="{CE6537A1-D6FC-4f65-9D91-7224C49458BB}"/>
              </c:extLst>
            </c:dLbl>
            <c:dLbl>
              <c:idx val="11"/>
              <c:layout>
                <c:manualLayout>
                  <c:x val="-0.0264150917233604"/>
                  <c:y val="-0.055846437687111"/>
                </c:manualLayout>
              </c:layout>
              <c:tx>
                <c:rich>
                  <a:bodyPr/>
                  <a:lstStyle/>
                  <a:p>
                    <a:r>
                      <a:rPr lang="en-US" b="1"/>
                      <a:t>19.6%</a:t>
                    </a:r>
                    <a:endParaRPr lang="en-US"/>
                  </a:p>
                </c:rich>
              </c:tx>
              <c:dLblPos val="r"/>
              <c:showLegendKey val="0"/>
              <c:showVal val="1"/>
              <c:showCatName val="0"/>
              <c:showSerName val="0"/>
              <c:showPercent val="0"/>
              <c:showBubbleSize val="0"/>
              <c:extLst>
                <c:ext xmlns:c15="http://schemas.microsoft.com/office/drawing/2012/chart" uri="{CE6537A1-D6FC-4f65-9D91-7224C49458BB}"/>
              </c:extLst>
            </c:dLbl>
            <c:dLbl>
              <c:idx val="12"/>
              <c:layout>
                <c:manualLayout>
                  <c:x val="-0.0238993687020879"/>
                  <c:y val="-0.0523560353316666"/>
                </c:manualLayout>
              </c:layout>
              <c:tx>
                <c:rich>
                  <a:bodyPr/>
                  <a:lstStyle/>
                  <a:p>
                    <a:r>
                      <a:rPr lang="en-US" b="1"/>
                      <a:t>21.1%</a:t>
                    </a:r>
                    <a:endParaRPr lang="en-US"/>
                  </a:p>
                </c:rich>
              </c:tx>
              <c:dLblPos val="r"/>
              <c:showLegendKey val="0"/>
              <c:showVal val="1"/>
              <c:showCatName val="0"/>
              <c:showSerName val="0"/>
              <c:showPercent val="0"/>
              <c:showBubbleSize val="0"/>
              <c:extLst>
                <c:ext xmlns:c15="http://schemas.microsoft.com/office/drawing/2012/chart" uri="{CE6537A1-D6FC-4f65-9D91-7224C49458BB}"/>
              </c:extLst>
            </c:dLbl>
            <c:dLbl>
              <c:idx val="13"/>
              <c:layout>
                <c:manualLayout>
                  <c:x val="-0.0289308147446328"/>
                  <c:y val="-0.055846437687111"/>
                </c:manualLayout>
              </c:layout>
              <c:tx>
                <c:rich>
                  <a:bodyPr/>
                  <a:lstStyle/>
                  <a:p>
                    <a:r>
                      <a:rPr lang="en-US" b="1"/>
                      <a:t>25.5%</a:t>
                    </a:r>
                    <a:endParaRPr lang="en-US"/>
                  </a:p>
                </c:rich>
              </c:tx>
              <c:dLblPos val="r"/>
              <c:showLegendKey val="0"/>
              <c:showVal val="1"/>
              <c:showCatName val="0"/>
              <c:showSerName val="0"/>
              <c:showPercent val="0"/>
              <c:showBubbleSize val="0"/>
              <c:extLst>
                <c:ext xmlns:c15="http://schemas.microsoft.com/office/drawing/2012/chart" uri="{CE6537A1-D6FC-4f65-9D91-7224C49458BB}"/>
              </c:extLst>
            </c:dLbl>
            <c:dLbl>
              <c:idx val="14"/>
              <c:layout/>
              <c:tx>
                <c:rich>
                  <a:bodyPr/>
                  <a:lstStyle/>
                  <a:p>
                    <a:r>
                      <a:rPr lang="en-US" b="1"/>
                      <a:t>32.1%</a:t>
                    </a:r>
                    <a:endParaRPr lang="en-US"/>
                  </a:p>
                </c:rich>
              </c:tx>
              <c:dLblPos val="r"/>
              <c:showLegendKey val="0"/>
              <c:showVal val="1"/>
              <c:showCatName val="0"/>
              <c:showSerName val="0"/>
              <c:showPercent val="0"/>
              <c:showBubbleSize val="0"/>
              <c:extLst>
                <c:ext xmlns:c15="http://schemas.microsoft.com/office/drawing/2012/chart" uri="{CE6537A1-D6FC-4f65-9D91-7224C49458BB}"/>
              </c:extLst>
            </c:dLbl>
            <c:numFmt formatCode="0%" sourceLinked="0"/>
            <c:spPr>
              <a:noFill/>
              <a:ln>
                <a:noFill/>
              </a:ln>
              <a:effectLst/>
            </c:spPr>
            <c:txPr>
              <a:bodyPr/>
              <a:lstStyle/>
              <a:p>
                <a:pPr>
                  <a:defRPr b="1"/>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strRef>
              <c:f>Quant.data!$B$5:$B$19</c:f>
              <c:strCache>
                <c:ptCount val="15"/>
                <c:pt idx="0">
                  <c:v>Immigration or nationality</c:v>
                </c:pt>
                <c:pt idx="1">
                  <c:v>Problems with the Police or criminal proceedings</c:v>
                </c:pt>
                <c:pt idx="2">
                  <c:v>Discrimination at work, school or elsewhere</c:v>
                </c:pt>
                <c:pt idx="3">
                  <c:v>You or your child's education or school, including bullying</c:v>
                </c:pt>
                <c:pt idx="4">
                  <c:v>Legal action involving a civil court or tribunal</c:v>
                </c:pt>
                <c:pt idx="5">
                  <c:v>Tax eg self-assessment</c:v>
                </c:pt>
                <c:pt idx="6">
                  <c:v>Buying goods or services including scams</c:v>
                </c:pt>
                <c:pt idx="7">
                  <c:v>Housing issues eg over-crowding or tenancy agreement</c:v>
                </c:pt>
                <c:pt idx="8">
                  <c:v>Problems with neighbours or other community members</c:v>
                </c:pt>
                <c:pt idx="9">
                  <c:v>Problems at work / with your employer</c:v>
                </c:pt>
                <c:pt idx="10">
                  <c:v>Accessing health or caring services</c:v>
                </c:pt>
                <c:pt idx="11">
                  <c:v>Family or relationships</c:v>
                </c:pt>
                <c:pt idx="12">
                  <c:v>Welfare benefits - claiming or being paid</c:v>
                </c:pt>
                <c:pt idx="13">
                  <c:v>Debts or meeting bills</c:v>
                </c:pt>
                <c:pt idx="14">
                  <c:v>None of these</c:v>
                </c:pt>
              </c:strCache>
            </c:strRef>
          </c:xVal>
          <c:yVal>
            <c:numRef>
              <c:f>Quant.data!$D$5:$D$19</c:f>
              <c:numCache>
                <c:formatCode>0</c:formatCode>
                <c:ptCount val="15"/>
                <c:pt idx="0">
                  <c:v>61.0</c:v>
                </c:pt>
                <c:pt idx="1">
                  <c:v>102.0</c:v>
                </c:pt>
                <c:pt idx="2">
                  <c:v>200.0</c:v>
                </c:pt>
                <c:pt idx="3">
                  <c:v>207.0</c:v>
                </c:pt>
                <c:pt idx="4">
                  <c:v>221.0</c:v>
                </c:pt>
                <c:pt idx="5">
                  <c:v>225.0</c:v>
                </c:pt>
                <c:pt idx="6">
                  <c:v>314.0</c:v>
                </c:pt>
                <c:pt idx="7">
                  <c:v>326.0</c:v>
                </c:pt>
                <c:pt idx="8">
                  <c:v>352.0</c:v>
                </c:pt>
                <c:pt idx="9">
                  <c:v>364.0</c:v>
                </c:pt>
                <c:pt idx="10">
                  <c:v>566.0</c:v>
                </c:pt>
                <c:pt idx="11">
                  <c:v>582.0</c:v>
                </c:pt>
                <c:pt idx="12">
                  <c:v>625.0</c:v>
                </c:pt>
                <c:pt idx="13">
                  <c:v>756.0</c:v>
                </c:pt>
                <c:pt idx="14">
                  <c:v>954.0</c:v>
                </c:pt>
              </c:numCache>
            </c:numRef>
          </c:yVal>
          <c:smooth val="0"/>
        </c:ser>
        <c:dLbls>
          <c:showLegendKey val="0"/>
          <c:showVal val="0"/>
          <c:showCatName val="0"/>
          <c:showSerName val="0"/>
          <c:showPercent val="0"/>
          <c:showBubbleSize val="0"/>
        </c:dLbls>
        <c:axId val="417333256"/>
        <c:axId val="417336472"/>
      </c:scatterChart>
      <c:valAx>
        <c:axId val="417333256"/>
        <c:scaling>
          <c:orientation val="minMax"/>
        </c:scaling>
        <c:delete val="1"/>
        <c:axPos val="b"/>
        <c:majorGridlines>
          <c:spPr>
            <a:ln>
              <a:noFill/>
            </a:ln>
          </c:spPr>
        </c:majorGridlines>
        <c:minorGridlines>
          <c:spPr>
            <a:ln>
              <a:noFill/>
            </a:ln>
          </c:spPr>
        </c:minorGridlines>
        <c:numFmt formatCode="0" sourceLinked="1"/>
        <c:majorTickMark val="out"/>
        <c:minorTickMark val="none"/>
        <c:tickLblPos val="nextTo"/>
        <c:crossAx val="417336472"/>
        <c:crosses val="autoZero"/>
        <c:crossBetween val="midCat"/>
      </c:valAx>
      <c:valAx>
        <c:axId val="417336472"/>
        <c:scaling>
          <c:orientation val="minMax"/>
          <c:max val="1000.0"/>
          <c:min val="0.0"/>
        </c:scaling>
        <c:delete val="0"/>
        <c:axPos val="l"/>
        <c:majorGridlines>
          <c:spPr>
            <a:ln>
              <a:noFill/>
            </a:ln>
          </c:spPr>
        </c:majorGridlines>
        <c:minorGridlines>
          <c:spPr>
            <a:ln>
              <a:noFill/>
            </a:ln>
          </c:spPr>
        </c:minorGridlines>
        <c:numFmt formatCode="0" sourceLinked="1"/>
        <c:majorTickMark val="out"/>
        <c:minorTickMark val="none"/>
        <c:tickLblPos val="nextTo"/>
        <c:crossAx val="417333256"/>
        <c:crosses val="autoZero"/>
        <c:crossBetween val="midCat"/>
      </c:valAx>
      <c:spPr>
        <a:noFill/>
      </c:spPr>
    </c:plotArea>
    <c:legend>
      <c:legendPos val="b"/>
      <c:layout>
        <c:manualLayout>
          <c:xMode val="edge"/>
          <c:yMode val="edge"/>
          <c:x val="0.00803624938976385"/>
          <c:y val="0.739997785732075"/>
          <c:w val="0.983927402176259"/>
          <c:h val="0.242889920567068"/>
        </c:manualLayout>
      </c:layout>
      <c:overlay val="0"/>
    </c:legend>
    <c:plotVisOnly val="1"/>
    <c:dispBlanksAs val="gap"/>
    <c:showDLblsOverMax val="0"/>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40878801946226"/>
          <c:y val="0.0433359203589294"/>
          <c:w val="0.557362785421037"/>
          <c:h val="0.937532638454494"/>
        </c:manualLayout>
      </c:layout>
      <c:barChart>
        <c:barDir val="bar"/>
        <c:grouping val="clustered"/>
        <c:varyColors val="0"/>
        <c:ser>
          <c:idx val="1"/>
          <c:order val="0"/>
          <c:tx>
            <c:strRef>
              <c:f>'Internal use - Data table&amp;Graph'!$A$4</c:f>
              <c:strCache>
                <c:ptCount val="1"/>
                <c:pt idx="0">
                  <c:v>DEBT</c:v>
                </c:pt>
              </c:strCache>
            </c:strRef>
          </c:tx>
          <c:spPr>
            <a:solidFill>
              <a:schemeClr val="bg1">
                <a:lumMod val="85000"/>
              </a:schemeClr>
            </a:solidFill>
          </c:spPr>
          <c:invertIfNegative val="0"/>
          <c:dLbls>
            <c:spPr>
              <a:noFill/>
              <a:ln>
                <a:noFill/>
              </a:ln>
              <a:effectLst/>
            </c:spPr>
            <c:dLblPos val="inBase"/>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val>
            <c:numRef>
              <c:f>'Internal use - Data table&amp;Graph'!$C$4</c:f>
              <c:numCache>
                <c:formatCode>General</c:formatCode>
                <c:ptCount val="1"/>
                <c:pt idx="0">
                  <c:v>97.0</c:v>
                </c:pt>
              </c:numCache>
            </c:numRef>
          </c:val>
        </c:ser>
        <c:ser>
          <c:idx val="0"/>
          <c:order val="1"/>
          <c:tx>
            <c:strRef>
              <c:f>'Internal use - Data table&amp;Graph'!$A$5</c:f>
              <c:strCache>
                <c:ptCount val="1"/>
                <c:pt idx="0">
                  <c:v>WELFARE BENEFITS</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val>
            <c:numRef>
              <c:f>'Internal use - Data table&amp;Graph'!$C$5</c:f>
              <c:numCache>
                <c:formatCode>General</c:formatCode>
                <c:ptCount val="1"/>
                <c:pt idx="0">
                  <c:v>-125.0</c:v>
                </c:pt>
              </c:numCache>
            </c:numRef>
          </c:val>
        </c:ser>
        <c:ser>
          <c:idx val="2"/>
          <c:order val="2"/>
          <c:tx>
            <c:strRef>
              <c:f>'Internal use - Data table&amp;Graph'!$A$6</c:f>
              <c:strCache>
                <c:ptCount val="1"/>
                <c:pt idx="0">
                  <c:v>HOUSING ISSUES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val>
            <c:numRef>
              <c:f>'Internal use - Data table&amp;Graph'!$C$6</c:f>
              <c:numCache>
                <c:formatCode>General</c:formatCode>
                <c:ptCount val="1"/>
                <c:pt idx="0">
                  <c:v>-46.0</c:v>
                </c:pt>
              </c:numCache>
            </c:numRef>
          </c:val>
        </c:ser>
        <c:ser>
          <c:idx val="3"/>
          <c:order val="3"/>
          <c:tx>
            <c:strRef>
              <c:f>'Internal use - Data table&amp;Graph'!$A$7</c:f>
              <c:strCache>
                <c:ptCount val="1"/>
                <c:pt idx="0">
                  <c:v>EMPLOYMENT ISSUES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val>
            <c:numRef>
              <c:f>'Internal use - Data table&amp;Graph'!$C$7</c:f>
              <c:numCache>
                <c:formatCode>General</c:formatCode>
                <c:ptCount val="1"/>
                <c:pt idx="0">
                  <c:v>-60.0</c:v>
                </c:pt>
              </c:numCache>
            </c:numRef>
          </c:val>
        </c:ser>
        <c:ser>
          <c:idx val="4"/>
          <c:order val="4"/>
          <c:tx>
            <c:strRef>
              <c:f>'Internal use - Data table&amp;Graph'!$A$8</c:f>
              <c:strCache>
                <c:ptCount val="1"/>
                <c:pt idx="0">
                  <c:v>EDUCATION</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trendline>
            <c:trendlineType val="linear"/>
            <c:dispRSqr val="0"/>
            <c:dispEq val="0"/>
          </c:trendline>
          <c:val>
            <c:numRef>
              <c:f>'Internal use - Data table&amp;Graph'!$C$8</c:f>
              <c:numCache>
                <c:formatCode>General</c:formatCode>
                <c:ptCount val="1"/>
                <c:pt idx="0">
                  <c:v>-26.0</c:v>
                </c:pt>
              </c:numCache>
            </c:numRef>
          </c:val>
        </c:ser>
        <c:ser>
          <c:idx val="5"/>
          <c:order val="5"/>
          <c:tx>
            <c:strRef>
              <c:f>'Internal use - Data table&amp;Graph'!$A$9</c:f>
              <c:strCache>
                <c:ptCount val="1"/>
                <c:pt idx="0">
                  <c:v>FAMILY / RELATIONSHIPS</c:v>
                </c:pt>
              </c:strCache>
            </c:strRef>
          </c:tx>
          <c:spPr>
            <a:solidFill>
              <a:srgbClr val="FF7C8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val>
            <c:numRef>
              <c:f>'Internal use - Data table&amp;Graph'!$C$9</c:f>
              <c:numCache>
                <c:formatCode>General</c:formatCode>
                <c:ptCount val="1"/>
                <c:pt idx="0">
                  <c:v>-58.0</c:v>
                </c:pt>
              </c:numCache>
            </c:numRef>
          </c:val>
        </c:ser>
        <c:ser>
          <c:idx val="6"/>
          <c:order val="6"/>
          <c:tx>
            <c:strRef>
              <c:f>'Internal use - Data table&amp;Graph'!$A$10</c:f>
              <c:strCache>
                <c:ptCount val="1"/>
                <c:pt idx="0">
                  <c:v>IMMIGRATION / NATIONALITY</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val>
            <c:numRef>
              <c:f>'Internal use - Data table&amp;Graph'!$C$10</c:f>
              <c:numCache>
                <c:formatCode>General</c:formatCode>
                <c:ptCount val="1"/>
                <c:pt idx="0">
                  <c:v>-7.0</c:v>
                </c:pt>
              </c:numCache>
            </c:numRef>
          </c:val>
        </c:ser>
        <c:ser>
          <c:idx val="7"/>
          <c:order val="7"/>
          <c:tx>
            <c:strRef>
              <c:f>'Internal use - Data table&amp;Graph'!$A$11</c:f>
              <c:strCache>
                <c:ptCount val="1"/>
                <c:pt idx="0">
                  <c:v>CONSUMER</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val>
            <c:numRef>
              <c:f>'Internal use - Data table&amp;Graph'!$C$11</c:f>
              <c:numCache>
                <c:formatCode>General</c:formatCode>
                <c:ptCount val="1"/>
                <c:pt idx="0">
                  <c:v>-26.0</c:v>
                </c:pt>
              </c:numCache>
            </c:numRef>
          </c:val>
        </c:ser>
        <c:ser>
          <c:idx val="8"/>
          <c:order val="8"/>
          <c:tx>
            <c:strRef>
              <c:f>'Internal use - Data table&amp;Graph'!$A$12</c:f>
              <c:strCache>
                <c:ptCount val="1"/>
                <c:pt idx="0">
                  <c:v>TAX</c:v>
                </c:pt>
              </c:strCache>
            </c:strRef>
          </c:tx>
          <c:spPr>
            <a:solidFill>
              <a:srgbClr val="FFFF99"/>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val>
            <c:numRef>
              <c:f>'Internal use - Data table&amp;Graph'!$C$12</c:f>
              <c:numCache>
                <c:formatCode>General</c:formatCode>
                <c:ptCount val="1"/>
                <c:pt idx="0">
                  <c:v>-15.0</c:v>
                </c:pt>
              </c:numCache>
            </c:numRef>
          </c:val>
        </c:ser>
        <c:ser>
          <c:idx val="9"/>
          <c:order val="9"/>
          <c:tx>
            <c:strRef>
              <c:f>'Internal use - Data table&amp;Graph'!$A$13</c:f>
              <c:strCache>
                <c:ptCount val="1"/>
                <c:pt idx="0">
                  <c:v>HEALTH / CARING SERVICES / SOCIAL SERVICES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val>
            <c:numRef>
              <c:f>'Internal use - Data table&amp;Graph'!$C$13</c:f>
              <c:numCache>
                <c:formatCode>General</c:formatCode>
                <c:ptCount val="1"/>
                <c:pt idx="0">
                  <c:v>-70.0</c:v>
                </c:pt>
              </c:numCache>
            </c:numRef>
          </c:val>
        </c:ser>
        <c:ser>
          <c:idx val="10"/>
          <c:order val="10"/>
          <c:tx>
            <c:strRef>
              <c:f>'Internal use - Data table&amp;Graph'!$A$14</c:f>
              <c:strCache>
                <c:ptCount val="1"/>
                <c:pt idx="0">
                  <c:v>DISCRIMINATION </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val>
            <c:numRef>
              <c:f>'Internal use - Data table&amp;Graph'!$C$14</c:f>
              <c:numCache>
                <c:formatCode>General</c:formatCode>
                <c:ptCount val="1"/>
                <c:pt idx="0">
                  <c:v>-17.0</c:v>
                </c:pt>
              </c:numCache>
            </c:numRef>
          </c:val>
        </c:ser>
        <c:ser>
          <c:idx val="11"/>
          <c:order val="11"/>
          <c:tx>
            <c:strRef>
              <c:f>'Internal use - Data table&amp;Graph'!$A$15</c:f>
              <c:strCache>
                <c:ptCount val="1"/>
                <c:pt idx="0">
                  <c:v>COMMUNITY</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val>
            <c:numRef>
              <c:f>'Internal use - Data table&amp;Graph'!$C$15</c:f>
              <c:numCache>
                <c:formatCode>General</c:formatCode>
                <c:ptCount val="1"/>
                <c:pt idx="0">
                  <c:v>-45.0</c:v>
                </c:pt>
              </c:numCache>
            </c:numRef>
          </c:val>
        </c:ser>
        <c:ser>
          <c:idx val="12"/>
          <c:order val="12"/>
          <c:tx>
            <c:strRef>
              <c:f>'Internal use - Data table&amp;Graph'!$A$16</c:f>
              <c:strCache>
                <c:ptCount val="1"/>
                <c:pt idx="0">
                  <c:v>LEGAL </c:v>
                </c:pt>
              </c:strCache>
            </c:strRef>
          </c:tx>
          <c:spPr>
            <a:solidFill>
              <a:srgbClr val="0066FF"/>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val>
            <c:numRef>
              <c:f>'Internal use - Data table&amp;Graph'!$C$16</c:f>
              <c:numCache>
                <c:formatCode>General</c:formatCode>
                <c:ptCount val="1"/>
                <c:pt idx="0">
                  <c:v>-22.0</c:v>
                </c:pt>
              </c:numCache>
            </c:numRef>
          </c:val>
        </c:ser>
        <c:ser>
          <c:idx val="13"/>
          <c:order val="13"/>
          <c:tx>
            <c:strRef>
              <c:f>'Internal use - Data table&amp;Graph'!$A$17</c:f>
              <c:strCache>
                <c:ptCount val="1"/>
                <c:pt idx="0">
                  <c:v>POLICE / CRIMINAL</c:v>
                </c:pt>
              </c:strCache>
            </c:strRef>
          </c:tx>
          <c:spPr>
            <a:solidFill>
              <a:srgbClr val="92D05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val>
            <c:numRef>
              <c:f>'Internal use - Data table&amp;Graph'!$C$17</c:f>
              <c:numCache>
                <c:formatCode>General</c:formatCode>
                <c:ptCount val="1"/>
                <c:pt idx="0">
                  <c:v>-10.0</c:v>
                </c:pt>
              </c:numCache>
            </c:numRef>
          </c:val>
        </c:ser>
        <c:dLbls>
          <c:showLegendKey val="0"/>
          <c:showVal val="1"/>
          <c:showCatName val="0"/>
          <c:showSerName val="0"/>
          <c:showPercent val="0"/>
          <c:showBubbleSize val="0"/>
        </c:dLbls>
        <c:gapWidth val="75"/>
        <c:axId val="417515864"/>
        <c:axId val="417521400"/>
      </c:barChart>
      <c:catAx>
        <c:axId val="417515864"/>
        <c:scaling>
          <c:orientation val="minMax"/>
        </c:scaling>
        <c:delete val="1"/>
        <c:axPos val="l"/>
        <c:title>
          <c:tx>
            <c:rich>
              <a:bodyPr rot="-5400000" vert="horz"/>
              <a:lstStyle/>
              <a:p>
                <a:pPr>
                  <a:defRPr/>
                </a:pPr>
                <a:r>
                  <a:rPr lang="en-US"/>
                  <a:t>Count of coded themes</a:t>
                </a:r>
              </a:p>
            </c:rich>
          </c:tx>
          <c:layout/>
          <c:overlay val="0"/>
        </c:title>
        <c:numFmt formatCode="#,##0.00" sourceLinked="0"/>
        <c:majorTickMark val="out"/>
        <c:minorTickMark val="none"/>
        <c:tickLblPos val="nextTo"/>
        <c:crossAx val="417521400"/>
        <c:crosses val="autoZero"/>
        <c:auto val="1"/>
        <c:lblAlgn val="ctr"/>
        <c:lblOffset val="100"/>
        <c:noMultiLvlLbl val="0"/>
      </c:catAx>
      <c:valAx>
        <c:axId val="417521400"/>
        <c:scaling>
          <c:orientation val="minMax"/>
        </c:scaling>
        <c:delete val="1"/>
        <c:axPos val="b"/>
        <c:numFmt formatCode="General" sourceLinked="1"/>
        <c:majorTickMark val="none"/>
        <c:minorTickMark val="none"/>
        <c:tickLblPos val="nextTo"/>
        <c:crossAx val="417515864"/>
        <c:crosses val="autoZero"/>
        <c:crossBetween val="between"/>
      </c:valAx>
      <c:spPr>
        <a:noFill/>
        <a:ln w="25400">
          <a:noFill/>
        </a:ln>
      </c:spPr>
    </c:plotArea>
    <c:legend>
      <c:legendPos val="b"/>
      <c:legendEntry>
        <c:idx val="14"/>
        <c:delete val="1"/>
      </c:legendEntry>
      <c:layout>
        <c:manualLayout>
          <c:xMode val="edge"/>
          <c:yMode val="edge"/>
          <c:x val="0.0218246079126542"/>
          <c:y val="0.0165203648270761"/>
          <c:w val="0.290378025796096"/>
          <c:h val="0.967016155629771"/>
        </c:manualLayout>
      </c:layout>
      <c:overlay val="0"/>
    </c:legend>
    <c:plotVisOnly val="1"/>
    <c:dispBlanksAs val="gap"/>
    <c:showDLblsOverMax val="0"/>
  </c:chart>
  <c:spPr>
    <a:no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2925180020501"/>
          <c:y val="0.0710433826281963"/>
          <c:w val="0.857074819979499"/>
          <c:h val="0.884470569471363"/>
        </c:manualLayout>
      </c:layout>
      <c:barChart>
        <c:barDir val="bar"/>
        <c:grouping val="stacked"/>
        <c:varyColors val="0"/>
        <c:ser>
          <c:idx val="0"/>
          <c:order val="0"/>
          <c:tx>
            <c:strRef>
              <c:f>'Internal use - Data table&amp;Graph'!$G$4</c:f>
              <c:strCache>
                <c:ptCount val="1"/>
                <c:pt idx="0">
                  <c:v>14 (n=2)</c:v>
                </c:pt>
              </c:strCache>
            </c:strRef>
          </c:tx>
          <c:invertIfNegative val="0"/>
          <c:dLbls>
            <c:delete val="1"/>
          </c:dLbls>
          <c:val>
            <c:numRef>
              <c:f>'Internal use - Data table&amp;Graph'!$H$4</c:f>
              <c:numCache>
                <c:formatCode>General</c:formatCode>
                <c:ptCount val="1"/>
                <c:pt idx="0">
                  <c:v>0.0</c:v>
                </c:pt>
              </c:numCache>
            </c:numRef>
          </c:val>
        </c:ser>
        <c:ser>
          <c:idx val="1"/>
          <c:order val="1"/>
          <c:tx>
            <c:strRef>
              <c:f>'Internal use - Data table&amp;Graph'!$G$5</c:f>
              <c:strCache>
                <c:ptCount val="1"/>
                <c:pt idx="0">
                  <c:v>13 (n=1)</c:v>
                </c:pt>
              </c:strCache>
            </c:strRef>
          </c:tx>
          <c:invertIfNegative val="0"/>
          <c:dLbls>
            <c:delete val="1"/>
          </c:dLbls>
          <c:val>
            <c:numRef>
              <c:f>'Internal use - Data table&amp;Graph'!$H$5</c:f>
              <c:numCache>
                <c:formatCode>General</c:formatCode>
                <c:ptCount val="1"/>
                <c:pt idx="0">
                  <c:v>0.0</c:v>
                </c:pt>
              </c:numCache>
            </c:numRef>
          </c:val>
        </c:ser>
        <c:ser>
          <c:idx val="2"/>
          <c:order val="2"/>
          <c:tx>
            <c:strRef>
              <c:f>'Internal use - Data table&amp;Graph'!$G$6</c:f>
              <c:strCache>
                <c:ptCount val="1"/>
                <c:pt idx="0">
                  <c:v>12 (n=2)</c:v>
                </c:pt>
              </c:strCache>
            </c:strRef>
          </c:tx>
          <c:invertIfNegative val="0"/>
          <c:dLbls>
            <c:delete val="1"/>
          </c:dLbls>
          <c:val>
            <c:numRef>
              <c:f>'Internal use - Data table&amp;Graph'!$H$6</c:f>
              <c:numCache>
                <c:formatCode>General</c:formatCode>
                <c:ptCount val="1"/>
                <c:pt idx="0">
                  <c:v>0.0</c:v>
                </c:pt>
              </c:numCache>
            </c:numRef>
          </c:val>
        </c:ser>
        <c:ser>
          <c:idx val="3"/>
          <c:order val="3"/>
          <c:tx>
            <c:strRef>
              <c:f>'Internal use - Data table&amp;Graph'!$G$7</c:f>
              <c:strCache>
                <c:ptCount val="1"/>
                <c:pt idx="0">
                  <c:v>11 (n=2)</c:v>
                </c:pt>
              </c:strCache>
            </c:strRef>
          </c:tx>
          <c:invertIfNegative val="0"/>
          <c:dLbls>
            <c:delete val="1"/>
          </c:dLbls>
          <c:val>
            <c:numRef>
              <c:f>'Internal use - Data table&amp;Graph'!$H$7</c:f>
              <c:numCache>
                <c:formatCode>General</c:formatCode>
                <c:ptCount val="1"/>
                <c:pt idx="0">
                  <c:v>0.0</c:v>
                </c:pt>
              </c:numCache>
            </c:numRef>
          </c:val>
        </c:ser>
        <c:ser>
          <c:idx val="4"/>
          <c:order val="4"/>
          <c:tx>
            <c:strRef>
              <c:f>'Internal use - Data table&amp;Graph'!$G$8</c:f>
              <c:strCache>
                <c:ptCount val="1"/>
                <c:pt idx="0">
                  <c:v>10 (n=0)</c:v>
                </c:pt>
              </c:strCache>
            </c:strRef>
          </c:tx>
          <c:invertIfNegative val="0"/>
          <c:dLbls>
            <c:delete val="1"/>
          </c:dLbls>
          <c:val>
            <c:numRef>
              <c:f>'Internal use - Data table&amp;Graph'!$H$8</c:f>
              <c:numCache>
                <c:formatCode>General</c:formatCode>
                <c:ptCount val="1"/>
                <c:pt idx="0">
                  <c:v>0.0</c:v>
                </c:pt>
              </c:numCache>
            </c:numRef>
          </c:val>
        </c:ser>
        <c:ser>
          <c:idx val="5"/>
          <c:order val="5"/>
          <c:tx>
            <c:strRef>
              <c:f>'Internal use - Data table&amp;Graph'!$G$9</c:f>
              <c:strCache>
                <c:ptCount val="1"/>
                <c:pt idx="0">
                  <c:v>9 (n=8)</c:v>
                </c:pt>
              </c:strCache>
            </c:strRef>
          </c:tx>
          <c:invertIfNegative val="0"/>
          <c:dLbls>
            <c:delete val="1"/>
          </c:dLbls>
          <c:val>
            <c:numRef>
              <c:f>'Internal use - Data table&amp;Graph'!$H$9</c:f>
              <c:numCache>
                <c:formatCode>General</c:formatCode>
                <c:ptCount val="1"/>
                <c:pt idx="0">
                  <c:v>0.0</c:v>
                </c:pt>
              </c:numCache>
            </c:numRef>
          </c:val>
        </c:ser>
        <c:ser>
          <c:idx val="6"/>
          <c:order val="6"/>
          <c:tx>
            <c:strRef>
              <c:f>'Internal use - Data table&amp;Graph'!$G$10</c:f>
              <c:strCache>
                <c:ptCount val="1"/>
                <c:pt idx="0">
                  <c:v>8 (n=30)</c:v>
                </c:pt>
              </c:strCache>
            </c:strRef>
          </c:tx>
          <c:invertIfNegative val="0"/>
          <c:dLbls>
            <c:delete val="1"/>
          </c:dLbls>
          <c:val>
            <c:numRef>
              <c:f>'Internal use - Data table&amp;Graph'!$H$10</c:f>
              <c:numCache>
                <c:formatCode>General</c:formatCode>
                <c:ptCount val="1"/>
                <c:pt idx="0">
                  <c:v>0.0</c:v>
                </c:pt>
              </c:numCache>
            </c:numRef>
          </c:val>
        </c:ser>
        <c:ser>
          <c:idx val="7"/>
          <c:order val="7"/>
          <c:tx>
            <c:strRef>
              <c:f>'Internal use - Data table&amp;Graph'!$G$11</c:f>
              <c:strCache>
                <c:ptCount val="1"/>
                <c:pt idx="0">
                  <c:v>7 (n=22)</c:v>
                </c:pt>
              </c:strCache>
            </c:strRef>
          </c:tx>
          <c:invertIfNegative val="0"/>
          <c:dLbls>
            <c:delete val="1"/>
          </c:dLbls>
          <c:val>
            <c:numRef>
              <c:f>'Internal use - Data table&amp;Graph'!$H$11</c:f>
              <c:numCache>
                <c:formatCode>General</c:formatCode>
                <c:ptCount val="1"/>
                <c:pt idx="0">
                  <c:v>0.0</c:v>
                </c:pt>
              </c:numCache>
            </c:numRef>
          </c:val>
        </c:ser>
        <c:ser>
          <c:idx val="8"/>
          <c:order val="8"/>
          <c:tx>
            <c:strRef>
              <c:f>'Internal use - Data table&amp;Graph'!$G$12</c:f>
              <c:strCache>
                <c:ptCount val="1"/>
                <c:pt idx="0">
                  <c:v>6 (n=61)</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val>
            <c:numRef>
              <c:f>'Internal use - Data table&amp;Graph'!$H$12</c:f>
              <c:numCache>
                <c:formatCode>General</c:formatCode>
                <c:ptCount val="1"/>
                <c:pt idx="0">
                  <c:v>0.0</c:v>
                </c:pt>
              </c:numCache>
            </c:numRef>
          </c:val>
        </c:ser>
        <c:ser>
          <c:idx val="10"/>
          <c:order val="9"/>
          <c:tx>
            <c:strRef>
              <c:f>'Internal use - Data table&amp;Graph'!$G$14</c:f>
              <c:strCache>
                <c:ptCount val="1"/>
                <c:pt idx="0">
                  <c:v>4 (n=205)</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val>
            <c:numRef>
              <c:f>'Internal use - Data table&amp;Graph'!$H$14</c:f>
              <c:numCache>
                <c:formatCode>General</c:formatCode>
                <c:ptCount val="1"/>
                <c:pt idx="0">
                  <c:v>0.0</c:v>
                </c:pt>
              </c:numCache>
            </c:numRef>
          </c:val>
        </c:ser>
        <c:ser>
          <c:idx val="12"/>
          <c:order val="10"/>
          <c:tx>
            <c:strRef>
              <c:f>'Internal use - Data table&amp;Graph'!$G$16</c:f>
              <c:strCache>
                <c:ptCount val="1"/>
                <c:pt idx="0">
                  <c:v>2 (n=453)</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val>
            <c:numRef>
              <c:f>'Internal use - Data table&amp;Graph'!$H$16</c:f>
              <c:numCache>
                <c:formatCode>General</c:formatCode>
                <c:ptCount val="1"/>
                <c:pt idx="0">
                  <c:v>0.0</c:v>
                </c:pt>
              </c:numCache>
            </c:numRef>
          </c:val>
        </c:ser>
        <c:ser>
          <c:idx val="14"/>
          <c:order val="11"/>
          <c:tx>
            <c:v>1 (n=1773)</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val>
            <c:numRef>
              <c:f>'Internal use - Data table&amp;Graph'!$H$17</c:f>
              <c:numCache>
                <c:formatCode>General</c:formatCode>
                <c:ptCount val="1"/>
                <c:pt idx="0">
                  <c:v>0.0</c:v>
                </c:pt>
              </c:numCache>
            </c:numRef>
          </c:val>
        </c:ser>
        <c:dLbls>
          <c:showLegendKey val="0"/>
          <c:showVal val="1"/>
          <c:showCatName val="0"/>
          <c:showSerName val="0"/>
          <c:showPercent val="0"/>
          <c:showBubbleSize val="0"/>
        </c:dLbls>
        <c:gapWidth val="95"/>
        <c:overlap val="100"/>
        <c:axId val="417586424"/>
        <c:axId val="417591944"/>
      </c:barChart>
      <c:catAx>
        <c:axId val="417586424"/>
        <c:scaling>
          <c:orientation val="minMax"/>
        </c:scaling>
        <c:delete val="1"/>
        <c:axPos val="l"/>
        <c:title>
          <c:tx>
            <c:rich>
              <a:bodyPr rot="-5400000" vert="horz"/>
              <a:lstStyle/>
              <a:p>
                <a:pPr>
                  <a:defRPr sz="1800"/>
                </a:pPr>
                <a:r>
                  <a:rPr lang="en-US" sz="1800"/>
                  <a:t>Number of issues / individual
</a:t>
                </a:r>
              </a:p>
            </c:rich>
          </c:tx>
          <c:layout/>
          <c:overlay val="0"/>
        </c:title>
        <c:majorTickMark val="none"/>
        <c:minorTickMark val="none"/>
        <c:tickLblPos val="nextTo"/>
        <c:crossAx val="417591944"/>
        <c:crosses val="autoZero"/>
        <c:auto val="1"/>
        <c:lblAlgn val="ctr"/>
        <c:lblOffset val="100"/>
        <c:noMultiLvlLbl val="0"/>
      </c:catAx>
      <c:valAx>
        <c:axId val="417591944"/>
        <c:scaling>
          <c:orientation val="minMax"/>
        </c:scaling>
        <c:delete val="1"/>
        <c:axPos val="b"/>
        <c:numFmt formatCode="General" sourceLinked="1"/>
        <c:majorTickMark val="none"/>
        <c:minorTickMark val="none"/>
        <c:tickLblPos val="nextTo"/>
        <c:crossAx val="417586424"/>
        <c:crosses val="autoZero"/>
        <c:crossBetween val="between"/>
      </c:valAx>
      <c:spPr>
        <a:noFill/>
        <a:ln w="25400">
          <a:noFill/>
        </a:ln>
      </c:spPr>
    </c:plotArea>
    <c:legend>
      <c:legendPos val="t"/>
      <c:layout>
        <c:manualLayout>
          <c:xMode val="edge"/>
          <c:yMode val="edge"/>
          <c:x val="0.130204090699305"/>
          <c:y val="0.784712906955216"/>
          <c:w val="0.761859558113312"/>
          <c:h val="0.0850426434645332"/>
        </c:manualLayout>
      </c:layout>
      <c:overlay val="0"/>
      <c:txPr>
        <a:bodyPr/>
        <a:lstStyle/>
        <a:p>
          <a:pPr>
            <a:defRPr sz="1600"/>
          </a:pPr>
          <a:endParaRPr lang="en-US"/>
        </a:p>
      </c:txPr>
    </c:legend>
    <c:plotVisOnly val="1"/>
    <c:dispBlanksAs val="gap"/>
    <c:showDLblsOverMax val="0"/>
  </c:chart>
  <c:spPr>
    <a:noFill/>
    <a:ln>
      <a:no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xdr:col>
      <xdr:colOff>304799</xdr:colOff>
      <xdr:row>31</xdr:row>
      <xdr:rowOff>123825</xdr:rowOff>
    </xdr:from>
    <xdr:to>
      <xdr:col>6</xdr:col>
      <xdr:colOff>361950</xdr:colOff>
      <xdr:row>54</xdr:row>
      <xdr:rowOff>38099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246528</xdr:colOff>
      <xdr:row>26</xdr:row>
      <xdr:rowOff>0</xdr:rowOff>
    </xdr:from>
    <xdr:to>
      <xdr:col>12</xdr:col>
      <xdr:colOff>0</xdr:colOff>
      <xdr:row>55</xdr:row>
      <xdr:rowOff>79326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12990</xdr:colOff>
      <xdr:row>2</xdr:row>
      <xdr:rowOff>88756</xdr:rowOff>
    </xdr:from>
    <xdr:to>
      <xdr:col>37</xdr:col>
      <xdr:colOff>0</xdr:colOff>
      <xdr:row>38</xdr:row>
      <xdr:rowOff>71438</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id="3" name="Table3" displayName="Table3" ref="A2:Y3116" totalsRowCount="1" headerRowDxfId="21">
  <autoFilter ref="A2:Y3115">
    <filterColumn colId="21">
      <customFilters>
        <customFilter operator="notEqual" val=" "/>
      </customFilters>
    </filterColumn>
  </autoFilter>
  <tableColumns count="25">
    <tableColumn id="1" name="RespondentID" totalsRowLabel="Total"/>
    <tableColumn id="2" name="CollectorID"/>
    <tableColumn id="3" name="Unique ID" dataDxfId="20" totalsRowDxfId="19"/>
    <tableColumn id="4" name="StartDate" dataDxfId="18"/>
    <tableColumn id="5" name="EndDate" dataDxfId="17"/>
    <tableColumn id="6" name="Debts or meeting bills"/>
    <tableColumn id="7" name="Welfare benefits - claiming or being paid"/>
    <tableColumn id="8" name="Housing issues eg over-crowding or tenancy agreement"/>
    <tableColumn id="9" name="Problems at work / with your employer"/>
    <tableColumn id="10" name="You or your child's education or school, including bullying"/>
    <tableColumn id="11" name="Family or relationships"/>
    <tableColumn id="12" name="Immigration or nationality"/>
    <tableColumn id="13" name="Buying goods or services including scams"/>
    <tableColumn id="14" name="Tax eg self-assessment"/>
    <tableColumn id="15" name="Accessing health or caring services"/>
    <tableColumn id="16" name="Discrimination at work, school or elsewhere"/>
    <tableColumn id="17" name="Problems with neighbours or other community members"/>
    <tableColumn id="18" name="Legal action involving a civil court or tribunal"/>
    <tableColumn id="19" name="Problems with the Police or criminal proceedings"/>
    <tableColumn id="20" name="Accessing local authority services online or other bureaucracy"/>
    <tableColumn id="21" name="None of these"/>
    <tableColumn id="22" name="If you selected more than one please tell us which was the most unwelcome or caused you the most difficulty" totalsRowFunction="count" dataDxfId="16" totalsRowDxfId="15"/>
    <tableColumn id="23" name="Category 1" dataDxfId="14" totalsRowDxfId="13"/>
    <tableColumn id="24" name="Category 2"/>
    <tableColumn id="25" name="Category 3"/>
  </tableColumns>
  <tableStyleInfo name="TableStyleLight1" showFirstColumn="0" showLastColumn="0" showRowStripes="1" showColumnStripes="0"/>
</table>
</file>

<file path=xl/tables/table2.xml><?xml version="1.0" encoding="utf-8"?>
<table xmlns="http://schemas.openxmlformats.org/spreadsheetml/2006/main" id="4" name="Table4" displayName="Table4" ref="B4:D20" totalsRowCount="1" headerRowDxfId="12" dataDxfId="11">
  <autoFilter ref="B4:D19"/>
  <sortState ref="B5:D19">
    <sortCondition ref="D4:D19"/>
  </sortState>
  <tableColumns count="3">
    <tableColumn id="1" name="Answer Options" totalsRowLabel="Total" dataDxfId="10" totalsRowDxfId="9"/>
    <tableColumn id="2" name="Response Percent" totalsRowFunction="average" dataDxfId="8" totalsRowDxfId="7"/>
    <tableColumn id="3" name="Response Count" totalsRowFunction="sum" dataDxfId="6" totalsRowDxfId="5"/>
  </tableColumns>
  <tableStyleInfo name="TableStyleLight1" showFirstColumn="0" showLastColumn="0" showRowStripes="1" showColumnStripes="0"/>
</table>
</file>

<file path=xl/tables/table3.xml><?xml version="1.0" encoding="utf-8"?>
<table xmlns="http://schemas.openxmlformats.org/spreadsheetml/2006/main" id="1" name="Table1" displayName="Table1" ref="A3:D19" totalsRowShown="0" headerRowBorderDxfId="4" tableBorderDxfId="3">
  <autoFilter ref="A3:D19"/>
  <sortState ref="A4:D19">
    <sortCondition ref="B3:B19"/>
  </sortState>
  <tableColumns count="4">
    <tableColumn id="1" name="Theme"/>
    <tableColumn id="2" name="Code" dataDxfId="2"/>
    <tableColumn id="3" name="Response (n=x)" dataDxfId="1">
      <calculatedColumnFormula>COUNTIF('Coded Qual.data'!F:F,1)</calculatedColumnFormula>
    </tableColumn>
    <tableColumn id="4" name="%" dataDxfId="0"/>
  </tableColumns>
  <tableStyleInfo name="TableStyleLight1" showFirstColumn="0" showLastColumn="0" showRowStripes="1" showColumnStripes="0"/>
</table>
</file>

<file path=xl/tables/table4.xml><?xml version="1.0" encoding="utf-8"?>
<table xmlns="http://schemas.openxmlformats.org/spreadsheetml/2006/main" id="2" name="Table2" displayName="Table2" ref="G3:H17" totalsRowShown="0">
  <autoFilter ref="G3:H17"/>
  <sortState ref="G4:H17">
    <sortCondition descending="1" ref="G3:G17"/>
  </sortState>
  <tableColumns count="2">
    <tableColumn id="1" name="No of problems"/>
    <tableColumn id="2" name="~No. of problems_x000a_ /individual ">
      <calculatedColumnFormula>#REF!</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table" Target="../tables/table3.xml"/><Relationship Id="rId3"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0000FF"/>
  </sheetPr>
  <dimension ref="A1:AD12287"/>
  <sheetViews>
    <sheetView tabSelected="1" topLeftCell="F1" zoomScale="150" zoomScaleNormal="150" zoomScalePageLayoutView="150" workbookViewId="0">
      <selection activeCell="F1" sqref="F1"/>
    </sheetView>
  </sheetViews>
  <sheetFormatPr baseColWidth="10" defaultColWidth="8.83203125" defaultRowHeight="12" x14ac:dyDescent="0"/>
  <cols>
    <col min="1" max="1" width="11.5" hidden="1" customWidth="1"/>
    <col min="2" max="2" width="9.6640625" hidden="1" customWidth="1"/>
    <col min="3" max="3" width="8.6640625" hidden="1" customWidth="1"/>
    <col min="4" max="5" width="10.1640625" hidden="1" customWidth="1"/>
    <col min="6" max="6" width="13.5" customWidth="1"/>
    <col min="7" max="7" width="14.1640625" bestFit="1" customWidth="1"/>
    <col min="8" max="8" width="19.1640625" bestFit="1" customWidth="1"/>
    <col min="9" max="9" width="12.5" bestFit="1" customWidth="1"/>
    <col min="10" max="10" width="16.5" bestFit="1" customWidth="1"/>
    <col min="11" max="12" width="9.83203125" bestFit="1" customWidth="1"/>
    <col min="13" max="13" width="14.5" bestFit="1" customWidth="1"/>
    <col min="14" max="14" width="10" bestFit="1" customWidth="1"/>
    <col min="15" max="15" width="8.83203125" bestFit="1" customWidth="1"/>
    <col min="16" max="16" width="12.5" bestFit="1" customWidth="1"/>
    <col min="17" max="17" width="16.33203125" customWidth="1"/>
    <col min="18" max="18" width="13" bestFit="1" customWidth="1"/>
    <col min="19" max="19" width="14.5" bestFit="1" customWidth="1"/>
    <col min="20" max="20" width="20" bestFit="1" customWidth="1"/>
    <col min="21" max="21" width="7.1640625" bestFit="1" customWidth="1"/>
    <col min="22" max="22" width="26" style="42" customWidth="1"/>
    <col min="23" max="23" width="8.83203125" style="44" bestFit="1" customWidth="1"/>
  </cols>
  <sheetData>
    <row r="1" spans="1:25" ht="13" thickBot="1">
      <c r="A1" s="1"/>
      <c r="B1" s="1"/>
      <c r="C1" s="1"/>
      <c r="D1" s="1"/>
      <c r="E1" s="1"/>
      <c r="F1" s="39" t="s">
        <v>3413</v>
      </c>
      <c r="G1" s="40"/>
      <c r="H1" s="40"/>
      <c r="I1" s="40"/>
      <c r="J1" s="40"/>
      <c r="K1" s="40"/>
      <c r="L1" s="40"/>
      <c r="M1" s="40"/>
      <c r="N1" s="40"/>
      <c r="O1" s="40"/>
      <c r="P1" s="40"/>
      <c r="Q1" s="40"/>
      <c r="R1" s="40"/>
      <c r="S1" s="40"/>
      <c r="T1" s="40"/>
      <c r="U1" s="41"/>
      <c r="V1" s="1"/>
    </row>
    <row r="2" spans="1:25" s="1" customFormat="1" ht="39.75" customHeight="1">
      <c r="A2" s="35" t="s">
        <v>0</v>
      </c>
      <c r="B2" s="35" t="s">
        <v>1</v>
      </c>
      <c r="C2" s="35" t="s">
        <v>297</v>
      </c>
      <c r="D2" s="35" t="s">
        <v>2</v>
      </c>
      <c r="E2" s="35" t="s">
        <v>3</v>
      </c>
      <c r="F2" s="35" t="s">
        <v>4</v>
      </c>
      <c r="G2" s="35" t="s">
        <v>5</v>
      </c>
      <c r="H2" s="35" t="s">
        <v>6</v>
      </c>
      <c r="I2" s="35" t="s">
        <v>7</v>
      </c>
      <c r="J2" s="35" t="s">
        <v>8</v>
      </c>
      <c r="K2" s="35" t="s">
        <v>9</v>
      </c>
      <c r="L2" s="35" t="s">
        <v>10</v>
      </c>
      <c r="M2" s="35" t="s">
        <v>11</v>
      </c>
      <c r="N2" s="35" t="s">
        <v>12</v>
      </c>
      <c r="O2" s="35" t="s">
        <v>13</v>
      </c>
      <c r="P2" s="35" t="s">
        <v>14</v>
      </c>
      <c r="Q2" s="35" t="s">
        <v>15</v>
      </c>
      <c r="R2" s="35" t="s">
        <v>16</v>
      </c>
      <c r="S2" s="35" t="s">
        <v>17</v>
      </c>
      <c r="T2" s="35" t="s">
        <v>3414</v>
      </c>
      <c r="U2" s="35" t="s">
        <v>3415</v>
      </c>
      <c r="V2" s="35" t="s">
        <v>18</v>
      </c>
      <c r="W2" s="46" t="s">
        <v>3534</v>
      </c>
      <c r="X2" s="70" t="s">
        <v>3557</v>
      </c>
      <c r="Y2" s="70" t="s">
        <v>3558</v>
      </c>
    </row>
    <row r="3" spans="1:25" hidden="1">
      <c r="A3">
        <v>3617730290</v>
      </c>
      <c r="B3">
        <v>57240262</v>
      </c>
      <c r="C3" s="36" t="s">
        <v>662</v>
      </c>
      <c r="D3" s="37">
        <v>41973.912777777776</v>
      </c>
      <c r="E3" s="37">
        <v>41973.915567129632</v>
      </c>
      <c r="U3">
        <v>16</v>
      </c>
      <c r="W3" s="47"/>
    </row>
    <row r="4" spans="1:25">
      <c r="A4">
        <v>3617735487</v>
      </c>
      <c r="B4">
        <v>57240262</v>
      </c>
      <c r="C4" s="36" t="s">
        <v>663</v>
      </c>
      <c r="D4" s="37">
        <v>41973.91679398148</v>
      </c>
      <c r="E4" s="37">
        <v>41973.919305555559</v>
      </c>
      <c r="F4">
        <v>1</v>
      </c>
      <c r="G4">
        <v>2</v>
      </c>
      <c r="I4">
        <v>4</v>
      </c>
      <c r="K4">
        <v>6</v>
      </c>
      <c r="M4">
        <v>8</v>
      </c>
      <c r="N4">
        <v>9</v>
      </c>
      <c r="R4">
        <v>13</v>
      </c>
      <c r="S4">
        <v>14</v>
      </c>
      <c r="V4" s="42" t="s">
        <v>262</v>
      </c>
      <c r="W4" s="47">
        <v>4</v>
      </c>
    </row>
    <row r="5" spans="1:25" hidden="1">
      <c r="A5">
        <v>3617758064</v>
      </c>
      <c r="B5">
        <v>57240262</v>
      </c>
      <c r="C5" s="36" t="s">
        <v>664</v>
      </c>
      <c r="D5" s="37">
        <v>41973.93372685185</v>
      </c>
      <c r="E5" s="37">
        <v>41973.938101851854</v>
      </c>
      <c r="G5">
        <v>2</v>
      </c>
      <c r="W5" s="47"/>
    </row>
    <row r="6" spans="1:25">
      <c r="A6">
        <v>3617769915</v>
      </c>
      <c r="B6">
        <v>57240262</v>
      </c>
      <c r="C6" s="36" t="s">
        <v>665</v>
      </c>
      <c r="D6" s="37">
        <v>41973.942372685182</v>
      </c>
      <c r="E6" s="37">
        <v>41973.948449074072</v>
      </c>
      <c r="I6">
        <v>4</v>
      </c>
      <c r="Q6">
        <v>12</v>
      </c>
      <c r="S6">
        <v>14</v>
      </c>
      <c r="V6" s="42" t="s">
        <v>26</v>
      </c>
      <c r="W6" s="47">
        <v>4</v>
      </c>
    </row>
    <row r="7" spans="1:25">
      <c r="A7">
        <v>3617785819</v>
      </c>
      <c r="B7">
        <v>57240262</v>
      </c>
      <c r="C7" s="36" t="s">
        <v>666</v>
      </c>
      <c r="D7" s="37">
        <v>41973.954305555555</v>
      </c>
      <c r="E7" s="37">
        <v>41973.962546296294</v>
      </c>
      <c r="F7">
        <v>1</v>
      </c>
      <c r="G7">
        <v>2</v>
      </c>
      <c r="I7">
        <v>4</v>
      </c>
      <c r="K7">
        <v>6</v>
      </c>
      <c r="M7">
        <v>8</v>
      </c>
      <c r="N7">
        <v>9</v>
      </c>
      <c r="P7">
        <v>11</v>
      </c>
      <c r="R7">
        <v>13</v>
      </c>
      <c r="V7" s="42" t="s">
        <v>28</v>
      </c>
      <c r="W7" s="47">
        <v>1</v>
      </c>
    </row>
    <row r="8" spans="1:25" hidden="1">
      <c r="A8">
        <v>3617816393</v>
      </c>
      <c r="B8">
        <v>57240262</v>
      </c>
      <c r="C8" s="36" t="s">
        <v>667</v>
      </c>
      <c r="D8" s="37">
        <v>41973.975624999999</v>
      </c>
      <c r="E8" s="37">
        <v>41973.979664351849</v>
      </c>
      <c r="N8">
        <v>9</v>
      </c>
      <c r="W8" s="47"/>
    </row>
    <row r="9" spans="1:25">
      <c r="A9">
        <v>3617830089</v>
      </c>
      <c r="B9">
        <v>57240262</v>
      </c>
      <c r="C9" s="36" t="s">
        <v>668</v>
      </c>
      <c r="D9" s="37">
        <v>41973.985729166663</v>
      </c>
      <c r="E9" s="37">
        <v>41973.992824074077</v>
      </c>
      <c r="H9">
        <v>3</v>
      </c>
      <c r="M9">
        <v>8</v>
      </c>
      <c r="Q9">
        <v>12</v>
      </c>
      <c r="V9" s="42" t="s">
        <v>261</v>
      </c>
      <c r="W9" s="47">
        <v>3</v>
      </c>
    </row>
    <row r="10" spans="1:25" hidden="1">
      <c r="A10">
        <v>3617869551</v>
      </c>
      <c r="B10">
        <v>57240262</v>
      </c>
      <c r="C10" s="36" t="s">
        <v>669</v>
      </c>
      <c r="D10" s="37">
        <v>41974.01462962963</v>
      </c>
      <c r="E10" s="37">
        <v>41974.017280092594</v>
      </c>
      <c r="F10">
        <v>1</v>
      </c>
      <c r="G10">
        <v>2</v>
      </c>
      <c r="J10">
        <v>5</v>
      </c>
      <c r="K10">
        <v>6</v>
      </c>
      <c r="O10">
        <v>10</v>
      </c>
      <c r="W10" s="47"/>
    </row>
    <row r="11" spans="1:25" hidden="1">
      <c r="A11">
        <v>3617869989</v>
      </c>
      <c r="B11">
        <v>57240262</v>
      </c>
      <c r="C11" s="36" t="s">
        <v>670</v>
      </c>
      <c r="D11" s="37">
        <v>41974.014999999999</v>
      </c>
      <c r="E11" s="37">
        <v>41974.017488425925</v>
      </c>
      <c r="F11">
        <v>1</v>
      </c>
      <c r="W11" s="47"/>
    </row>
    <row r="12" spans="1:25" hidden="1">
      <c r="A12">
        <v>3618280382</v>
      </c>
      <c r="B12">
        <v>57240262</v>
      </c>
      <c r="C12" s="36" t="s">
        <v>671</v>
      </c>
      <c r="D12" s="37">
        <v>41974.340011574073</v>
      </c>
      <c r="E12" s="37">
        <v>41974.346539351849</v>
      </c>
      <c r="I12">
        <v>4</v>
      </c>
      <c r="W12" s="47"/>
    </row>
    <row r="13" spans="1:25">
      <c r="A13">
        <v>3618287041</v>
      </c>
      <c r="B13">
        <v>57240262</v>
      </c>
      <c r="C13" s="36" t="s">
        <v>672</v>
      </c>
      <c r="D13" s="37">
        <v>41974.34516203704</v>
      </c>
      <c r="E13" s="37">
        <v>41974.349039351851</v>
      </c>
      <c r="I13">
        <v>4</v>
      </c>
      <c r="J13">
        <v>5</v>
      </c>
      <c r="V13" s="42" t="s">
        <v>38</v>
      </c>
      <c r="W13" s="47">
        <v>4</v>
      </c>
    </row>
    <row r="14" spans="1:25">
      <c r="A14">
        <v>3618289551</v>
      </c>
      <c r="B14">
        <v>57240262</v>
      </c>
      <c r="C14" s="36" t="s">
        <v>673</v>
      </c>
      <c r="D14" s="37">
        <v>41974.347083333334</v>
      </c>
      <c r="E14" s="37">
        <v>41974.351539351854</v>
      </c>
      <c r="K14">
        <v>6</v>
      </c>
      <c r="Q14">
        <v>12</v>
      </c>
      <c r="V14" s="42" t="s">
        <v>260</v>
      </c>
      <c r="W14" s="47">
        <v>6</v>
      </c>
    </row>
    <row r="15" spans="1:25" hidden="1">
      <c r="A15">
        <v>3618294448</v>
      </c>
      <c r="B15">
        <v>57240262</v>
      </c>
      <c r="C15" s="36" t="s">
        <v>674</v>
      </c>
      <c r="D15" s="37">
        <v>41974.350821759261</v>
      </c>
      <c r="E15" s="37">
        <v>41974.35596064815</v>
      </c>
      <c r="P15">
        <v>11</v>
      </c>
      <c r="W15" s="47"/>
    </row>
    <row r="16" spans="1:25" hidden="1">
      <c r="A16">
        <v>3618296798</v>
      </c>
      <c r="B16">
        <v>57240262</v>
      </c>
      <c r="C16" s="36" t="s">
        <v>675</v>
      </c>
      <c r="D16" s="37">
        <v>41974.352592592593</v>
      </c>
      <c r="E16" s="37">
        <v>41974.358981481484</v>
      </c>
      <c r="U16">
        <v>16</v>
      </c>
      <c r="W16" s="47"/>
    </row>
    <row r="17" spans="1:23" hidden="1">
      <c r="A17">
        <v>3618303215</v>
      </c>
      <c r="B17">
        <v>57240262</v>
      </c>
      <c r="C17" s="36" t="s">
        <v>676</v>
      </c>
      <c r="D17" s="37">
        <v>41974.35728009259</v>
      </c>
      <c r="E17" s="37">
        <v>41974.363240740742</v>
      </c>
      <c r="U17">
        <v>16</v>
      </c>
      <c r="W17" s="47"/>
    </row>
    <row r="18" spans="1:23" hidden="1">
      <c r="A18">
        <v>3618329207</v>
      </c>
      <c r="B18">
        <v>57240262</v>
      </c>
      <c r="C18" s="36" t="s">
        <v>677</v>
      </c>
      <c r="D18" s="37">
        <v>41974.374652777777</v>
      </c>
      <c r="E18" s="37">
        <v>41974.37736111111</v>
      </c>
      <c r="F18">
        <v>1</v>
      </c>
      <c r="W18" s="47"/>
    </row>
    <row r="19" spans="1:23">
      <c r="A19">
        <v>3618331193</v>
      </c>
      <c r="B19">
        <v>57240262</v>
      </c>
      <c r="C19" s="36" t="s">
        <v>678</v>
      </c>
      <c r="D19" s="37">
        <v>41974.375868055555</v>
      </c>
      <c r="E19" s="37">
        <v>41974.378958333335</v>
      </c>
      <c r="F19">
        <v>1</v>
      </c>
      <c r="G19">
        <v>2</v>
      </c>
      <c r="H19">
        <v>3</v>
      </c>
      <c r="I19">
        <v>4</v>
      </c>
      <c r="V19" s="42" t="s">
        <v>124</v>
      </c>
      <c r="W19" s="47">
        <v>16</v>
      </c>
    </row>
    <row r="20" spans="1:23" hidden="1">
      <c r="A20">
        <v>3618335053</v>
      </c>
      <c r="B20">
        <v>57240262</v>
      </c>
      <c r="C20" s="36" t="s">
        <v>679</v>
      </c>
      <c r="D20" s="37">
        <v>41974.378310185188</v>
      </c>
      <c r="E20" s="37">
        <v>41974.384791666664</v>
      </c>
      <c r="U20">
        <v>16</v>
      </c>
      <c r="W20" s="47"/>
    </row>
    <row r="21" spans="1:23" hidden="1">
      <c r="A21">
        <v>3618346858</v>
      </c>
      <c r="B21">
        <v>57240262</v>
      </c>
      <c r="C21" s="36" t="s">
        <v>680</v>
      </c>
      <c r="D21" s="37">
        <v>41974.385162037041</v>
      </c>
      <c r="E21" s="37">
        <v>41974.391840277778</v>
      </c>
      <c r="U21">
        <v>16</v>
      </c>
      <c r="W21" s="47"/>
    </row>
    <row r="22" spans="1:23" hidden="1">
      <c r="A22">
        <v>3618347623</v>
      </c>
      <c r="B22">
        <v>57240262</v>
      </c>
      <c r="C22" s="36" t="s">
        <v>681</v>
      </c>
      <c r="D22" s="37">
        <v>41974.385833333334</v>
      </c>
      <c r="E22" s="37">
        <v>41974.392581018517</v>
      </c>
      <c r="M22">
        <v>8</v>
      </c>
      <c r="O22">
        <v>10</v>
      </c>
      <c r="W22" s="47"/>
    </row>
    <row r="23" spans="1:23">
      <c r="A23">
        <v>3618359538</v>
      </c>
      <c r="B23">
        <v>57240262</v>
      </c>
      <c r="C23" s="36" t="s">
        <v>682</v>
      </c>
      <c r="D23" s="37">
        <v>41974.393194444441</v>
      </c>
      <c r="E23" s="37">
        <v>41974.399270833332</v>
      </c>
      <c r="G23">
        <v>2</v>
      </c>
      <c r="H23">
        <v>3</v>
      </c>
      <c r="Q23">
        <v>12</v>
      </c>
      <c r="V23" s="42" t="s">
        <v>107</v>
      </c>
      <c r="W23" s="47">
        <v>3</v>
      </c>
    </row>
    <row r="24" spans="1:23" hidden="1">
      <c r="A24">
        <v>3618386907</v>
      </c>
      <c r="B24">
        <v>57240262</v>
      </c>
      <c r="C24" s="36" t="s">
        <v>683</v>
      </c>
      <c r="D24" s="37">
        <v>41974.408912037034</v>
      </c>
      <c r="E24" s="37">
        <v>41974.415671296294</v>
      </c>
      <c r="U24">
        <v>16</v>
      </c>
      <c r="W24" s="47"/>
    </row>
    <row r="25" spans="1:23" hidden="1">
      <c r="A25">
        <v>3618395733</v>
      </c>
      <c r="B25">
        <v>57240262</v>
      </c>
      <c r="C25" s="36" t="s">
        <v>483</v>
      </c>
      <c r="D25" s="37">
        <v>41974.413854166669</v>
      </c>
      <c r="E25" s="37">
        <v>41974.415833333333</v>
      </c>
      <c r="U25">
        <v>16</v>
      </c>
      <c r="W25" s="47"/>
    </row>
    <row r="26" spans="1:23" hidden="1">
      <c r="A26">
        <v>3618392964</v>
      </c>
      <c r="B26">
        <v>57240262</v>
      </c>
      <c r="C26" s="36" t="s">
        <v>684</v>
      </c>
      <c r="D26" s="37">
        <v>41974.412465277775</v>
      </c>
      <c r="E26" s="37">
        <v>41974.420972222222</v>
      </c>
      <c r="N26">
        <v>9</v>
      </c>
      <c r="W26" s="47"/>
    </row>
    <row r="27" spans="1:23" hidden="1">
      <c r="A27">
        <v>3618405178</v>
      </c>
      <c r="B27">
        <v>57240262</v>
      </c>
      <c r="C27" s="36" t="s">
        <v>489</v>
      </c>
      <c r="D27" s="37">
        <v>41974.41878472222</v>
      </c>
      <c r="E27" s="37">
        <v>41974.423310185186</v>
      </c>
      <c r="U27">
        <v>16</v>
      </c>
      <c r="W27" s="47"/>
    </row>
    <row r="28" spans="1:23" hidden="1">
      <c r="A28">
        <v>3618411857</v>
      </c>
      <c r="B28">
        <v>57240262</v>
      </c>
      <c r="C28" s="36" t="s">
        <v>685</v>
      </c>
      <c r="D28" s="37">
        <v>41974.422546296293</v>
      </c>
      <c r="E28" s="37">
        <v>41974.423761574071</v>
      </c>
      <c r="U28">
        <v>16</v>
      </c>
      <c r="W28" s="47"/>
    </row>
    <row r="29" spans="1:23" hidden="1">
      <c r="A29">
        <v>3618422442</v>
      </c>
      <c r="B29">
        <v>57240262</v>
      </c>
      <c r="C29" s="36" t="s">
        <v>686</v>
      </c>
      <c r="D29" s="37">
        <v>41974.428518518522</v>
      </c>
      <c r="E29" s="37">
        <v>41974.436701388891</v>
      </c>
      <c r="Q29">
        <v>12</v>
      </c>
      <c r="W29" s="47"/>
    </row>
    <row r="30" spans="1:23" hidden="1">
      <c r="A30">
        <v>3618437682</v>
      </c>
      <c r="B30">
        <v>57240262</v>
      </c>
      <c r="C30" s="36" t="s">
        <v>687</v>
      </c>
      <c r="D30" s="37">
        <v>41974.437071759261</v>
      </c>
      <c r="E30" s="37">
        <v>41974.43917824074</v>
      </c>
      <c r="P30">
        <v>11</v>
      </c>
      <c r="W30" s="47"/>
    </row>
    <row r="31" spans="1:23" hidden="1">
      <c r="A31">
        <v>3618458117</v>
      </c>
      <c r="B31">
        <v>57240262</v>
      </c>
      <c r="C31" s="36" t="s">
        <v>2287</v>
      </c>
      <c r="D31" s="37">
        <v>41974.447974537034</v>
      </c>
      <c r="E31" s="37">
        <v>41974.44871527778</v>
      </c>
      <c r="W31" s="47"/>
    </row>
    <row r="32" spans="1:23" hidden="1">
      <c r="A32">
        <v>3618472198</v>
      </c>
      <c r="B32">
        <v>57240262</v>
      </c>
      <c r="C32" s="36" t="s">
        <v>688</v>
      </c>
      <c r="D32" s="37">
        <v>41974.455439814818</v>
      </c>
      <c r="E32" s="37">
        <v>41974.457800925928</v>
      </c>
      <c r="U32">
        <v>16</v>
      </c>
      <c r="W32" s="47"/>
    </row>
    <row r="33" spans="1:23" hidden="1">
      <c r="A33">
        <v>3618486382</v>
      </c>
      <c r="B33">
        <v>57240262</v>
      </c>
      <c r="C33" s="36" t="s">
        <v>503</v>
      </c>
      <c r="D33" s="37">
        <v>41974.462881944448</v>
      </c>
      <c r="E33" s="37">
        <v>41974.466284722221</v>
      </c>
      <c r="U33">
        <v>16</v>
      </c>
      <c r="W33" s="47"/>
    </row>
    <row r="34" spans="1:23" hidden="1">
      <c r="A34">
        <v>3618485704</v>
      </c>
      <c r="B34">
        <v>57240262</v>
      </c>
      <c r="C34" s="36" t="s">
        <v>689</v>
      </c>
      <c r="D34" s="37">
        <v>41974.46261574074</v>
      </c>
      <c r="E34" s="37">
        <v>41974.466620370367</v>
      </c>
      <c r="U34">
        <v>16</v>
      </c>
      <c r="W34" s="47"/>
    </row>
    <row r="35" spans="1:23" hidden="1">
      <c r="A35">
        <v>3618492510</v>
      </c>
      <c r="B35">
        <v>57240262</v>
      </c>
      <c r="C35" s="36" t="s">
        <v>690</v>
      </c>
      <c r="D35" s="37">
        <v>41974.465196759258</v>
      </c>
      <c r="E35" s="37">
        <v>41974.47247685185</v>
      </c>
      <c r="G35">
        <v>2</v>
      </c>
      <c r="W35" s="47"/>
    </row>
    <row r="36" spans="1:23" hidden="1">
      <c r="A36">
        <v>3618516184</v>
      </c>
      <c r="B36">
        <v>57240262</v>
      </c>
      <c r="C36" s="36" t="s">
        <v>691</v>
      </c>
      <c r="D36" s="37">
        <v>41974.478020833332</v>
      </c>
      <c r="E36" s="37">
        <v>41974.481851851851</v>
      </c>
      <c r="U36">
        <v>16</v>
      </c>
      <c r="W36" s="47"/>
    </row>
    <row r="37" spans="1:23" hidden="1">
      <c r="A37">
        <v>3618536831</v>
      </c>
      <c r="B37">
        <v>57240262</v>
      </c>
      <c r="C37" s="36" t="s">
        <v>692</v>
      </c>
      <c r="D37" s="37">
        <v>41974.487488425926</v>
      </c>
      <c r="E37" s="37">
        <v>41974.491307870368</v>
      </c>
      <c r="F37">
        <v>1</v>
      </c>
      <c r="W37" s="47"/>
    </row>
    <row r="38" spans="1:23" ht="24">
      <c r="A38">
        <v>3618545235</v>
      </c>
      <c r="B38">
        <v>57240262</v>
      </c>
      <c r="C38" s="36" t="s">
        <v>693</v>
      </c>
      <c r="D38" s="37">
        <v>41974.491354166668</v>
      </c>
      <c r="E38" s="37">
        <v>41974.496319444443</v>
      </c>
      <c r="F38">
        <v>1</v>
      </c>
      <c r="I38">
        <v>4</v>
      </c>
      <c r="P38">
        <v>11</v>
      </c>
      <c r="R38">
        <v>13</v>
      </c>
      <c r="V38" s="42" t="s">
        <v>259</v>
      </c>
      <c r="W38" s="47">
        <v>13</v>
      </c>
    </row>
    <row r="39" spans="1:23" hidden="1">
      <c r="A39">
        <v>3618549674</v>
      </c>
      <c r="B39">
        <v>57240262</v>
      </c>
      <c r="C39" s="36" t="s">
        <v>694</v>
      </c>
      <c r="D39" s="37">
        <v>41974.492291666669</v>
      </c>
      <c r="E39" s="37">
        <v>41974.496840277781</v>
      </c>
      <c r="U39">
        <v>16</v>
      </c>
      <c r="W39" s="47"/>
    </row>
    <row r="40" spans="1:23" hidden="1">
      <c r="A40">
        <v>3618562543</v>
      </c>
      <c r="B40">
        <v>57240262</v>
      </c>
      <c r="C40" s="36" t="s">
        <v>540</v>
      </c>
      <c r="D40" s="37">
        <v>41974.499398148146</v>
      </c>
      <c r="E40" s="37">
        <v>41974.503159722219</v>
      </c>
      <c r="U40">
        <v>16</v>
      </c>
      <c r="W40" s="47"/>
    </row>
    <row r="41" spans="1:23" hidden="1">
      <c r="A41">
        <v>3618410020</v>
      </c>
      <c r="B41">
        <v>57240262</v>
      </c>
      <c r="C41" s="36" t="s">
        <v>488</v>
      </c>
      <c r="D41" s="37">
        <v>41974.421747685185</v>
      </c>
      <c r="E41" s="37">
        <v>41974.503668981481</v>
      </c>
      <c r="M41">
        <v>8</v>
      </c>
      <c r="Q41">
        <v>12</v>
      </c>
      <c r="W41" s="47"/>
    </row>
    <row r="42" spans="1:23" hidden="1">
      <c r="A42">
        <v>3618571535</v>
      </c>
      <c r="B42">
        <v>57240262</v>
      </c>
      <c r="C42" s="36" t="s">
        <v>695</v>
      </c>
      <c r="D42" s="37">
        <v>41974.503437500003</v>
      </c>
      <c r="E42" s="37">
        <v>41974.50849537037</v>
      </c>
      <c r="M42">
        <v>8</v>
      </c>
      <c r="W42" s="47"/>
    </row>
    <row r="43" spans="1:23" hidden="1">
      <c r="A43">
        <v>3618585580</v>
      </c>
      <c r="B43">
        <v>57240262</v>
      </c>
      <c r="C43" s="36" t="s">
        <v>696</v>
      </c>
      <c r="D43" s="37">
        <v>41974.509594907409</v>
      </c>
      <c r="E43" s="37">
        <v>41974.514131944445</v>
      </c>
      <c r="U43">
        <v>16</v>
      </c>
      <c r="W43" s="47"/>
    </row>
    <row r="44" spans="1:23" hidden="1">
      <c r="A44">
        <v>3618602631</v>
      </c>
      <c r="B44">
        <v>57240262</v>
      </c>
      <c r="C44" s="36" t="s">
        <v>697</v>
      </c>
      <c r="D44" s="37">
        <v>41974.517280092594</v>
      </c>
      <c r="E44" s="37">
        <v>41974.520844907405</v>
      </c>
      <c r="U44">
        <v>16</v>
      </c>
      <c r="W44" s="47"/>
    </row>
    <row r="45" spans="1:23" hidden="1">
      <c r="A45">
        <v>3618619725</v>
      </c>
      <c r="B45">
        <v>57240262</v>
      </c>
      <c r="C45" s="36" t="s">
        <v>698</v>
      </c>
      <c r="D45" s="37">
        <v>41974.52447916667</v>
      </c>
      <c r="E45" s="37">
        <v>41974.530902777777</v>
      </c>
      <c r="U45">
        <v>16</v>
      </c>
      <c r="W45" s="47"/>
    </row>
    <row r="46" spans="1:23" hidden="1">
      <c r="A46">
        <v>3618618777</v>
      </c>
      <c r="B46">
        <v>57240262</v>
      </c>
      <c r="C46" s="36" t="s">
        <v>541</v>
      </c>
      <c r="D46" s="37">
        <v>41974.523518518516</v>
      </c>
      <c r="E46" s="37">
        <v>41974.53365740741</v>
      </c>
      <c r="N46">
        <v>9</v>
      </c>
      <c r="O46">
        <v>10</v>
      </c>
      <c r="W46" s="47"/>
    </row>
    <row r="47" spans="1:23" hidden="1">
      <c r="A47">
        <v>3618629876</v>
      </c>
      <c r="B47">
        <v>57240262</v>
      </c>
      <c r="C47" s="36" t="s">
        <v>699</v>
      </c>
      <c r="D47" s="37">
        <v>41974.529016203705</v>
      </c>
      <c r="E47" s="37">
        <v>41974.538194444445</v>
      </c>
      <c r="G47">
        <v>2</v>
      </c>
      <c r="W47" s="47"/>
    </row>
    <row r="48" spans="1:23" hidden="1">
      <c r="A48">
        <v>3618640206</v>
      </c>
      <c r="B48">
        <v>57240262</v>
      </c>
      <c r="C48" s="36" t="s">
        <v>700</v>
      </c>
      <c r="D48" s="37">
        <v>41974.533437500002</v>
      </c>
      <c r="E48" s="37">
        <v>41974.539490740739</v>
      </c>
      <c r="U48">
        <v>16</v>
      </c>
      <c r="W48" s="47"/>
    </row>
    <row r="49" spans="1:30">
      <c r="A49">
        <v>3618653950</v>
      </c>
      <c r="B49">
        <v>57240262</v>
      </c>
      <c r="C49" s="36" t="s">
        <v>701</v>
      </c>
      <c r="D49" s="37">
        <v>41974.538622685184</v>
      </c>
      <c r="E49" s="37">
        <v>41974.545289351852</v>
      </c>
      <c r="F49">
        <v>1</v>
      </c>
      <c r="M49">
        <v>8</v>
      </c>
      <c r="O49">
        <v>10</v>
      </c>
      <c r="V49" s="42" t="s">
        <v>127</v>
      </c>
      <c r="W49" s="47">
        <v>10</v>
      </c>
    </row>
    <row r="50" spans="1:30">
      <c r="A50">
        <v>3618685165</v>
      </c>
      <c r="B50">
        <v>57240262</v>
      </c>
      <c r="C50" s="36" t="s">
        <v>702</v>
      </c>
      <c r="D50" s="37">
        <v>41974.548750000002</v>
      </c>
      <c r="E50" s="37">
        <v>41974.553831018522</v>
      </c>
      <c r="I50">
        <v>4</v>
      </c>
      <c r="J50">
        <v>5</v>
      </c>
      <c r="O50">
        <v>10</v>
      </c>
      <c r="V50" s="42" t="s">
        <v>258</v>
      </c>
      <c r="W50" s="47">
        <v>4</v>
      </c>
    </row>
    <row r="51" spans="1:30">
      <c r="A51">
        <v>3618699474</v>
      </c>
      <c r="B51">
        <v>57240262</v>
      </c>
      <c r="C51" s="36" t="s">
        <v>703</v>
      </c>
      <c r="D51" s="37">
        <v>41974.555775462963</v>
      </c>
      <c r="E51" s="37">
        <v>41974.561076388891</v>
      </c>
      <c r="F51">
        <v>1</v>
      </c>
      <c r="G51">
        <v>2</v>
      </c>
      <c r="K51">
        <v>6</v>
      </c>
      <c r="M51">
        <v>8</v>
      </c>
      <c r="O51">
        <v>10</v>
      </c>
      <c r="Q51">
        <v>12</v>
      </c>
      <c r="R51">
        <v>13</v>
      </c>
      <c r="V51" s="42" t="s">
        <v>121</v>
      </c>
      <c r="W51" s="47">
        <v>13</v>
      </c>
    </row>
    <row r="52" spans="1:30" hidden="1">
      <c r="A52">
        <v>3618709139</v>
      </c>
      <c r="B52">
        <v>57240262</v>
      </c>
      <c r="C52" s="36" t="s">
        <v>704</v>
      </c>
      <c r="D52" s="37">
        <v>41974.558993055558</v>
      </c>
      <c r="E52" s="37">
        <v>41974.562430555554</v>
      </c>
      <c r="U52">
        <v>16</v>
      </c>
      <c r="W52" s="47"/>
    </row>
    <row r="53" spans="1:30" hidden="1">
      <c r="A53">
        <v>3618712854</v>
      </c>
      <c r="B53">
        <v>57240262</v>
      </c>
      <c r="C53" s="36" t="s">
        <v>705</v>
      </c>
      <c r="D53" s="37">
        <v>41974.560335648152</v>
      </c>
      <c r="E53" s="37">
        <v>41974.570914351854</v>
      </c>
      <c r="O53">
        <v>10</v>
      </c>
      <c r="W53" s="47"/>
    </row>
    <row r="54" spans="1:30" hidden="1">
      <c r="A54">
        <v>3618756626</v>
      </c>
      <c r="B54">
        <v>57240262</v>
      </c>
      <c r="C54" s="36" t="s">
        <v>2288</v>
      </c>
      <c r="D54" s="37">
        <v>41974.574502314812</v>
      </c>
      <c r="E54" s="37">
        <v>41974.575185185182</v>
      </c>
      <c r="W54" s="47"/>
    </row>
    <row r="55" spans="1:30" hidden="1">
      <c r="A55">
        <v>3618752378</v>
      </c>
      <c r="B55">
        <v>57240262</v>
      </c>
      <c r="C55" s="36" t="s">
        <v>706</v>
      </c>
      <c r="D55" s="37">
        <v>41974.572870370372</v>
      </c>
      <c r="E55" s="37">
        <v>41974.575775462959</v>
      </c>
      <c r="U55">
        <v>16</v>
      </c>
      <c r="W55" s="47"/>
    </row>
    <row r="56" spans="1:30" hidden="1">
      <c r="A56">
        <v>3618755732</v>
      </c>
      <c r="B56">
        <v>57240262</v>
      </c>
      <c r="C56" s="36" t="s">
        <v>707</v>
      </c>
      <c r="D56" s="37">
        <v>41974.574259259258</v>
      </c>
      <c r="E56" s="37">
        <v>41974.577569444446</v>
      </c>
      <c r="U56">
        <v>16</v>
      </c>
      <c r="W56" s="47"/>
    </row>
    <row r="57" spans="1:30" hidden="1">
      <c r="A57">
        <v>3618762304</v>
      </c>
      <c r="B57">
        <v>57240262</v>
      </c>
      <c r="C57" s="36" t="s">
        <v>563</v>
      </c>
      <c r="D57" s="37">
        <v>41974.576423611114</v>
      </c>
      <c r="E57" s="37">
        <v>41974.580277777779</v>
      </c>
      <c r="K57">
        <v>6</v>
      </c>
      <c r="M57">
        <v>8</v>
      </c>
      <c r="W57" s="47"/>
    </row>
    <row r="58" spans="1:30">
      <c r="A58">
        <v>3618760216</v>
      </c>
      <c r="B58">
        <v>57240262</v>
      </c>
      <c r="C58" s="36" t="s">
        <v>708</v>
      </c>
      <c r="D58" s="37">
        <v>41974.575729166667</v>
      </c>
      <c r="E58" s="37">
        <v>41974.580555555556</v>
      </c>
      <c r="K58">
        <v>6</v>
      </c>
      <c r="O58">
        <v>10</v>
      </c>
      <c r="V58" s="42" t="s">
        <v>128</v>
      </c>
      <c r="W58" s="47">
        <v>10</v>
      </c>
      <c r="AD58" s="72"/>
    </row>
    <row r="59" spans="1:30" hidden="1">
      <c r="A59">
        <v>3618763908</v>
      </c>
      <c r="B59">
        <v>57240262</v>
      </c>
      <c r="C59" s="36" t="s">
        <v>709</v>
      </c>
      <c r="D59" s="37">
        <v>41974.576932870368</v>
      </c>
      <c r="E59" s="37">
        <v>41974.581736111111</v>
      </c>
      <c r="I59">
        <v>4</v>
      </c>
      <c r="K59">
        <v>6</v>
      </c>
      <c r="P59">
        <v>11</v>
      </c>
      <c r="Q59">
        <v>12</v>
      </c>
      <c r="W59" s="47"/>
    </row>
    <row r="60" spans="1:30" hidden="1">
      <c r="A60">
        <v>3618770974</v>
      </c>
      <c r="B60">
        <v>57240262</v>
      </c>
      <c r="C60" s="36" t="s">
        <v>710</v>
      </c>
      <c r="D60" s="37">
        <v>41974.578877314816</v>
      </c>
      <c r="E60" s="37">
        <v>41974.583032407405</v>
      </c>
      <c r="U60">
        <v>16</v>
      </c>
      <c r="W60" s="47"/>
    </row>
    <row r="61" spans="1:30" hidden="1">
      <c r="A61">
        <v>3618768463</v>
      </c>
      <c r="B61">
        <v>57240262</v>
      </c>
      <c r="C61" s="36" t="s">
        <v>566</v>
      </c>
      <c r="D61" s="37">
        <v>41974.578379629631</v>
      </c>
      <c r="E61" s="37">
        <v>41974.58390046296</v>
      </c>
      <c r="I61">
        <v>4</v>
      </c>
      <c r="K61">
        <v>6</v>
      </c>
      <c r="O61">
        <v>10</v>
      </c>
      <c r="W61" s="47"/>
    </row>
    <row r="62" spans="1:30">
      <c r="A62">
        <v>3618757355</v>
      </c>
      <c r="B62">
        <v>57240262</v>
      </c>
      <c r="C62" s="36" t="s">
        <v>558</v>
      </c>
      <c r="D62" s="37">
        <v>41974.574814814812</v>
      </c>
      <c r="E62" s="37">
        <v>41974.585023148145</v>
      </c>
      <c r="F62">
        <v>1</v>
      </c>
      <c r="K62">
        <v>6</v>
      </c>
      <c r="V62" s="42" t="s">
        <v>28</v>
      </c>
      <c r="W62" s="47">
        <v>1</v>
      </c>
    </row>
    <row r="63" spans="1:30">
      <c r="A63">
        <v>3618775191</v>
      </c>
      <c r="B63">
        <v>57240262</v>
      </c>
      <c r="C63" s="36" t="s">
        <v>711</v>
      </c>
      <c r="D63" s="37">
        <v>41974.580439814818</v>
      </c>
      <c r="E63" s="37">
        <v>41974.586261574077</v>
      </c>
      <c r="G63">
        <v>2</v>
      </c>
      <c r="Q63">
        <v>12</v>
      </c>
      <c r="R63">
        <v>13</v>
      </c>
      <c r="V63" s="42" t="s">
        <v>257</v>
      </c>
      <c r="W63" s="47">
        <v>2</v>
      </c>
    </row>
    <row r="64" spans="1:30" hidden="1">
      <c r="A64">
        <v>3618769703</v>
      </c>
      <c r="B64">
        <v>57240262</v>
      </c>
      <c r="C64" s="36" t="s">
        <v>565</v>
      </c>
      <c r="D64" s="37">
        <v>41974.578611111108</v>
      </c>
      <c r="E64" s="37">
        <v>41974.586562500001</v>
      </c>
      <c r="U64">
        <v>16</v>
      </c>
      <c r="W64" s="47"/>
    </row>
    <row r="65" spans="1:23" hidden="1">
      <c r="A65">
        <v>3618796223</v>
      </c>
      <c r="B65">
        <v>57240262</v>
      </c>
      <c r="C65" s="36" t="s">
        <v>712</v>
      </c>
      <c r="D65" s="37">
        <v>41974.586516203701</v>
      </c>
      <c r="E65" s="37">
        <v>41974.587685185186</v>
      </c>
      <c r="U65">
        <v>16</v>
      </c>
      <c r="W65" s="47"/>
    </row>
    <row r="66" spans="1:23" hidden="1">
      <c r="A66">
        <v>3618790322</v>
      </c>
      <c r="B66">
        <v>57240262</v>
      </c>
      <c r="C66" s="36" t="s">
        <v>604</v>
      </c>
      <c r="D66" s="37">
        <v>41974.584861111114</v>
      </c>
      <c r="E66" s="37">
        <v>41974.589085648149</v>
      </c>
      <c r="U66">
        <v>16</v>
      </c>
      <c r="W66" s="47"/>
    </row>
    <row r="67" spans="1:23">
      <c r="A67">
        <v>3618593332</v>
      </c>
      <c r="B67">
        <v>57240262</v>
      </c>
      <c r="C67" s="36" t="s">
        <v>526</v>
      </c>
      <c r="D67" s="37">
        <v>41974.512962962966</v>
      </c>
      <c r="E67" s="37">
        <v>41974.595949074072</v>
      </c>
      <c r="I67">
        <v>4</v>
      </c>
      <c r="Q67">
        <v>12</v>
      </c>
      <c r="V67" s="42" t="s">
        <v>38</v>
      </c>
      <c r="W67" s="47">
        <v>4</v>
      </c>
    </row>
    <row r="68" spans="1:23" hidden="1">
      <c r="A68">
        <v>3618830136</v>
      </c>
      <c r="B68">
        <v>57240262</v>
      </c>
      <c r="C68" s="36" t="s">
        <v>713</v>
      </c>
      <c r="D68" s="37">
        <v>41974.596238425926</v>
      </c>
      <c r="E68" s="37">
        <v>41974.603275462963</v>
      </c>
      <c r="Q68">
        <v>12</v>
      </c>
      <c r="W68" s="47"/>
    </row>
    <row r="69" spans="1:23">
      <c r="A69">
        <v>3618854711</v>
      </c>
      <c r="B69">
        <v>57240262</v>
      </c>
      <c r="C69" s="36" t="s">
        <v>714</v>
      </c>
      <c r="D69" s="37">
        <v>41974.603020833332</v>
      </c>
      <c r="E69" s="37">
        <v>41974.607743055552</v>
      </c>
      <c r="M69">
        <v>8</v>
      </c>
      <c r="Q69">
        <v>12</v>
      </c>
      <c r="R69">
        <v>13</v>
      </c>
      <c r="V69" s="42" t="s">
        <v>71</v>
      </c>
      <c r="W69" s="47">
        <v>8</v>
      </c>
    </row>
    <row r="70" spans="1:23" hidden="1">
      <c r="A70">
        <v>3618892360</v>
      </c>
      <c r="B70">
        <v>57240262</v>
      </c>
      <c r="C70" s="36" t="s">
        <v>715</v>
      </c>
      <c r="D70" s="37">
        <v>41974.612893518519</v>
      </c>
      <c r="E70" s="37">
        <v>41974.614791666667</v>
      </c>
      <c r="N70">
        <v>9</v>
      </c>
      <c r="W70" s="47"/>
    </row>
    <row r="71" spans="1:23">
      <c r="A71">
        <v>3618899839</v>
      </c>
      <c r="B71">
        <v>57240262</v>
      </c>
      <c r="C71" s="36" t="s">
        <v>716</v>
      </c>
      <c r="D71" s="37">
        <v>41974.615046296298</v>
      </c>
      <c r="E71" s="37">
        <v>41974.619004629632</v>
      </c>
      <c r="F71">
        <v>1</v>
      </c>
      <c r="G71">
        <v>2</v>
      </c>
      <c r="J71">
        <v>5</v>
      </c>
      <c r="K71">
        <v>6</v>
      </c>
      <c r="V71" s="42" t="s">
        <v>100</v>
      </c>
      <c r="W71" s="47">
        <v>1</v>
      </c>
    </row>
    <row r="72" spans="1:23" hidden="1">
      <c r="A72">
        <v>3618917352</v>
      </c>
      <c r="B72">
        <v>57240262</v>
      </c>
      <c r="C72" s="36" t="s">
        <v>2284</v>
      </c>
      <c r="D72" s="37">
        <v>41974.619328703702</v>
      </c>
      <c r="E72" s="37">
        <v>41974.620034722226</v>
      </c>
      <c r="W72" s="47"/>
    </row>
    <row r="73" spans="1:23" hidden="1">
      <c r="A73">
        <v>3618969093</v>
      </c>
      <c r="B73">
        <v>57240262</v>
      </c>
      <c r="C73" s="36" t="s">
        <v>717</v>
      </c>
      <c r="D73" s="37">
        <v>41974.633032407408</v>
      </c>
      <c r="E73" s="37">
        <v>41974.637013888889</v>
      </c>
      <c r="U73">
        <v>16</v>
      </c>
      <c r="W73" s="47"/>
    </row>
    <row r="74" spans="1:23" ht="24">
      <c r="A74">
        <v>3618911460</v>
      </c>
      <c r="B74">
        <v>57240262</v>
      </c>
      <c r="C74" s="36" t="s">
        <v>585</v>
      </c>
      <c r="D74" s="37">
        <v>41974.618032407408</v>
      </c>
      <c r="E74" s="37">
        <v>41974.645995370367</v>
      </c>
      <c r="U74">
        <v>16</v>
      </c>
      <c r="V74" s="42" t="s">
        <v>256</v>
      </c>
      <c r="W74" s="71">
        <v>8</v>
      </c>
    </row>
    <row r="75" spans="1:23" hidden="1">
      <c r="A75">
        <v>3619014972</v>
      </c>
      <c r="B75">
        <v>57240262</v>
      </c>
      <c r="C75" s="36" t="s">
        <v>718</v>
      </c>
      <c r="D75" s="37">
        <v>41974.644386574073</v>
      </c>
      <c r="E75" s="37">
        <v>41974.650381944448</v>
      </c>
      <c r="K75">
        <v>6</v>
      </c>
      <c r="W75" s="47"/>
    </row>
    <row r="76" spans="1:23" hidden="1">
      <c r="A76">
        <v>3619031696</v>
      </c>
      <c r="B76">
        <v>57240262</v>
      </c>
      <c r="C76" s="36" t="s">
        <v>719</v>
      </c>
      <c r="D76" s="37">
        <v>41974.648333333331</v>
      </c>
      <c r="E76" s="37">
        <v>41974.651608796295</v>
      </c>
      <c r="F76">
        <v>1</v>
      </c>
      <c r="W76" s="47"/>
    </row>
    <row r="77" spans="1:23" hidden="1">
      <c r="A77">
        <v>3619037870</v>
      </c>
      <c r="B77">
        <v>57240262</v>
      </c>
      <c r="C77" s="36" t="s">
        <v>720</v>
      </c>
      <c r="D77" s="37">
        <v>41974.649953703702</v>
      </c>
      <c r="E77" s="37">
        <v>41974.652199074073</v>
      </c>
      <c r="U77">
        <v>16</v>
      </c>
      <c r="W77" s="47"/>
    </row>
    <row r="78" spans="1:23" hidden="1">
      <c r="A78">
        <v>3619076822</v>
      </c>
      <c r="B78">
        <v>57240262</v>
      </c>
      <c r="C78" s="36" t="s">
        <v>721</v>
      </c>
      <c r="D78" s="37">
        <v>41974.659467592595</v>
      </c>
      <c r="E78" s="37">
        <v>41974.662037037036</v>
      </c>
      <c r="F78">
        <v>1</v>
      </c>
      <c r="L78">
        <v>7</v>
      </c>
      <c r="M78">
        <v>8</v>
      </c>
      <c r="Q78">
        <v>12</v>
      </c>
      <c r="R78">
        <v>13</v>
      </c>
      <c r="W78" s="47"/>
    </row>
    <row r="79" spans="1:23" hidden="1">
      <c r="A79">
        <v>3619073647</v>
      </c>
      <c r="B79">
        <v>57240262</v>
      </c>
      <c r="C79" s="36" t="s">
        <v>595</v>
      </c>
      <c r="D79" s="37">
        <v>41974.658576388887</v>
      </c>
      <c r="E79" s="37">
        <v>41974.666504629633</v>
      </c>
      <c r="U79">
        <v>16</v>
      </c>
      <c r="W79" s="47"/>
    </row>
    <row r="80" spans="1:23" hidden="1">
      <c r="A80">
        <v>3619022007</v>
      </c>
      <c r="B80">
        <v>57240262</v>
      </c>
      <c r="C80" s="36" t="s">
        <v>590</v>
      </c>
      <c r="D80" s="37">
        <v>41974.64607638889</v>
      </c>
      <c r="E80" s="37">
        <v>41974.667557870373</v>
      </c>
      <c r="F80">
        <v>1</v>
      </c>
      <c r="N80">
        <v>9</v>
      </c>
      <c r="W80" s="47"/>
    </row>
    <row r="81" spans="1:23" hidden="1">
      <c r="A81">
        <v>3619118758</v>
      </c>
      <c r="B81">
        <v>57240262</v>
      </c>
      <c r="C81" s="36" t="s">
        <v>612</v>
      </c>
      <c r="D81" s="37">
        <v>41974.66815972222</v>
      </c>
      <c r="E81" s="37">
        <v>41974.672280092593</v>
      </c>
      <c r="G81">
        <v>2</v>
      </c>
      <c r="H81">
        <v>3</v>
      </c>
      <c r="W81" s="47"/>
    </row>
    <row r="82" spans="1:23" hidden="1">
      <c r="A82">
        <v>3619057707</v>
      </c>
      <c r="B82">
        <v>57240262</v>
      </c>
      <c r="C82" s="36" t="s">
        <v>596</v>
      </c>
      <c r="D82" s="37">
        <v>41974.65483796296</v>
      </c>
      <c r="E82" s="37">
        <v>41974.673391203702</v>
      </c>
      <c r="I82">
        <v>4</v>
      </c>
      <c r="W82" s="47"/>
    </row>
    <row r="83" spans="1:23" hidden="1">
      <c r="A83">
        <v>3619180331</v>
      </c>
      <c r="B83">
        <v>57240262</v>
      </c>
      <c r="C83" s="36" t="s">
        <v>722</v>
      </c>
      <c r="D83" s="37">
        <v>41974.683865740742</v>
      </c>
      <c r="E83" s="37">
        <v>41974.684675925928</v>
      </c>
      <c r="U83">
        <v>16</v>
      </c>
      <c r="W83" s="47"/>
    </row>
    <row r="84" spans="1:23" hidden="1">
      <c r="A84">
        <v>3619180698</v>
      </c>
      <c r="B84">
        <v>57240262</v>
      </c>
      <c r="C84" s="36" t="s">
        <v>723</v>
      </c>
      <c r="D84" s="37">
        <v>41974.679699074077</v>
      </c>
      <c r="E84" s="37">
        <v>41974.687175925923</v>
      </c>
      <c r="R84">
        <v>13</v>
      </c>
      <c r="W84" s="47"/>
    </row>
    <row r="85" spans="1:23" hidden="1">
      <c r="A85">
        <v>3618831020</v>
      </c>
      <c r="B85">
        <v>57240262</v>
      </c>
      <c r="C85" s="36" t="s">
        <v>582</v>
      </c>
      <c r="D85" s="37">
        <v>41974.575231481482</v>
      </c>
      <c r="E85" s="37">
        <v>41974.687199074076</v>
      </c>
      <c r="U85">
        <v>16</v>
      </c>
      <c r="W85" s="47"/>
    </row>
    <row r="86" spans="1:23" hidden="1">
      <c r="A86">
        <v>3619185802</v>
      </c>
      <c r="B86">
        <v>57240262</v>
      </c>
      <c r="C86" s="36" t="s">
        <v>724</v>
      </c>
      <c r="D86" s="37">
        <v>41974.685104166667</v>
      </c>
      <c r="E86" s="37">
        <v>41974.698055555556</v>
      </c>
      <c r="F86">
        <v>1</v>
      </c>
      <c r="W86" s="47"/>
    </row>
    <row r="87" spans="1:23" hidden="1">
      <c r="A87">
        <v>3619252988</v>
      </c>
      <c r="B87">
        <v>57240262</v>
      </c>
      <c r="C87" s="36" t="s">
        <v>725</v>
      </c>
      <c r="D87" s="37">
        <v>41974.700497685182</v>
      </c>
      <c r="E87" s="37">
        <v>41974.7034375</v>
      </c>
      <c r="U87">
        <v>16</v>
      </c>
      <c r="W87" s="47"/>
    </row>
    <row r="88" spans="1:23" hidden="1">
      <c r="A88">
        <v>3619293159</v>
      </c>
      <c r="B88">
        <v>57240262</v>
      </c>
      <c r="C88" s="36" t="s">
        <v>632</v>
      </c>
      <c r="D88" s="37">
        <v>41974.710011574076</v>
      </c>
      <c r="E88" s="37">
        <v>41974.712106481478</v>
      </c>
      <c r="U88">
        <v>16</v>
      </c>
      <c r="W88" s="47"/>
    </row>
    <row r="89" spans="1:23" hidden="1">
      <c r="A89">
        <v>3619266987</v>
      </c>
      <c r="B89">
        <v>57240262</v>
      </c>
      <c r="C89" s="36" t="s">
        <v>726</v>
      </c>
      <c r="D89" s="37">
        <v>41974.703888888886</v>
      </c>
      <c r="E89" s="37">
        <v>41974.716006944444</v>
      </c>
      <c r="F89">
        <v>1</v>
      </c>
      <c r="G89">
        <v>2</v>
      </c>
      <c r="O89">
        <v>10</v>
      </c>
      <c r="P89">
        <v>11</v>
      </c>
      <c r="W89" s="47"/>
    </row>
    <row r="90" spans="1:23" hidden="1">
      <c r="A90">
        <v>3619286647</v>
      </c>
      <c r="B90">
        <v>57240262</v>
      </c>
      <c r="C90" s="36" t="s">
        <v>727</v>
      </c>
      <c r="D90" s="37">
        <v>41974.708067129628</v>
      </c>
      <c r="E90" s="37">
        <v>41974.718541666669</v>
      </c>
      <c r="U90">
        <v>16</v>
      </c>
      <c r="W90" s="47"/>
    </row>
    <row r="91" spans="1:23">
      <c r="A91">
        <v>3619310074</v>
      </c>
      <c r="B91">
        <v>57240262</v>
      </c>
      <c r="C91" s="36" t="s">
        <v>728</v>
      </c>
      <c r="D91" s="37">
        <v>41974.713935185187</v>
      </c>
      <c r="E91" s="37">
        <v>41974.720543981479</v>
      </c>
      <c r="I91">
        <v>4</v>
      </c>
      <c r="K91">
        <v>6</v>
      </c>
      <c r="V91" s="42" t="s">
        <v>254</v>
      </c>
      <c r="W91" s="47">
        <v>6</v>
      </c>
    </row>
    <row r="92" spans="1:23" hidden="1">
      <c r="A92">
        <v>3619329569</v>
      </c>
      <c r="B92">
        <v>57240262</v>
      </c>
      <c r="C92" s="36" t="s">
        <v>729</v>
      </c>
      <c r="D92" s="37">
        <v>41974.718449074076</v>
      </c>
      <c r="E92" s="37">
        <v>41974.720960648148</v>
      </c>
      <c r="U92">
        <v>16</v>
      </c>
      <c r="W92" s="47"/>
    </row>
    <row r="93" spans="1:23">
      <c r="A93">
        <v>3619322110</v>
      </c>
      <c r="B93">
        <v>57240262</v>
      </c>
      <c r="C93" s="36" t="s">
        <v>635</v>
      </c>
      <c r="D93" s="37">
        <v>41974.716574074075</v>
      </c>
      <c r="E93" s="37">
        <v>41974.721828703703</v>
      </c>
      <c r="F93">
        <v>1</v>
      </c>
      <c r="O93">
        <v>10</v>
      </c>
      <c r="Q93">
        <v>12</v>
      </c>
      <c r="V93" s="42" t="s">
        <v>165</v>
      </c>
      <c r="W93" s="47">
        <v>1</v>
      </c>
    </row>
    <row r="94" spans="1:23">
      <c r="A94">
        <v>3619281471</v>
      </c>
      <c r="B94">
        <v>57240262</v>
      </c>
      <c r="C94" s="36" t="s">
        <v>630</v>
      </c>
      <c r="D94" s="37">
        <v>41974.707245370373</v>
      </c>
      <c r="E94" s="37">
        <v>41974.722916666666</v>
      </c>
      <c r="G94">
        <v>2</v>
      </c>
      <c r="H94">
        <v>3</v>
      </c>
      <c r="I94">
        <v>4</v>
      </c>
      <c r="V94" s="42" t="s">
        <v>255</v>
      </c>
      <c r="W94" s="47">
        <v>2</v>
      </c>
    </row>
    <row r="95" spans="1:23" hidden="1">
      <c r="A95">
        <v>3619328946</v>
      </c>
      <c r="B95">
        <v>57240262</v>
      </c>
      <c r="C95" s="36" t="s">
        <v>634</v>
      </c>
      <c r="D95" s="37">
        <v>41974.718298611115</v>
      </c>
      <c r="E95" s="37">
        <v>41974.725694444445</v>
      </c>
      <c r="O95">
        <v>10</v>
      </c>
      <c r="W95" s="47"/>
    </row>
    <row r="96" spans="1:23" hidden="1">
      <c r="A96">
        <v>3619392181</v>
      </c>
      <c r="B96">
        <v>57240262</v>
      </c>
      <c r="C96" s="36" t="s">
        <v>730</v>
      </c>
      <c r="D96" s="37">
        <v>41974.733437499999</v>
      </c>
      <c r="E96" s="37">
        <v>41974.743101851855</v>
      </c>
      <c r="F96">
        <v>1</v>
      </c>
      <c r="G96">
        <v>2</v>
      </c>
      <c r="H96">
        <v>3</v>
      </c>
      <c r="W96" s="47"/>
    </row>
    <row r="97" spans="1:23" hidden="1">
      <c r="A97">
        <v>3619610340</v>
      </c>
      <c r="B97">
        <v>57240262</v>
      </c>
      <c r="C97" s="36" t="s">
        <v>647</v>
      </c>
      <c r="D97" s="37">
        <v>41974.787152777775</v>
      </c>
      <c r="E97" s="37">
        <v>41974.791875000003</v>
      </c>
      <c r="R97">
        <v>13</v>
      </c>
      <c r="W97" s="47"/>
    </row>
    <row r="98" spans="1:23" ht="24">
      <c r="A98">
        <v>3619578568</v>
      </c>
      <c r="B98">
        <v>57240262</v>
      </c>
      <c r="C98" s="36" t="s">
        <v>642</v>
      </c>
      <c r="D98" s="37">
        <v>41974.779074074075</v>
      </c>
      <c r="E98" s="37">
        <v>41974.798275462963</v>
      </c>
      <c r="F98">
        <v>1</v>
      </c>
      <c r="G98">
        <v>2</v>
      </c>
      <c r="H98">
        <v>3</v>
      </c>
      <c r="J98">
        <v>5</v>
      </c>
      <c r="L98">
        <v>7</v>
      </c>
      <c r="M98">
        <v>8</v>
      </c>
      <c r="O98">
        <v>10</v>
      </c>
      <c r="P98">
        <v>11</v>
      </c>
      <c r="R98">
        <v>13</v>
      </c>
      <c r="V98" s="42" t="s">
        <v>253</v>
      </c>
      <c r="W98" s="47">
        <v>5</v>
      </c>
    </row>
    <row r="99" spans="1:23" hidden="1">
      <c r="A99">
        <v>3619715140</v>
      </c>
      <c r="B99">
        <v>57240262</v>
      </c>
      <c r="C99" s="36" t="s">
        <v>731</v>
      </c>
      <c r="D99" s="37">
        <v>41974.812777777777</v>
      </c>
      <c r="E99" s="37">
        <v>41974.820081018515</v>
      </c>
      <c r="M99">
        <v>8</v>
      </c>
      <c r="W99" s="47"/>
    </row>
    <row r="100" spans="1:23" hidden="1">
      <c r="A100">
        <v>3619833244</v>
      </c>
      <c r="B100">
        <v>57240262</v>
      </c>
      <c r="C100" s="36" t="s">
        <v>650</v>
      </c>
      <c r="D100" s="37">
        <v>41974.842152777775</v>
      </c>
      <c r="E100" s="37">
        <v>41974.844328703701</v>
      </c>
      <c r="O100">
        <v>10</v>
      </c>
      <c r="R100">
        <v>13</v>
      </c>
      <c r="W100" s="47"/>
    </row>
    <row r="101" spans="1:23" hidden="1">
      <c r="A101">
        <v>3619823714</v>
      </c>
      <c r="B101">
        <v>57240262</v>
      </c>
      <c r="C101" s="36" t="s">
        <v>732</v>
      </c>
      <c r="D101" s="37">
        <v>41974.839849537035</v>
      </c>
      <c r="E101" s="37">
        <v>41974.84815972222</v>
      </c>
      <c r="G101">
        <v>2</v>
      </c>
      <c r="K101">
        <v>6</v>
      </c>
      <c r="W101" s="47"/>
    </row>
    <row r="102" spans="1:23" hidden="1">
      <c r="A102">
        <v>3619857583</v>
      </c>
      <c r="B102">
        <v>57240262</v>
      </c>
      <c r="C102" s="36" t="s">
        <v>2289</v>
      </c>
      <c r="D102" s="37">
        <v>41974.846851851849</v>
      </c>
      <c r="E102" s="37">
        <v>41974.84847222222</v>
      </c>
      <c r="W102" s="47"/>
    </row>
    <row r="103" spans="1:23" ht="24">
      <c r="A103">
        <v>3619749570</v>
      </c>
      <c r="B103">
        <v>57240262</v>
      </c>
      <c r="C103" s="36" t="s">
        <v>646</v>
      </c>
      <c r="D103" s="37">
        <v>41974.821412037039</v>
      </c>
      <c r="E103" s="37">
        <v>41974.850451388891</v>
      </c>
      <c r="F103">
        <v>1</v>
      </c>
      <c r="G103">
        <v>2</v>
      </c>
      <c r="H103">
        <v>3</v>
      </c>
      <c r="J103">
        <v>5</v>
      </c>
      <c r="L103">
        <v>7</v>
      </c>
      <c r="M103">
        <v>8</v>
      </c>
      <c r="O103">
        <v>10</v>
      </c>
      <c r="P103">
        <v>11</v>
      </c>
      <c r="R103">
        <v>13</v>
      </c>
      <c r="V103" s="42" t="s">
        <v>251</v>
      </c>
      <c r="W103" s="47">
        <v>5</v>
      </c>
    </row>
    <row r="104" spans="1:23">
      <c r="A104">
        <v>3619685738</v>
      </c>
      <c r="B104">
        <v>57240262</v>
      </c>
      <c r="C104" s="36" t="s">
        <v>645</v>
      </c>
      <c r="D104" s="37">
        <v>41974.805509259262</v>
      </c>
      <c r="E104" s="37">
        <v>41974.855740740742</v>
      </c>
      <c r="F104">
        <v>1</v>
      </c>
      <c r="G104">
        <v>2</v>
      </c>
      <c r="O104">
        <v>10</v>
      </c>
      <c r="V104" s="42" t="s">
        <v>252</v>
      </c>
      <c r="W104" s="47">
        <v>16</v>
      </c>
    </row>
    <row r="105" spans="1:23" hidden="1">
      <c r="A105">
        <v>3619917129</v>
      </c>
      <c r="B105">
        <v>57240262</v>
      </c>
      <c r="C105" s="36" t="s">
        <v>733</v>
      </c>
      <c r="D105" s="37">
        <v>41974.862951388888</v>
      </c>
      <c r="E105" s="37">
        <v>41974.868020833332</v>
      </c>
      <c r="R105">
        <v>13</v>
      </c>
      <c r="W105" s="47"/>
    </row>
    <row r="106" spans="1:23" hidden="1">
      <c r="A106">
        <v>3619936171</v>
      </c>
      <c r="B106">
        <v>57240262</v>
      </c>
      <c r="C106" s="36" t="s">
        <v>734</v>
      </c>
      <c r="D106" s="37">
        <v>41974.867719907408</v>
      </c>
      <c r="E106" s="37">
        <v>41974.877789351849</v>
      </c>
      <c r="U106">
        <v>16</v>
      </c>
      <c r="W106" s="47"/>
    </row>
    <row r="107" spans="1:23">
      <c r="A107">
        <v>3619965764</v>
      </c>
      <c r="B107">
        <v>57240262</v>
      </c>
      <c r="C107" s="36" t="s">
        <v>735</v>
      </c>
      <c r="D107" s="37">
        <v>41974.875636574077</v>
      </c>
      <c r="E107" s="37">
        <v>41974.881921296299</v>
      </c>
      <c r="F107">
        <v>1</v>
      </c>
      <c r="G107">
        <v>2</v>
      </c>
      <c r="Q107">
        <v>12</v>
      </c>
      <c r="V107" s="42" t="s">
        <v>233</v>
      </c>
      <c r="W107" s="47">
        <v>12</v>
      </c>
    </row>
    <row r="108" spans="1:23">
      <c r="A108">
        <v>3620022873</v>
      </c>
      <c r="B108">
        <v>57240262</v>
      </c>
      <c r="C108" s="36" t="s">
        <v>736</v>
      </c>
      <c r="D108" s="37">
        <v>41974.890509259261</v>
      </c>
      <c r="E108" s="37">
        <v>41974.891886574071</v>
      </c>
      <c r="K108">
        <v>6</v>
      </c>
      <c r="L108">
        <v>7</v>
      </c>
      <c r="Q108">
        <v>12</v>
      </c>
      <c r="V108" s="42" t="s">
        <v>61</v>
      </c>
      <c r="W108" s="47">
        <v>12</v>
      </c>
    </row>
    <row r="109" spans="1:23" hidden="1">
      <c r="A109">
        <v>3620046987</v>
      </c>
      <c r="B109">
        <v>57240262</v>
      </c>
      <c r="C109" s="36" t="s">
        <v>737</v>
      </c>
      <c r="D109" s="37">
        <v>41974.896909722222</v>
      </c>
      <c r="E109" s="37">
        <v>41974.898020833331</v>
      </c>
      <c r="U109">
        <v>16</v>
      </c>
      <c r="W109" s="47"/>
    </row>
    <row r="110" spans="1:23" hidden="1">
      <c r="A110">
        <v>3620015136</v>
      </c>
      <c r="B110">
        <v>57240262</v>
      </c>
      <c r="C110" s="36" t="s">
        <v>321</v>
      </c>
      <c r="D110" s="37">
        <v>41974.888483796298</v>
      </c>
      <c r="E110" s="37">
        <v>41974.900393518517</v>
      </c>
      <c r="G110">
        <v>2</v>
      </c>
      <c r="H110">
        <v>3</v>
      </c>
      <c r="M110">
        <v>8</v>
      </c>
      <c r="N110">
        <v>9</v>
      </c>
      <c r="O110">
        <v>10</v>
      </c>
      <c r="P110">
        <v>11</v>
      </c>
      <c r="W110" s="47"/>
    </row>
    <row r="111" spans="1:23">
      <c r="A111">
        <v>3620068452</v>
      </c>
      <c r="B111">
        <v>57240262</v>
      </c>
      <c r="C111" s="36" t="s">
        <v>738</v>
      </c>
      <c r="D111" s="37">
        <v>41974.902511574073</v>
      </c>
      <c r="E111" s="37">
        <v>41974.906689814816</v>
      </c>
      <c r="M111">
        <v>8</v>
      </c>
      <c r="N111">
        <v>9</v>
      </c>
      <c r="V111" s="42" t="s">
        <v>139</v>
      </c>
      <c r="W111" s="47">
        <v>9</v>
      </c>
    </row>
    <row r="112" spans="1:23" ht="24">
      <c r="A112">
        <v>3620006273</v>
      </c>
      <c r="B112">
        <v>57240262</v>
      </c>
      <c r="C112" s="36" t="s">
        <v>322</v>
      </c>
      <c r="D112" s="37">
        <v>41974.885937500003</v>
      </c>
      <c r="E112" s="37">
        <v>41974.907118055555</v>
      </c>
      <c r="F112">
        <v>1</v>
      </c>
      <c r="G112">
        <v>2</v>
      </c>
      <c r="I112">
        <v>4</v>
      </c>
      <c r="K112">
        <v>6</v>
      </c>
      <c r="N112">
        <v>9</v>
      </c>
      <c r="O112">
        <v>10</v>
      </c>
      <c r="V112" s="42" t="s">
        <v>250</v>
      </c>
      <c r="W112" s="47">
        <v>16</v>
      </c>
    </row>
    <row r="113" spans="1:23">
      <c r="A113">
        <v>3620173272</v>
      </c>
      <c r="B113">
        <v>57240262</v>
      </c>
      <c r="C113" s="36" t="s">
        <v>739</v>
      </c>
      <c r="D113" s="37">
        <v>41974.931435185186</v>
      </c>
      <c r="E113" s="37">
        <v>41974.939085648148</v>
      </c>
      <c r="F113">
        <v>1</v>
      </c>
      <c r="I113">
        <v>4</v>
      </c>
      <c r="K113">
        <v>6</v>
      </c>
      <c r="Q113">
        <v>12</v>
      </c>
      <c r="V113" s="42" t="s">
        <v>28</v>
      </c>
      <c r="W113" s="47">
        <v>1</v>
      </c>
    </row>
    <row r="114" spans="1:23" hidden="1">
      <c r="A114">
        <v>3620266166</v>
      </c>
      <c r="B114">
        <v>57240262</v>
      </c>
      <c r="C114" s="36" t="s">
        <v>740</v>
      </c>
      <c r="D114" s="37">
        <v>41974.961770833332</v>
      </c>
      <c r="E114" s="37">
        <v>41974.966863425929</v>
      </c>
      <c r="F114">
        <v>1</v>
      </c>
      <c r="K114">
        <v>6</v>
      </c>
      <c r="O114">
        <v>10</v>
      </c>
      <c r="Q114">
        <v>12</v>
      </c>
      <c r="R114">
        <v>13</v>
      </c>
      <c r="W114" s="47"/>
    </row>
    <row r="115" spans="1:23">
      <c r="A115">
        <v>3620251366</v>
      </c>
      <c r="B115">
        <v>57240262</v>
      </c>
      <c r="C115" s="36" t="s">
        <v>328</v>
      </c>
      <c r="D115" s="37">
        <v>41974.956724537034</v>
      </c>
      <c r="E115" s="37">
        <v>41974.968078703707</v>
      </c>
      <c r="J115">
        <v>5</v>
      </c>
      <c r="K115">
        <v>6</v>
      </c>
      <c r="V115" s="42" t="s">
        <v>249</v>
      </c>
      <c r="W115" s="47">
        <v>5</v>
      </c>
    </row>
    <row r="116" spans="1:23" hidden="1">
      <c r="A116">
        <v>3620326433</v>
      </c>
      <c r="B116">
        <v>57240262</v>
      </c>
      <c r="C116" s="36" t="s">
        <v>741</v>
      </c>
      <c r="D116" s="37">
        <v>41974.983993055554</v>
      </c>
      <c r="E116" s="37">
        <v>41974.989548611113</v>
      </c>
      <c r="G116">
        <v>2</v>
      </c>
      <c r="M116">
        <v>8</v>
      </c>
      <c r="Q116">
        <v>12</v>
      </c>
      <c r="W116" s="47"/>
    </row>
    <row r="117" spans="1:23">
      <c r="A117">
        <v>3620344995</v>
      </c>
      <c r="B117">
        <v>57240262</v>
      </c>
      <c r="C117" s="36" t="s">
        <v>742</v>
      </c>
      <c r="D117" s="37">
        <v>41974.991712962961</v>
      </c>
      <c r="E117" s="37">
        <v>41975.00439814815</v>
      </c>
      <c r="F117">
        <v>1</v>
      </c>
      <c r="G117">
        <v>2</v>
      </c>
      <c r="O117">
        <v>10</v>
      </c>
      <c r="Q117">
        <v>12</v>
      </c>
      <c r="V117" s="42" t="s">
        <v>118</v>
      </c>
      <c r="W117" s="47">
        <v>2</v>
      </c>
    </row>
    <row r="118" spans="1:23" hidden="1">
      <c r="A118">
        <v>3620374707</v>
      </c>
      <c r="B118">
        <v>57240262</v>
      </c>
      <c r="C118" s="36" t="s">
        <v>2290</v>
      </c>
      <c r="D118" s="37">
        <v>41975.003842592596</v>
      </c>
      <c r="E118" s="37">
        <v>41975.004942129628</v>
      </c>
      <c r="W118" s="47"/>
    </row>
    <row r="119" spans="1:23" hidden="1">
      <c r="A119">
        <v>3620400497</v>
      </c>
      <c r="B119">
        <v>57240262</v>
      </c>
      <c r="C119" s="36" t="s">
        <v>743</v>
      </c>
      <c r="D119" s="37">
        <v>41975.014606481483</v>
      </c>
      <c r="E119" s="37">
        <v>41975.022824074076</v>
      </c>
      <c r="O119">
        <v>10</v>
      </c>
      <c r="W119" s="47"/>
    </row>
    <row r="120" spans="1:23" hidden="1">
      <c r="A120">
        <v>3620427402</v>
      </c>
      <c r="B120">
        <v>57240262</v>
      </c>
      <c r="C120" s="36" t="s">
        <v>744</v>
      </c>
      <c r="D120" s="37">
        <v>41975.025787037041</v>
      </c>
      <c r="E120" s="37">
        <v>41975.032719907409</v>
      </c>
      <c r="I120">
        <v>4</v>
      </c>
      <c r="W120" s="47"/>
    </row>
    <row r="121" spans="1:23">
      <c r="A121">
        <v>3620452898</v>
      </c>
      <c r="B121">
        <v>57240262</v>
      </c>
      <c r="C121" s="36" t="s">
        <v>745</v>
      </c>
      <c r="D121" s="37">
        <v>41975.036874999998</v>
      </c>
      <c r="E121" s="37">
        <v>41975.043923611112</v>
      </c>
      <c r="F121">
        <v>1</v>
      </c>
      <c r="I121">
        <v>4</v>
      </c>
      <c r="P121">
        <v>11</v>
      </c>
      <c r="V121" s="42" t="s">
        <v>248</v>
      </c>
      <c r="W121" s="47">
        <v>4</v>
      </c>
    </row>
    <row r="122" spans="1:23" hidden="1">
      <c r="A122">
        <v>3620846610</v>
      </c>
      <c r="B122">
        <v>57240262</v>
      </c>
      <c r="C122" s="36" t="s">
        <v>746</v>
      </c>
      <c r="D122" s="37">
        <v>41975.264386574076</v>
      </c>
      <c r="E122" s="37">
        <v>41975.267835648148</v>
      </c>
      <c r="F122">
        <v>1</v>
      </c>
      <c r="R122">
        <v>13</v>
      </c>
      <c r="W122" s="47"/>
    </row>
    <row r="123" spans="1:23" hidden="1">
      <c r="A123">
        <v>3619695361</v>
      </c>
      <c r="B123">
        <v>57240262</v>
      </c>
      <c r="C123" s="36" t="s">
        <v>644</v>
      </c>
      <c r="D123" s="37">
        <v>41974.807696759257</v>
      </c>
      <c r="E123" s="37">
        <v>41975.306030092594</v>
      </c>
      <c r="P123">
        <v>11</v>
      </c>
      <c r="R123">
        <v>13</v>
      </c>
      <c r="W123" s="47"/>
    </row>
    <row r="124" spans="1:23" hidden="1">
      <c r="A124">
        <v>3620912838</v>
      </c>
      <c r="B124">
        <v>57240262</v>
      </c>
      <c r="C124" s="36" t="s">
        <v>747</v>
      </c>
      <c r="D124" s="37">
        <v>41975.317314814813</v>
      </c>
      <c r="E124" s="37">
        <v>41975.320844907408</v>
      </c>
      <c r="U124">
        <v>16</v>
      </c>
      <c r="W124" s="47"/>
    </row>
    <row r="125" spans="1:23" hidden="1">
      <c r="A125">
        <v>3620911463</v>
      </c>
      <c r="B125">
        <v>57240262</v>
      </c>
      <c r="C125" s="36" t="s">
        <v>341</v>
      </c>
      <c r="D125" s="37">
        <v>41975.316354166665</v>
      </c>
      <c r="E125" s="37">
        <v>41975.321087962962</v>
      </c>
      <c r="N125">
        <v>9</v>
      </c>
      <c r="W125" s="47"/>
    </row>
    <row r="126" spans="1:23">
      <c r="A126">
        <v>3620911016</v>
      </c>
      <c r="B126">
        <v>57240262</v>
      </c>
      <c r="C126" s="36" t="s">
        <v>342</v>
      </c>
      <c r="D126" s="37">
        <v>41975.315960648149</v>
      </c>
      <c r="E126" s="37">
        <v>41975.322222222225</v>
      </c>
      <c r="I126">
        <v>4</v>
      </c>
      <c r="M126">
        <v>8</v>
      </c>
      <c r="V126" s="42" t="s">
        <v>247</v>
      </c>
      <c r="W126" s="47">
        <v>8</v>
      </c>
    </row>
    <row r="127" spans="1:23" hidden="1">
      <c r="A127">
        <v>3620913790</v>
      </c>
      <c r="B127">
        <v>57240262</v>
      </c>
      <c r="C127" s="36" t="s">
        <v>748</v>
      </c>
      <c r="D127" s="37">
        <v>41975.317986111113</v>
      </c>
      <c r="E127" s="37">
        <v>41975.32675925926</v>
      </c>
      <c r="G127">
        <v>2</v>
      </c>
      <c r="W127" s="47"/>
    </row>
    <row r="128" spans="1:23" hidden="1">
      <c r="A128">
        <v>3620944843</v>
      </c>
      <c r="B128">
        <v>57240262</v>
      </c>
      <c r="C128" s="36" t="s">
        <v>749</v>
      </c>
      <c r="D128" s="37">
        <v>41975.340069444443</v>
      </c>
      <c r="E128" s="37">
        <v>41975.341956018521</v>
      </c>
      <c r="I128">
        <v>4</v>
      </c>
      <c r="W128" s="47"/>
    </row>
    <row r="129" spans="1:23" hidden="1">
      <c r="A129">
        <v>3620946231</v>
      </c>
      <c r="B129">
        <v>57240262</v>
      </c>
      <c r="C129" s="36" t="s">
        <v>750</v>
      </c>
      <c r="D129" s="37">
        <v>41975.342488425929</v>
      </c>
      <c r="E129" s="37">
        <v>41975.345393518517</v>
      </c>
      <c r="F129">
        <v>1</v>
      </c>
      <c r="H129">
        <v>3</v>
      </c>
      <c r="O129">
        <v>10</v>
      </c>
      <c r="Q129">
        <v>12</v>
      </c>
      <c r="W129" s="47"/>
    </row>
    <row r="130" spans="1:23" hidden="1">
      <c r="A130">
        <v>3620957575</v>
      </c>
      <c r="B130">
        <v>57240262</v>
      </c>
      <c r="C130" s="36" t="s">
        <v>751</v>
      </c>
      <c r="D130" s="37">
        <v>41975.350428240738</v>
      </c>
      <c r="E130" s="37">
        <v>41975.354074074072</v>
      </c>
      <c r="U130">
        <v>16</v>
      </c>
      <c r="W130" s="47"/>
    </row>
    <row r="131" spans="1:23" ht="24">
      <c r="A131">
        <v>3620960128</v>
      </c>
      <c r="B131">
        <v>57240262</v>
      </c>
      <c r="C131" s="36" t="s">
        <v>752</v>
      </c>
      <c r="D131" s="37">
        <v>41975.352175925924</v>
      </c>
      <c r="E131" s="37">
        <v>41975.357465277775</v>
      </c>
      <c r="H131">
        <v>3</v>
      </c>
      <c r="O131">
        <v>10</v>
      </c>
      <c r="V131" s="42" t="s">
        <v>7</v>
      </c>
      <c r="W131" s="47">
        <v>4</v>
      </c>
    </row>
    <row r="132" spans="1:23" hidden="1">
      <c r="A132">
        <v>3620968173</v>
      </c>
      <c r="B132">
        <v>57240262</v>
      </c>
      <c r="C132" s="36" t="s">
        <v>753</v>
      </c>
      <c r="D132" s="37">
        <v>41975.357581018521</v>
      </c>
      <c r="E132" s="37">
        <v>41975.362083333333</v>
      </c>
      <c r="O132">
        <v>10</v>
      </c>
      <c r="R132">
        <v>13</v>
      </c>
      <c r="S132">
        <v>14</v>
      </c>
      <c r="W132" s="47"/>
    </row>
    <row r="133" spans="1:23" hidden="1">
      <c r="A133">
        <v>3620978157</v>
      </c>
      <c r="B133">
        <v>57240262</v>
      </c>
      <c r="C133" s="36" t="s">
        <v>754</v>
      </c>
      <c r="D133" s="37">
        <v>41975.363368055558</v>
      </c>
      <c r="E133" s="37">
        <v>41975.365682870368</v>
      </c>
      <c r="H133">
        <v>3</v>
      </c>
      <c r="W133" s="47"/>
    </row>
    <row r="134" spans="1:23" hidden="1">
      <c r="A134">
        <v>3620970359</v>
      </c>
      <c r="B134">
        <v>57240262</v>
      </c>
      <c r="C134" s="36" t="s">
        <v>356</v>
      </c>
      <c r="D134" s="37">
        <v>41975.358541666668</v>
      </c>
      <c r="E134" s="37">
        <v>41975.370092592595</v>
      </c>
      <c r="O134">
        <v>10</v>
      </c>
      <c r="W134" s="47"/>
    </row>
    <row r="135" spans="1:23" hidden="1">
      <c r="A135">
        <v>3620994345</v>
      </c>
      <c r="B135">
        <v>57240262</v>
      </c>
      <c r="C135" s="36" t="s">
        <v>755</v>
      </c>
      <c r="D135" s="37">
        <v>41975.373090277775</v>
      </c>
      <c r="E135" s="37">
        <v>41975.376157407409</v>
      </c>
      <c r="F135">
        <v>1</v>
      </c>
      <c r="G135">
        <v>2</v>
      </c>
      <c r="W135" s="47"/>
    </row>
    <row r="136" spans="1:23">
      <c r="A136">
        <v>3620994984</v>
      </c>
      <c r="B136">
        <v>57240262</v>
      </c>
      <c r="C136" s="36" t="s">
        <v>756</v>
      </c>
      <c r="D136" s="37">
        <v>41975.374097222222</v>
      </c>
      <c r="E136" s="37">
        <v>41975.379236111112</v>
      </c>
      <c r="F136">
        <v>1</v>
      </c>
      <c r="G136">
        <v>2</v>
      </c>
      <c r="I136">
        <v>4</v>
      </c>
      <c r="K136">
        <v>6</v>
      </c>
      <c r="V136" s="42" t="s">
        <v>101</v>
      </c>
      <c r="W136" s="47">
        <v>1</v>
      </c>
    </row>
    <row r="137" spans="1:23" hidden="1">
      <c r="A137">
        <v>3621027165</v>
      </c>
      <c r="B137">
        <v>57240262</v>
      </c>
      <c r="C137" s="36" t="s">
        <v>2291</v>
      </c>
      <c r="D137" s="37">
        <v>41975.391840277778</v>
      </c>
      <c r="E137" s="37">
        <v>41975.392314814817</v>
      </c>
      <c r="W137" s="47"/>
    </row>
    <row r="138" spans="1:23" hidden="1">
      <c r="A138">
        <v>3621035056</v>
      </c>
      <c r="B138">
        <v>57240262</v>
      </c>
      <c r="C138" s="36" t="s">
        <v>2292</v>
      </c>
      <c r="D138" s="37">
        <v>41975.396099537036</v>
      </c>
      <c r="E138" s="37">
        <v>41975.396898148145</v>
      </c>
      <c r="W138" s="47"/>
    </row>
    <row r="139" spans="1:23" hidden="1">
      <c r="A139">
        <v>3621036584</v>
      </c>
      <c r="B139">
        <v>57240262</v>
      </c>
      <c r="C139" s="36" t="s">
        <v>373</v>
      </c>
      <c r="D139" s="37">
        <v>41975.397002314814</v>
      </c>
      <c r="E139" s="37">
        <v>41975.404236111113</v>
      </c>
      <c r="N139">
        <v>9</v>
      </c>
      <c r="W139" s="47"/>
    </row>
    <row r="140" spans="1:23" hidden="1">
      <c r="A140">
        <v>3621043833</v>
      </c>
      <c r="B140">
        <v>57240262</v>
      </c>
      <c r="C140" s="36" t="s">
        <v>371</v>
      </c>
      <c r="D140" s="37">
        <v>41975.400833333333</v>
      </c>
      <c r="E140" s="37">
        <v>41975.405486111114</v>
      </c>
      <c r="F140">
        <v>1</v>
      </c>
      <c r="G140">
        <v>2</v>
      </c>
      <c r="O140">
        <v>10</v>
      </c>
      <c r="W140" s="47"/>
    </row>
    <row r="141" spans="1:23" hidden="1">
      <c r="A141">
        <v>3621040026</v>
      </c>
      <c r="B141">
        <v>57240262</v>
      </c>
      <c r="C141" s="36" t="s">
        <v>372</v>
      </c>
      <c r="D141" s="37">
        <v>41975.398645833331</v>
      </c>
      <c r="E141" s="37">
        <v>41975.405798611115</v>
      </c>
      <c r="U141">
        <v>16</v>
      </c>
      <c r="W141" s="47"/>
    </row>
    <row r="142" spans="1:23">
      <c r="A142">
        <v>3621059430</v>
      </c>
      <c r="B142">
        <v>57240262</v>
      </c>
      <c r="C142" s="36" t="s">
        <v>370</v>
      </c>
      <c r="D142" s="37">
        <v>41975.40892361111</v>
      </c>
      <c r="E142" s="37">
        <v>41975.411863425928</v>
      </c>
      <c r="I142">
        <v>4</v>
      </c>
      <c r="M142">
        <v>8</v>
      </c>
      <c r="N142">
        <v>9</v>
      </c>
      <c r="V142" s="42" t="s">
        <v>246</v>
      </c>
      <c r="W142" s="47">
        <v>8</v>
      </c>
    </row>
    <row r="143" spans="1:23" hidden="1">
      <c r="A143">
        <v>3621036112</v>
      </c>
      <c r="B143">
        <v>57240262</v>
      </c>
      <c r="C143" s="36" t="s">
        <v>757</v>
      </c>
      <c r="D143" s="37">
        <v>41975.396145833336</v>
      </c>
      <c r="E143" s="37">
        <v>41975.417025462964</v>
      </c>
      <c r="U143">
        <v>16</v>
      </c>
      <c r="W143" s="47"/>
    </row>
    <row r="144" spans="1:23">
      <c r="A144">
        <v>3621063789</v>
      </c>
      <c r="B144">
        <v>57240262</v>
      </c>
      <c r="C144" s="36" t="s">
        <v>758</v>
      </c>
      <c r="D144" s="37">
        <v>41975.411527777775</v>
      </c>
      <c r="E144" s="37">
        <v>41975.417696759258</v>
      </c>
      <c r="F144">
        <v>1</v>
      </c>
      <c r="G144">
        <v>2</v>
      </c>
      <c r="O144">
        <v>10</v>
      </c>
      <c r="R144">
        <v>13</v>
      </c>
      <c r="V144" s="42" t="s">
        <v>245</v>
      </c>
      <c r="W144" s="47">
        <v>15</v>
      </c>
    </row>
    <row r="145" spans="1:23" hidden="1">
      <c r="A145">
        <v>3621083950</v>
      </c>
      <c r="B145">
        <v>57240262</v>
      </c>
      <c r="C145" s="36" t="s">
        <v>759</v>
      </c>
      <c r="D145" s="37">
        <v>41975.421979166669</v>
      </c>
      <c r="E145" s="37">
        <v>41975.42763888889</v>
      </c>
      <c r="J145">
        <v>5</v>
      </c>
      <c r="W145" s="47"/>
    </row>
    <row r="146" spans="1:23" hidden="1">
      <c r="A146">
        <v>3621085795</v>
      </c>
      <c r="B146">
        <v>57240262</v>
      </c>
      <c r="C146" s="36" t="s">
        <v>760</v>
      </c>
      <c r="D146" s="37">
        <v>41975.422986111109</v>
      </c>
      <c r="E146" s="37">
        <v>41975.428993055553</v>
      </c>
      <c r="U146">
        <v>16</v>
      </c>
      <c r="W146" s="47"/>
    </row>
    <row r="147" spans="1:23" hidden="1">
      <c r="A147">
        <v>3621096677</v>
      </c>
      <c r="B147">
        <v>57240262</v>
      </c>
      <c r="C147" s="36" t="s">
        <v>761</v>
      </c>
      <c r="D147" s="37">
        <v>41975.428703703707</v>
      </c>
      <c r="E147" s="37">
        <v>41975.429444444446</v>
      </c>
      <c r="S147">
        <v>14</v>
      </c>
      <c r="W147" s="47"/>
    </row>
    <row r="148" spans="1:23">
      <c r="A148">
        <v>3621097200</v>
      </c>
      <c r="B148">
        <v>57240262</v>
      </c>
      <c r="C148" s="36" t="s">
        <v>762</v>
      </c>
      <c r="D148" s="37">
        <v>41975.428773148145</v>
      </c>
      <c r="E148" s="37">
        <v>41975.449837962966</v>
      </c>
      <c r="K148">
        <v>6</v>
      </c>
      <c r="O148">
        <v>10</v>
      </c>
      <c r="P148">
        <v>11</v>
      </c>
      <c r="Q148">
        <v>12</v>
      </c>
      <c r="V148" s="42" t="s">
        <v>244</v>
      </c>
      <c r="W148" s="47">
        <v>6</v>
      </c>
    </row>
    <row r="149" spans="1:23" hidden="1">
      <c r="A149">
        <v>3621130343</v>
      </c>
      <c r="B149">
        <v>57240262</v>
      </c>
      <c r="C149" s="36" t="s">
        <v>402</v>
      </c>
      <c r="D149" s="37">
        <v>41975.446215277778</v>
      </c>
      <c r="E149" s="37">
        <v>41975.450486111113</v>
      </c>
      <c r="F149">
        <v>1</v>
      </c>
      <c r="W149" s="47"/>
    </row>
    <row r="150" spans="1:23">
      <c r="A150">
        <v>3621152485</v>
      </c>
      <c r="B150">
        <v>57240262</v>
      </c>
      <c r="C150" s="36" t="s">
        <v>763</v>
      </c>
      <c r="D150" s="37">
        <v>41975.457696759258</v>
      </c>
      <c r="E150" s="37">
        <v>41975.462870370371</v>
      </c>
      <c r="F150">
        <v>1</v>
      </c>
      <c r="G150">
        <v>2</v>
      </c>
      <c r="K150">
        <v>6</v>
      </c>
      <c r="V150" s="42" t="s">
        <v>84</v>
      </c>
      <c r="W150" s="47">
        <v>1</v>
      </c>
    </row>
    <row r="151" spans="1:23" hidden="1">
      <c r="A151">
        <v>3621139113</v>
      </c>
      <c r="B151">
        <v>57240262</v>
      </c>
      <c r="C151" s="36" t="s">
        <v>401</v>
      </c>
      <c r="D151" s="37">
        <v>41975.449328703704</v>
      </c>
      <c r="E151" s="37">
        <v>41975.464687500003</v>
      </c>
      <c r="U151">
        <v>16</v>
      </c>
      <c r="W151" s="47"/>
    </row>
    <row r="152" spans="1:23" hidden="1">
      <c r="A152">
        <v>3621167441</v>
      </c>
      <c r="B152">
        <v>57240262</v>
      </c>
      <c r="C152" s="36" t="s">
        <v>764</v>
      </c>
      <c r="D152" s="37">
        <v>41975.465243055558</v>
      </c>
      <c r="E152" s="37">
        <v>41975.466851851852</v>
      </c>
      <c r="U152">
        <v>16</v>
      </c>
      <c r="W152" s="47"/>
    </row>
    <row r="153" spans="1:23" hidden="1">
      <c r="A153">
        <v>3621175499</v>
      </c>
      <c r="B153">
        <v>57240262</v>
      </c>
      <c r="C153" s="36" t="s">
        <v>766</v>
      </c>
      <c r="D153" s="37">
        <v>41975.469097222223</v>
      </c>
      <c r="E153" s="37">
        <v>41975.469618055555</v>
      </c>
      <c r="W153" s="47"/>
    </row>
    <row r="154" spans="1:23" hidden="1">
      <c r="A154">
        <v>3621193626</v>
      </c>
      <c r="B154">
        <v>57240262</v>
      </c>
      <c r="C154" s="36" t="s">
        <v>765</v>
      </c>
      <c r="D154" s="37">
        <v>41975.477476851855</v>
      </c>
      <c r="E154" s="37">
        <v>41975.47828703704</v>
      </c>
      <c r="U154">
        <v>16</v>
      </c>
      <c r="W154" s="47"/>
    </row>
    <row r="155" spans="1:23" hidden="1">
      <c r="A155">
        <v>3621197513</v>
      </c>
      <c r="B155">
        <v>57240262</v>
      </c>
      <c r="C155" s="36" t="s">
        <v>2293</v>
      </c>
      <c r="D155" s="37">
        <v>41975.479409722226</v>
      </c>
      <c r="E155" s="37">
        <v>41975.48</v>
      </c>
      <c r="W155" s="47"/>
    </row>
    <row r="156" spans="1:23" hidden="1">
      <c r="A156">
        <v>3621190027</v>
      </c>
      <c r="B156">
        <v>57240262</v>
      </c>
      <c r="C156" s="36" t="s">
        <v>2294</v>
      </c>
      <c r="D156" s="37">
        <v>41975.475254629629</v>
      </c>
      <c r="E156" s="37">
        <v>41975.48096064815</v>
      </c>
      <c r="F156">
        <v>1</v>
      </c>
      <c r="G156">
        <v>2</v>
      </c>
      <c r="I156">
        <v>4</v>
      </c>
      <c r="R156">
        <v>13</v>
      </c>
      <c r="S156">
        <v>14</v>
      </c>
      <c r="W156" s="47"/>
    </row>
    <row r="157" spans="1:23" hidden="1">
      <c r="A157">
        <v>3621194325</v>
      </c>
      <c r="B157">
        <v>57240262</v>
      </c>
      <c r="C157" s="36" t="s">
        <v>767</v>
      </c>
      <c r="D157" s="37">
        <v>41975.477534722224</v>
      </c>
      <c r="E157" s="37">
        <v>41975.484143518515</v>
      </c>
      <c r="G157">
        <v>2</v>
      </c>
      <c r="M157">
        <v>8</v>
      </c>
      <c r="W157" s="47"/>
    </row>
    <row r="158" spans="1:23" hidden="1">
      <c r="A158">
        <v>3621209148</v>
      </c>
      <c r="B158">
        <v>57240262</v>
      </c>
      <c r="C158" s="36" t="s">
        <v>418</v>
      </c>
      <c r="D158" s="37">
        <v>41975.484479166669</v>
      </c>
      <c r="E158" s="37">
        <v>41975.48574074074</v>
      </c>
      <c r="U158">
        <v>16</v>
      </c>
      <c r="W158" s="47"/>
    </row>
    <row r="159" spans="1:23" hidden="1">
      <c r="A159">
        <v>3621204866</v>
      </c>
      <c r="B159">
        <v>57240262</v>
      </c>
      <c r="C159" s="36" t="s">
        <v>768</v>
      </c>
      <c r="D159" s="37">
        <v>41975.482754629629</v>
      </c>
      <c r="E159" s="37">
        <v>41975.485833333332</v>
      </c>
      <c r="N159">
        <v>9</v>
      </c>
      <c r="W159" s="47"/>
    </row>
    <row r="160" spans="1:23" ht="24">
      <c r="A160">
        <v>3621145205</v>
      </c>
      <c r="B160">
        <v>57240262</v>
      </c>
      <c r="C160" s="36" t="s">
        <v>400</v>
      </c>
      <c r="D160" s="37">
        <v>41975.453090277777</v>
      </c>
      <c r="E160" s="37">
        <v>41975.486122685186</v>
      </c>
      <c r="F160">
        <v>1</v>
      </c>
      <c r="M160">
        <v>8</v>
      </c>
      <c r="R160">
        <v>13</v>
      </c>
      <c r="V160" s="42" t="s">
        <v>243</v>
      </c>
      <c r="W160" s="47">
        <v>13</v>
      </c>
    </row>
    <row r="161" spans="1:23" hidden="1">
      <c r="A161">
        <v>3621211370</v>
      </c>
      <c r="B161">
        <v>57240262</v>
      </c>
      <c r="C161" s="36" t="s">
        <v>769</v>
      </c>
      <c r="D161" s="37">
        <v>41975.485648148147</v>
      </c>
      <c r="E161" s="37">
        <v>41975.487199074072</v>
      </c>
      <c r="U161">
        <v>16</v>
      </c>
      <c r="W161" s="47"/>
    </row>
    <row r="162" spans="1:23" hidden="1">
      <c r="A162">
        <v>3621210777</v>
      </c>
      <c r="B162">
        <v>57240262</v>
      </c>
      <c r="C162" s="36" t="s">
        <v>417</v>
      </c>
      <c r="D162" s="37">
        <v>41975.485509259262</v>
      </c>
      <c r="E162" s="37">
        <v>41975.490648148145</v>
      </c>
      <c r="Q162">
        <v>12</v>
      </c>
      <c r="W162" s="47"/>
    </row>
    <row r="163" spans="1:23" hidden="1">
      <c r="A163">
        <v>3621211709</v>
      </c>
      <c r="B163">
        <v>57240262</v>
      </c>
      <c r="C163" s="36" t="s">
        <v>770</v>
      </c>
      <c r="D163" s="37">
        <v>41975.485972222225</v>
      </c>
      <c r="E163" s="37">
        <v>41975.491863425923</v>
      </c>
      <c r="U163">
        <v>16</v>
      </c>
      <c r="W163" s="47"/>
    </row>
    <row r="164" spans="1:23" hidden="1">
      <c r="A164">
        <v>3621257074</v>
      </c>
      <c r="B164">
        <v>57240262</v>
      </c>
      <c r="C164" s="36" t="s">
        <v>771</v>
      </c>
      <c r="D164" s="37">
        <v>41975.506041666667</v>
      </c>
      <c r="E164" s="37">
        <v>41975.510451388887</v>
      </c>
      <c r="I164">
        <v>4</v>
      </c>
      <c r="W164" s="47"/>
    </row>
    <row r="165" spans="1:23" hidden="1">
      <c r="A165">
        <v>3621280718</v>
      </c>
      <c r="B165">
        <v>57240262</v>
      </c>
      <c r="C165" s="36" t="s">
        <v>2295</v>
      </c>
      <c r="D165" s="37">
        <v>41975.515462962961</v>
      </c>
      <c r="E165" s="37">
        <v>41975.516273148147</v>
      </c>
      <c r="W165" s="47"/>
    </row>
    <row r="166" spans="1:23" hidden="1">
      <c r="A166">
        <v>3621283718</v>
      </c>
      <c r="B166">
        <v>57240262</v>
      </c>
      <c r="C166" s="36" t="s">
        <v>772</v>
      </c>
      <c r="D166" s="37">
        <v>41975.516921296294</v>
      </c>
      <c r="E166" s="37">
        <v>41975.526550925926</v>
      </c>
      <c r="K166">
        <v>6</v>
      </c>
      <c r="W166" s="47"/>
    </row>
    <row r="167" spans="1:23" hidden="1">
      <c r="A167">
        <v>3621299499</v>
      </c>
      <c r="B167">
        <v>57240262</v>
      </c>
      <c r="C167" s="36" t="s">
        <v>432</v>
      </c>
      <c r="D167" s="37">
        <v>41975.523275462961</v>
      </c>
      <c r="E167" s="37">
        <v>41975.527442129627</v>
      </c>
      <c r="U167">
        <v>16</v>
      </c>
      <c r="W167" s="47"/>
    </row>
    <row r="168" spans="1:23" hidden="1">
      <c r="A168">
        <v>3621298410</v>
      </c>
      <c r="B168">
        <v>57240262</v>
      </c>
      <c r="C168" s="36" t="s">
        <v>773</v>
      </c>
      <c r="D168" s="37">
        <v>41975.522847222222</v>
      </c>
      <c r="E168" s="37">
        <v>41975.530972222223</v>
      </c>
      <c r="P168">
        <v>11</v>
      </c>
      <c r="W168" s="47"/>
    </row>
    <row r="169" spans="1:23" hidden="1">
      <c r="A169">
        <v>3621323681</v>
      </c>
      <c r="B169">
        <v>57240262</v>
      </c>
      <c r="C169" s="36" t="s">
        <v>774</v>
      </c>
      <c r="D169" s="37">
        <v>41975.532060185185</v>
      </c>
      <c r="E169" s="37">
        <v>41975.539293981485</v>
      </c>
      <c r="M169">
        <v>8</v>
      </c>
      <c r="W169" s="47"/>
    </row>
    <row r="170" spans="1:23" hidden="1">
      <c r="A170">
        <v>3621336373</v>
      </c>
      <c r="B170">
        <v>57240262</v>
      </c>
      <c r="C170" s="36" t="s">
        <v>775</v>
      </c>
      <c r="D170" s="37">
        <v>41975.536087962966</v>
      </c>
      <c r="E170" s="37">
        <v>41975.544027777774</v>
      </c>
      <c r="G170">
        <v>2</v>
      </c>
      <c r="O170">
        <v>10</v>
      </c>
      <c r="W170" s="47"/>
    </row>
    <row r="171" spans="1:23" hidden="1">
      <c r="A171">
        <v>3621337926</v>
      </c>
      <c r="B171">
        <v>57240262</v>
      </c>
      <c r="C171" s="36" t="s">
        <v>440</v>
      </c>
      <c r="D171" s="37">
        <v>41975.537731481483</v>
      </c>
      <c r="E171" s="37">
        <v>41975.544444444444</v>
      </c>
      <c r="F171">
        <v>1</v>
      </c>
      <c r="W171" s="47"/>
    </row>
    <row r="172" spans="1:23" hidden="1">
      <c r="A172">
        <v>3621360159</v>
      </c>
      <c r="B172">
        <v>57240262</v>
      </c>
      <c r="C172" s="36" t="s">
        <v>776</v>
      </c>
      <c r="D172" s="37">
        <v>41975.545868055553</v>
      </c>
      <c r="E172" s="37">
        <v>41975.548692129632</v>
      </c>
      <c r="G172">
        <v>2</v>
      </c>
      <c r="W172" s="47"/>
    </row>
    <row r="173" spans="1:23" hidden="1">
      <c r="A173">
        <v>3621358524</v>
      </c>
      <c r="B173">
        <v>57240262</v>
      </c>
      <c r="C173" s="36" t="s">
        <v>438</v>
      </c>
      <c r="D173" s="37">
        <v>41975.545231481483</v>
      </c>
      <c r="E173" s="37">
        <v>41975.550856481481</v>
      </c>
      <c r="U173">
        <v>16</v>
      </c>
      <c r="W173" s="47"/>
    </row>
    <row r="174" spans="1:23" hidden="1">
      <c r="A174">
        <v>3621357631</v>
      </c>
      <c r="B174">
        <v>57240262</v>
      </c>
      <c r="C174" s="36" t="s">
        <v>439</v>
      </c>
      <c r="D174" s="37">
        <v>41975.545057870368</v>
      </c>
      <c r="E174" s="37">
        <v>41975.552233796298</v>
      </c>
      <c r="U174">
        <v>16</v>
      </c>
      <c r="W174" s="47"/>
    </row>
    <row r="175" spans="1:23" hidden="1">
      <c r="A175">
        <v>3621385116</v>
      </c>
      <c r="B175">
        <v>57240262</v>
      </c>
      <c r="C175" s="36" t="s">
        <v>777</v>
      </c>
      <c r="D175" s="37">
        <v>41975.554444444446</v>
      </c>
      <c r="E175" s="37">
        <v>41975.558344907404</v>
      </c>
      <c r="F175">
        <v>1</v>
      </c>
      <c r="M175">
        <v>8</v>
      </c>
      <c r="Q175">
        <v>12</v>
      </c>
      <c r="W175" s="47"/>
    </row>
    <row r="176" spans="1:23" hidden="1">
      <c r="A176">
        <v>3621401330</v>
      </c>
      <c r="B176">
        <v>57240262</v>
      </c>
      <c r="C176" s="36" t="s">
        <v>444</v>
      </c>
      <c r="D176" s="37">
        <v>41975.559872685182</v>
      </c>
      <c r="E176" s="37">
        <v>41975.56177083333</v>
      </c>
      <c r="U176">
        <v>16</v>
      </c>
      <c r="W176" s="47"/>
    </row>
    <row r="177" spans="1:23">
      <c r="A177">
        <v>3621382238</v>
      </c>
      <c r="B177">
        <v>57240262</v>
      </c>
      <c r="C177" s="36" t="s">
        <v>531</v>
      </c>
      <c r="D177" s="37">
        <v>41975.552870370368</v>
      </c>
      <c r="E177" s="37">
        <v>41975.562835648147</v>
      </c>
      <c r="F177">
        <v>1</v>
      </c>
      <c r="H177">
        <v>3</v>
      </c>
      <c r="K177">
        <v>6</v>
      </c>
      <c r="V177" s="42" t="s">
        <v>242</v>
      </c>
      <c r="W177" s="47">
        <v>3</v>
      </c>
    </row>
    <row r="178" spans="1:23" hidden="1">
      <c r="A178">
        <v>3621396122</v>
      </c>
      <c r="B178">
        <v>57240262</v>
      </c>
      <c r="C178" s="36" t="s">
        <v>778</v>
      </c>
      <c r="D178" s="37">
        <v>41975.55804398148</v>
      </c>
      <c r="E178" s="37">
        <v>41975.563692129632</v>
      </c>
      <c r="U178">
        <v>16</v>
      </c>
      <c r="W178" s="47"/>
    </row>
    <row r="179" spans="1:23" hidden="1">
      <c r="A179">
        <v>3621395016</v>
      </c>
      <c r="B179">
        <v>57240262</v>
      </c>
      <c r="C179" s="36" t="s">
        <v>601</v>
      </c>
      <c r="D179" s="37">
        <v>41975.55704861111</v>
      </c>
      <c r="E179" s="37">
        <v>41975.563877314817</v>
      </c>
      <c r="L179">
        <v>7</v>
      </c>
      <c r="O179">
        <v>10</v>
      </c>
      <c r="W179" s="47"/>
    </row>
    <row r="180" spans="1:23" hidden="1">
      <c r="A180">
        <v>3621420232</v>
      </c>
      <c r="B180">
        <v>57240262</v>
      </c>
      <c r="C180" s="36" t="s">
        <v>779</v>
      </c>
      <c r="D180" s="37">
        <v>41975.565613425926</v>
      </c>
      <c r="E180" s="37">
        <v>41975.567025462966</v>
      </c>
      <c r="G180">
        <v>2</v>
      </c>
      <c r="W180" s="47"/>
    </row>
    <row r="181" spans="1:23" hidden="1">
      <c r="A181">
        <v>3621417259</v>
      </c>
      <c r="B181">
        <v>57240262</v>
      </c>
      <c r="C181" s="36" t="s">
        <v>443</v>
      </c>
      <c r="D181" s="37">
        <v>41975.56454861111</v>
      </c>
      <c r="E181" s="37">
        <v>41975.570069444446</v>
      </c>
      <c r="U181">
        <v>16</v>
      </c>
      <c r="W181" s="47"/>
    </row>
    <row r="182" spans="1:23" hidden="1">
      <c r="A182">
        <v>3621429994</v>
      </c>
      <c r="B182">
        <v>57240262</v>
      </c>
      <c r="C182" s="36" t="s">
        <v>780</v>
      </c>
      <c r="D182" s="37">
        <v>41975.568611111114</v>
      </c>
      <c r="E182" s="37">
        <v>41975.571979166663</v>
      </c>
      <c r="U182">
        <v>16</v>
      </c>
      <c r="W182" s="47"/>
    </row>
    <row r="183" spans="1:23" hidden="1">
      <c r="A183">
        <v>3621421939</v>
      </c>
      <c r="B183">
        <v>57240262</v>
      </c>
      <c r="C183" s="36" t="s">
        <v>449</v>
      </c>
      <c r="D183" s="37">
        <v>41975.565960648149</v>
      </c>
      <c r="E183" s="37">
        <v>41975.572835648149</v>
      </c>
      <c r="K183">
        <v>6</v>
      </c>
      <c r="M183">
        <v>8</v>
      </c>
      <c r="N183">
        <v>9</v>
      </c>
      <c r="W183" s="47"/>
    </row>
    <row r="184" spans="1:23" hidden="1">
      <c r="A184">
        <v>3621442701</v>
      </c>
      <c r="B184">
        <v>57240262</v>
      </c>
      <c r="C184" s="36" t="s">
        <v>781</v>
      </c>
      <c r="D184" s="37">
        <v>41975.572395833333</v>
      </c>
      <c r="E184" s="37">
        <v>41975.575891203705</v>
      </c>
      <c r="U184">
        <v>16</v>
      </c>
      <c r="W184" s="47"/>
    </row>
    <row r="185" spans="1:23" hidden="1">
      <c r="A185">
        <v>3621449873</v>
      </c>
      <c r="B185">
        <v>57240262</v>
      </c>
      <c r="C185" s="36" t="s">
        <v>782</v>
      </c>
      <c r="D185" s="37">
        <v>41975.57471064815</v>
      </c>
      <c r="E185" s="37">
        <v>41975.577361111114</v>
      </c>
      <c r="U185">
        <v>16</v>
      </c>
      <c r="W185" s="47"/>
    </row>
    <row r="186" spans="1:23" hidden="1">
      <c r="A186">
        <v>3621458265</v>
      </c>
      <c r="B186">
        <v>57240262</v>
      </c>
      <c r="C186" s="36" t="s">
        <v>783</v>
      </c>
      <c r="D186" s="37">
        <v>41975.577233796299</v>
      </c>
      <c r="E186" s="37">
        <v>41975.580706018518</v>
      </c>
      <c r="M186">
        <v>8</v>
      </c>
      <c r="W186" s="47"/>
    </row>
    <row r="187" spans="1:23" hidden="1">
      <c r="A187">
        <v>3621473577</v>
      </c>
      <c r="B187">
        <v>57240262</v>
      </c>
      <c r="C187" s="36" t="s">
        <v>2296</v>
      </c>
      <c r="D187" s="37">
        <v>41975.581562500003</v>
      </c>
      <c r="E187" s="37">
        <v>41975.582349537035</v>
      </c>
      <c r="W187" s="47"/>
    </row>
    <row r="188" spans="1:23" hidden="1">
      <c r="A188">
        <v>3621465312</v>
      </c>
      <c r="B188">
        <v>57240262</v>
      </c>
      <c r="C188" s="36" t="s">
        <v>454</v>
      </c>
      <c r="D188" s="37">
        <v>41975.578819444447</v>
      </c>
      <c r="E188" s="37">
        <v>41975.585520833331</v>
      </c>
      <c r="U188">
        <v>16</v>
      </c>
      <c r="W188" s="47"/>
    </row>
    <row r="189" spans="1:23" hidden="1">
      <c r="A189">
        <v>3621500541</v>
      </c>
      <c r="B189">
        <v>57240262</v>
      </c>
      <c r="C189" s="36" t="s">
        <v>784</v>
      </c>
      <c r="D189" s="37">
        <v>41975.589085648149</v>
      </c>
      <c r="E189" s="37">
        <v>41975.598449074074</v>
      </c>
      <c r="U189">
        <v>16</v>
      </c>
      <c r="W189" s="47"/>
    </row>
    <row r="190" spans="1:23" hidden="1">
      <c r="A190">
        <v>3621548872</v>
      </c>
      <c r="B190">
        <v>57240262</v>
      </c>
      <c r="C190" s="36" t="s">
        <v>785</v>
      </c>
      <c r="D190" s="37">
        <v>41975.601643518516</v>
      </c>
      <c r="E190" s="37">
        <v>41975.604131944441</v>
      </c>
      <c r="U190">
        <v>16</v>
      </c>
      <c r="W190" s="47"/>
    </row>
    <row r="191" spans="1:23" hidden="1">
      <c r="A191">
        <v>3621570310</v>
      </c>
      <c r="B191">
        <v>57240262</v>
      </c>
      <c r="C191" s="36" t="s">
        <v>786</v>
      </c>
      <c r="D191" s="37">
        <v>41975.607025462959</v>
      </c>
      <c r="E191" s="37">
        <v>41975.610717592594</v>
      </c>
      <c r="U191">
        <v>16</v>
      </c>
      <c r="W191" s="47"/>
    </row>
    <row r="192" spans="1:23">
      <c r="A192">
        <v>3621422218</v>
      </c>
      <c r="B192">
        <v>57240262</v>
      </c>
      <c r="C192" s="36" t="s">
        <v>448</v>
      </c>
      <c r="D192" s="37">
        <v>41975.565983796296</v>
      </c>
      <c r="E192" s="37">
        <v>41975.612268518518</v>
      </c>
      <c r="F192">
        <v>1</v>
      </c>
      <c r="J192">
        <v>5</v>
      </c>
      <c r="K192">
        <v>6</v>
      </c>
      <c r="V192" s="42" t="s">
        <v>231</v>
      </c>
      <c r="W192" s="47">
        <v>6</v>
      </c>
    </row>
    <row r="193" spans="1:23" hidden="1">
      <c r="A193">
        <v>3621597556</v>
      </c>
      <c r="B193">
        <v>57240262</v>
      </c>
      <c r="C193" s="36" t="s">
        <v>787</v>
      </c>
      <c r="D193" s="37">
        <v>41975.611944444441</v>
      </c>
      <c r="E193" s="37">
        <v>41975.618935185186</v>
      </c>
      <c r="F193">
        <v>1</v>
      </c>
      <c r="G193">
        <v>2</v>
      </c>
      <c r="M193">
        <v>8</v>
      </c>
      <c r="N193">
        <v>9</v>
      </c>
      <c r="O193">
        <v>10</v>
      </c>
      <c r="W193" s="47"/>
    </row>
    <row r="194" spans="1:23" hidden="1">
      <c r="A194">
        <v>3621636456</v>
      </c>
      <c r="B194">
        <v>57240262</v>
      </c>
      <c r="C194" s="36" t="s">
        <v>2297</v>
      </c>
      <c r="D194" s="37">
        <v>41975.623078703706</v>
      </c>
      <c r="E194" s="37">
        <v>41975.623645833337</v>
      </c>
      <c r="W194" s="47"/>
    </row>
    <row r="195" spans="1:23" hidden="1">
      <c r="A195">
        <v>3621626197</v>
      </c>
      <c r="B195">
        <v>57240262</v>
      </c>
      <c r="C195" s="36" t="s">
        <v>464</v>
      </c>
      <c r="D195" s="37">
        <v>41975.614895833336</v>
      </c>
      <c r="E195" s="37">
        <v>41975.624571759261</v>
      </c>
      <c r="I195">
        <v>4</v>
      </c>
      <c r="W195" s="47"/>
    </row>
    <row r="196" spans="1:23" hidden="1">
      <c r="A196">
        <v>3621607320</v>
      </c>
      <c r="B196">
        <v>57240262</v>
      </c>
      <c r="C196" s="36" t="s">
        <v>465</v>
      </c>
      <c r="D196" s="37">
        <v>41975.616030092591</v>
      </c>
      <c r="E196" s="37">
        <v>41975.624756944446</v>
      </c>
      <c r="K196">
        <v>6</v>
      </c>
      <c r="O196">
        <v>10</v>
      </c>
      <c r="W196" s="47"/>
    </row>
    <row r="197" spans="1:23" hidden="1">
      <c r="A197">
        <v>3621633739</v>
      </c>
      <c r="B197">
        <v>57240262</v>
      </c>
      <c r="C197" s="36" t="s">
        <v>463</v>
      </c>
      <c r="D197" s="37">
        <v>41975.62232638889</v>
      </c>
      <c r="E197" s="37">
        <v>41975.628449074073</v>
      </c>
      <c r="F197">
        <v>1</v>
      </c>
      <c r="W197" s="47"/>
    </row>
    <row r="198" spans="1:23" hidden="1">
      <c r="A198">
        <v>3621695017</v>
      </c>
      <c r="B198">
        <v>57240262</v>
      </c>
      <c r="C198" s="36" t="s">
        <v>788</v>
      </c>
      <c r="D198" s="37">
        <v>41975.636620370373</v>
      </c>
      <c r="E198" s="37">
        <v>41975.638124999998</v>
      </c>
      <c r="U198">
        <v>16</v>
      </c>
      <c r="W198" s="47"/>
    </row>
    <row r="199" spans="1:23" hidden="1">
      <c r="A199">
        <v>3621684810</v>
      </c>
      <c r="B199">
        <v>57240262</v>
      </c>
      <c r="C199" s="36" t="s">
        <v>534</v>
      </c>
      <c r="D199" s="37">
        <v>41975.634513888886</v>
      </c>
      <c r="E199" s="37">
        <v>41975.639953703707</v>
      </c>
      <c r="U199">
        <v>16</v>
      </c>
      <c r="W199" s="47"/>
    </row>
    <row r="200" spans="1:23" ht="24">
      <c r="A200">
        <v>3621737544</v>
      </c>
      <c r="B200">
        <v>57240262</v>
      </c>
      <c r="C200" s="36" t="s">
        <v>789</v>
      </c>
      <c r="D200" s="37">
        <v>41975.646956018521</v>
      </c>
      <c r="E200" s="37">
        <v>41975.651273148149</v>
      </c>
      <c r="J200">
        <v>5</v>
      </c>
      <c r="O200">
        <v>10</v>
      </c>
      <c r="V200" s="42" t="s">
        <v>241</v>
      </c>
      <c r="W200" s="47">
        <v>10</v>
      </c>
    </row>
    <row r="201" spans="1:23" hidden="1">
      <c r="A201">
        <v>3621750418</v>
      </c>
      <c r="B201">
        <v>57240262</v>
      </c>
      <c r="C201" s="36" t="s">
        <v>790</v>
      </c>
      <c r="D201" s="37">
        <v>41975.650034722225</v>
      </c>
      <c r="E201" s="37">
        <v>41975.65347222222</v>
      </c>
      <c r="F201">
        <v>1</v>
      </c>
      <c r="W201" s="47"/>
    </row>
    <row r="202" spans="1:23">
      <c r="A202">
        <v>3621747165</v>
      </c>
      <c r="B202">
        <v>57240262</v>
      </c>
      <c r="C202" s="36" t="s">
        <v>469</v>
      </c>
      <c r="D202" s="37">
        <v>41975.649050925924</v>
      </c>
      <c r="E202" s="37">
        <v>41975.660462962966</v>
      </c>
      <c r="Q202">
        <v>12</v>
      </c>
      <c r="R202">
        <v>13</v>
      </c>
      <c r="V202" s="42" t="s">
        <v>121</v>
      </c>
      <c r="W202" s="47">
        <v>13</v>
      </c>
    </row>
    <row r="203" spans="1:23">
      <c r="A203">
        <v>3621810851</v>
      </c>
      <c r="B203">
        <v>57240262</v>
      </c>
      <c r="C203" s="36" t="s">
        <v>791</v>
      </c>
      <c r="D203" s="37">
        <v>41975.6640625</v>
      </c>
      <c r="E203" s="37">
        <v>41975.666504629633</v>
      </c>
      <c r="F203">
        <v>1</v>
      </c>
      <c r="P203">
        <v>11</v>
      </c>
      <c r="S203">
        <v>14</v>
      </c>
      <c r="V203" s="42" t="s">
        <v>227</v>
      </c>
      <c r="W203" s="47">
        <v>11</v>
      </c>
    </row>
    <row r="204" spans="1:23" hidden="1">
      <c r="A204">
        <v>3621812395</v>
      </c>
      <c r="B204">
        <v>57240262</v>
      </c>
      <c r="C204" s="36" t="s">
        <v>792</v>
      </c>
      <c r="D204" s="37">
        <v>41975.664421296293</v>
      </c>
      <c r="E204" s="37">
        <v>41975.668356481481</v>
      </c>
      <c r="G204">
        <v>2</v>
      </c>
      <c r="W204" s="47"/>
    </row>
    <row r="205" spans="1:23" hidden="1">
      <c r="A205">
        <v>3621856999</v>
      </c>
      <c r="B205">
        <v>57240262</v>
      </c>
      <c r="C205" s="36" t="s">
        <v>2298</v>
      </c>
      <c r="D205" s="37">
        <v>41975.674872685187</v>
      </c>
      <c r="E205" s="37">
        <v>41975.676087962966</v>
      </c>
      <c r="W205" s="47"/>
    </row>
    <row r="206" spans="1:23">
      <c r="A206">
        <v>3621840962</v>
      </c>
      <c r="B206">
        <v>57240262</v>
      </c>
      <c r="C206" s="36" t="s">
        <v>470</v>
      </c>
      <c r="D206" s="37">
        <v>41975.671273148146</v>
      </c>
      <c r="E206" s="37">
        <v>41975.677349537036</v>
      </c>
      <c r="J206">
        <v>5</v>
      </c>
      <c r="Q206">
        <v>12</v>
      </c>
      <c r="V206" s="42" t="s">
        <v>233</v>
      </c>
      <c r="W206" s="47">
        <v>12</v>
      </c>
    </row>
    <row r="207" spans="1:23" hidden="1">
      <c r="A207">
        <v>3621845084</v>
      </c>
      <c r="B207">
        <v>57240262</v>
      </c>
      <c r="C207" s="36" t="s">
        <v>793</v>
      </c>
      <c r="D207" s="37">
        <v>41975.671909722223</v>
      </c>
      <c r="E207" s="37">
        <v>41975.678368055553</v>
      </c>
      <c r="F207">
        <v>1</v>
      </c>
      <c r="W207" s="47"/>
    </row>
    <row r="208" spans="1:23" hidden="1">
      <c r="A208">
        <v>3621872661</v>
      </c>
      <c r="B208">
        <v>57240262</v>
      </c>
      <c r="C208" s="36" t="s">
        <v>2299</v>
      </c>
      <c r="D208" s="37">
        <v>41975.678391203706</v>
      </c>
      <c r="E208" s="37">
        <v>41975.678888888891</v>
      </c>
      <c r="W208" s="47"/>
    </row>
    <row r="209" spans="1:23" hidden="1">
      <c r="A209">
        <v>3621802586</v>
      </c>
      <c r="B209">
        <v>57240262</v>
      </c>
      <c r="C209" s="36" t="s">
        <v>535</v>
      </c>
      <c r="D209" s="37">
        <v>41975.661608796298</v>
      </c>
      <c r="E209" s="37">
        <v>41975.679548611108</v>
      </c>
      <c r="M209">
        <v>8</v>
      </c>
      <c r="W209" s="47"/>
    </row>
    <row r="210" spans="1:23">
      <c r="A210">
        <v>3621860866</v>
      </c>
      <c r="B210">
        <v>57240262</v>
      </c>
      <c r="C210" s="36" t="s">
        <v>794</v>
      </c>
      <c r="D210" s="37">
        <v>41975.675706018519</v>
      </c>
      <c r="E210" s="37">
        <v>41975.691817129627</v>
      </c>
      <c r="F210">
        <v>1</v>
      </c>
      <c r="G210">
        <v>2</v>
      </c>
      <c r="K210">
        <v>6</v>
      </c>
      <c r="O210">
        <v>10</v>
      </c>
      <c r="V210" s="42" t="s">
        <v>35</v>
      </c>
      <c r="W210" s="47">
        <v>10</v>
      </c>
    </row>
    <row r="211" spans="1:23">
      <c r="A211">
        <v>3621975233</v>
      </c>
      <c r="B211">
        <v>57240262</v>
      </c>
      <c r="C211" s="36" t="s">
        <v>795</v>
      </c>
      <c r="D211" s="37">
        <v>41975.701597222222</v>
      </c>
      <c r="E211" s="37">
        <v>41975.705567129633</v>
      </c>
      <c r="F211">
        <v>1</v>
      </c>
      <c r="G211">
        <v>2</v>
      </c>
      <c r="I211">
        <v>4</v>
      </c>
      <c r="K211">
        <v>6</v>
      </c>
      <c r="V211" s="42" t="s">
        <v>38</v>
      </c>
      <c r="W211" s="47">
        <v>4</v>
      </c>
    </row>
    <row r="212" spans="1:23" hidden="1">
      <c r="A212">
        <v>3621979788</v>
      </c>
      <c r="B212">
        <v>57240262</v>
      </c>
      <c r="C212" s="36" t="s">
        <v>472</v>
      </c>
      <c r="D212" s="37">
        <v>41975.70239583333</v>
      </c>
      <c r="E212" s="37">
        <v>41975.706689814811</v>
      </c>
      <c r="U212">
        <v>16</v>
      </c>
      <c r="W212" s="47"/>
    </row>
    <row r="213" spans="1:23" hidden="1">
      <c r="A213">
        <v>3622008711</v>
      </c>
      <c r="B213">
        <v>57240262</v>
      </c>
      <c r="C213" s="36" t="s">
        <v>796</v>
      </c>
      <c r="D213" s="37">
        <v>41975.709155092591</v>
      </c>
      <c r="E213" s="37">
        <v>41975.712476851855</v>
      </c>
      <c r="F213">
        <v>1</v>
      </c>
      <c r="G213">
        <v>2</v>
      </c>
      <c r="Q213">
        <v>12</v>
      </c>
      <c r="W213" s="47"/>
    </row>
    <row r="214" spans="1:23" hidden="1">
      <c r="A214">
        <v>3622026676</v>
      </c>
      <c r="B214">
        <v>57240262</v>
      </c>
      <c r="C214" s="36" t="s">
        <v>797</v>
      </c>
      <c r="D214" s="37">
        <v>41975.713136574072</v>
      </c>
      <c r="E214" s="37">
        <v>41975.717534722222</v>
      </c>
      <c r="O214">
        <v>10</v>
      </c>
      <c r="W214" s="47"/>
    </row>
    <row r="215" spans="1:23" hidden="1">
      <c r="A215">
        <v>3622032354</v>
      </c>
      <c r="B215">
        <v>57240262</v>
      </c>
      <c r="C215" s="36" t="s">
        <v>798</v>
      </c>
      <c r="D215" s="37">
        <v>41975.714537037034</v>
      </c>
      <c r="E215" s="37">
        <v>41975.7184375</v>
      </c>
      <c r="M215">
        <v>8</v>
      </c>
      <c r="O215">
        <v>10</v>
      </c>
      <c r="P215">
        <v>11</v>
      </c>
      <c r="W215" s="47"/>
    </row>
    <row r="216" spans="1:23" hidden="1">
      <c r="A216">
        <v>3621987426</v>
      </c>
      <c r="B216">
        <v>57240262</v>
      </c>
      <c r="C216" s="36" t="s">
        <v>471</v>
      </c>
      <c r="D216" s="37">
        <v>41975.704293981478</v>
      </c>
      <c r="E216" s="37">
        <v>41975.718865740739</v>
      </c>
      <c r="F216">
        <v>1</v>
      </c>
      <c r="K216">
        <v>6</v>
      </c>
      <c r="M216">
        <v>8</v>
      </c>
      <c r="W216" s="47"/>
    </row>
    <row r="217" spans="1:23" hidden="1">
      <c r="A217">
        <v>3622053411</v>
      </c>
      <c r="B217">
        <v>57240262</v>
      </c>
      <c r="C217" s="36" t="s">
        <v>799</v>
      </c>
      <c r="D217" s="37">
        <v>41975.718877314815</v>
      </c>
      <c r="E217" s="37">
        <v>41975.724930555552</v>
      </c>
      <c r="I217">
        <v>4</v>
      </c>
      <c r="W217" s="47"/>
    </row>
    <row r="218" spans="1:23" hidden="1">
      <c r="A218">
        <v>3622081409</v>
      </c>
      <c r="B218">
        <v>57240262</v>
      </c>
      <c r="C218" s="36" t="s">
        <v>2300</v>
      </c>
      <c r="D218" s="37">
        <v>41975.72587962963</v>
      </c>
      <c r="E218" s="37">
        <v>41975.727337962962</v>
      </c>
      <c r="W218" s="47"/>
    </row>
    <row r="219" spans="1:23" hidden="1">
      <c r="A219">
        <v>3622047045</v>
      </c>
      <c r="B219">
        <v>57240262</v>
      </c>
      <c r="C219" s="36" t="s">
        <v>536</v>
      </c>
      <c r="D219" s="37">
        <v>41975.717789351853</v>
      </c>
      <c r="E219" s="37">
        <v>41975.728043981479</v>
      </c>
      <c r="F219">
        <v>1</v>
      </c>
      <c r="G219">
        <v>2</v>
      </c>
      <c r="W219" s="47"/>
    </row>
    <row r="220" spans="1:23" hidden="1">
      <c r="A220">
        <v>3622103551</v>
      </c>
      <c r="B220">
        <v>57240262</v>
      </c>
      <c r="C220" s="36" t="s">
        <v>800</v>
      </c>
      <c r="D220" s="37">
        <v>41975.73101851852</v>
      </c>
      <c r="E220" s="37">
        <v>41975.73474537037</v>
      </c>
      <c r="U220">
        <v>16</v>
      </c>
      <c r="W220" s="47"/>
    </row>
    <row r="221" spans="1:23" hidden="1">
      <c r="A221">
        <v>3622119670</v>
      </c>
      <c r="B221">
        <v>57240262</v>
      </c>
      <c r="C221" s="36" t="s">
        <v>473</v>
      </c>
      <c r="D221" s="37">
        <v>41975.734988425924</v>
      </c>
      <c r="E221" s="37">
        <v>41975.738263888888</v>
      </c>
      <c r="M221">
        <v>8</v>
      </c>
      <c r="W221" s="47"/>
    </row>
    <row r="222" spans="1:23" hidden="1">
      <c r="A222">
        <v>3622109595</v>
      </c>
      <c r="B222">
        <v>57240262</v>
      </c>
      <c r="C222" s="36" t="s">
        <v>801</v>
      </c>
      <c r="D222" s="37">
        <v>41975.732395833336</v>
      </c>
      <c r="E222" s="37">
        <v>41975.739155092589</v>
      </c>
      <c r="U222">
        <v>16</v>
      </c>
      <c r="W222" s="47"/>
    </row>
    <row r="223" spans="1:23" hidden="1">
      <c r="A223">
        <v>3622119083</v>
      </c>
      <c r="B223">
        <v>57240262</v>
      </c>
      <c r="C223" s="36" t="s">
        <v>474</v>
      </c>
      <c r="D223" s="37">
        <v>41975.734664351854</v>
      </c>
      <c r="E223" s="37">
        <v>41975.742256944446</v>
      </c>
      <c r="G223">
        <v>2</v>
      </c>
      <c r="J223">
        <v>5</v>
      </c>
      <c r="K223">
        <v>6</v>
      </c>
      <c r="W223" s="47"/>
    </row>
    <row r="224" spans="1:23" hidden="1">
      <c r="A224">
        <v>3622095019</v>
      </c>
      <c r="B224">
        <v>57240262</v>
      </c>
      <c r="C224" s="36" t="s">
        <v>602</v>
      </c>
      <c r="D224" s="37">
        <v>41975.728981481479</v>
      </c>
      <c r="E224" s="37">
        <v>41975.744768518518</v>
      </c>
      <c r="I224">
        <v>4</v>
      </c>
      <c r="W224" s="47"/>
    </row>
    <row r="225" spans="1:23" hidden="1">
      <c r="A225">
        <v>3622172847</v>
      </c>
      <c r="B225">
        <v>57240262</v>
      </c>
      <c r="C225" s="36" t="s">
        <v>802</v>
      </c>
      <c r="D225" s="37">
        <v>41975.748032407406</v>
      </c>
      <c r="E225" s="37">
        <v>41975.750520833331</v>
      </c>
      <c r="F225">
        <v>1</v>
      </c>
      <c r="U225">
        <v>16</v>
      </c>
      <c r="W225" s="47"/>
    </row>
    <row r="226" spans="1:23" ht="24">
      <c r="A226">
        <v>3622178068</v>
      </c>
      <c r="B226">
        <v>57240262</v>
      </c>
      <c r="C226" s="36" t="s">
        <v>803</v>
      </c>
      <c r="D226" s="37">
        <v>41975.749398148146</v>
      </c>
      <c r="E226" s="37">
        <v>41975.751030092593</v>
      </c>
      <c r="K226">
        <v>6</v>
      </c>
      <c r="Q226">
        <v>12</v>
      </c>
      <c r="V226" s="42" t="s">
        <v>240</v>
      </c>
      <c r="W226" s="47">
        <v>12</v>
      </c>
    </row>
    <row r="227" spans="1:23" hidden="1">
      <c r="A227">
        <v>3622240627</v>
      </c>
      <c r="B227">
        <v>57240262</v>
      </c>
      <c r="C227" s="36" t="s">
        <v>2301</v>
      </c>
      <c r="D227" s="37">
        <v>41975.76458333333</v>
      </c>
      <c r="E227" s="37">
        <v>41975.765381944446</v>
      </c>
      <c r="W227" s="47"/>
    </row>
    <row r="228" spans="1:23" hidden="1">
      <c r="A228">
        <v>3622253583</v>
      </c>
      <c r="B228">
        <v>57240262</v>
      </c>
      <c r="C228" s="36" t="s">
        <v>804</v>
      </c>
      <c r="D228" s="37">
        <v>41975.767650462964</v>
      </c>
      <c r="E228" s="37">
        <v>41975.772326388891</v>
      </c>
      <c r="F228">
        <v>1</v>
      </c>
      <c r="K228">
        <v>6</v>
      </c>
      <c r="P228">
        <v>11</v>
      </c>
      <c r="W228" s="47"/>
    </row>
    <row r="229" spans="1:23" hidden="1">
      <c r="A229">
        <v>3622307906</v>
      </c>
      <c r="B229">
        <v>57240262</v>
      </c>
      <c r="C229" s="36" t="s">
        <v>805</v>
      </c>
      <c r="D229" s="37">
        <v>41975.780601851853</v>
      </c>
      <c r="E229" s="37">
        <v>41975.781759259262</v>
      </c>
      <c r="U229">
        <v>16</v>
      </c>
      <c r="W229" s="47"/>
    </row>
    <row r="230" spans="1:23" hidden="1">
      <c r="A230">
        <v>3622333020</v>
      </c>
      <c r="B230">
        <v>57240262</v>
      </c>
      <c r="C230" s="36" t="s">
        <v>806</v>
      </c>
      <c r="D230" s="37">
        <v>41975.786770833336</v>
      </c>
      <c r="E230" s="37">
        <v>41975.79550925926</v>
      </c>
      <c r="R230">
        <v>13</v>
      </c>
      <c r="W230" s="47"/>
    </row>
    <row r="231" spans="1:23">
      <c r="A231">
        <v>3622345384</v>
      </c>
      <c r="B231">
        <v>57240262</v>
      </c>
      <c r="C231" s="36" t="s">
        <v>807</v>
      </c>
      <c r="D231" s="37">
        <v>41975.789884259262</v>
      </c>
      <c r="E231" s="37">
        <v>41975.796782407408</v>
      </c>
      <c r="F231">
        <v>1</v>
      </c>
      <c r="G231">
        <v>2</v>
      </c>
      <c r="I231">
        <v>4</v>
      </c>
      <c r="N231">
        <v>9</v>
      </c>
      <c r="V231" s="42" t="s">
        <v>25</v>
      </c>
      <c r="W231" s="47">
        <v>1</v>
      </c>
    </row>
    <row r="232" spans="1:23" hidden="1">
      <c r="A232">
        <v>3622379478</v>
      </c>
      <c r="B232">
        <v>57240262</v>
      </c>
      <c r="C232" s="36" t="s">
        <v>808</v>
      </c>
      <c r="D232" s="37">
        <v>41975.79828703704</v>
      </c>
      <c r="E232" s="37">
        <v>41975.806458333333</v>
      </c>
      <c r="H232">
        <v>3</v>
      </c>
      <c r="W232" s="47"/>
    </row>
    <row r="233" spans="1:23" hidden="1">
      <c r="A233">
        <v>3622438641</v>
      </c>
      <c r="B233">
        <v>57240262</v>
      </c>
      <c r="C233" s="36" t="s">
        <v>2302</v>
      </c>
      <c r="D233" s="37">
        <v>41975.812534722223</v>
      </c>
      <c r="E233" s="37">
        <v>41975.813356481478</v>
      </c>
      <c r="W233" s="47"/>
    </row>
    <row r="234" spans="1:23" hidden="1">
      <c r="A234">
        <v>3622463840</v>
      </c>
      <c r="B234">
        <v>57240262</v>
      </c>
      <c r="C234" s="36" t="s">
        <v>475</v>
      </c>
      <c r="D234" s="37">
        <v>41975.81821759259</v>
      </c>
      <c r="E234" s="37">
        <v>41975.828506944446</v>
      </c>
      <c r="Q234">
        <v>12</v>
      </c>
      <c r="W234" s="47"/>
    </row>
    <row r="235" spans="1:23" hidden="1">
      <c r="A235">
        <v>3622446778</v>
      </c>
      <c r="B235">
        <v>57240262</v>
      </c>
      <c r="C235" s="36" t="s">
        <v>476</v>
      </c>
      <c r="D235" s="37">
        <v>41975.814004629632</v>
      </c>
      <c r="E235" s="37">
        <v>41975.829050925924</v>
      </c>
      <c r="U235">
        <v>16</v>
      </c>
      <c r="W235" s="47"/>
    </row>
    <row r="236" spans="1:23" hidden="1">
      <c r="A236">
        <v>3622516544</v>
      </c>
      <c r="B236">
        <v>57240262</v>
      </c>
      <c r="C236" s="36" t="s">
        <v>2303</v>
      </c>
      <c r="D236" s="37">
        <v>41975.831041666665</v>
      </c>
      <c r="E236" s="37">
        <v>41975.831886574073</v>
      </c>
      <c r="W236" s="47"/>
    </row>
    <row r="237" spans="1:23" hidden="1">
      <c r="A237">
        <v>3622505023</v>
      </c>
      <c r="B237">
        <v>57240262</v>
      </c>
      <c r="C237" s="36" t="s">
        <v>478</v>
      </c>
      <c r="D237" s="37">
        <v>41975.828414351854</v>
      </c>
      <c r="E237" s="37">
        <v>41975.833935185183</v>
      </c>
      <c r="U237">
        <v>16</v>
      </c>
      <c r="W237" s="47"/>
    </row>
    <row r="238" spans="1:23" hidden="1">
      <c r="A238">
        <v>3622555290</v>
      </c>
      <c r="B238">
        <v>57240262</v>
      </c>
      <c r="C238" s="36" t="s">
        <v>809</v>
      </c>
      <c r="D238" s="37">
        <v>41975.840462962966</v>
      </c>
      <c r="E238" s="37">
        <v>41975.843993055554</v>
      </c>
      <c r="U238">
        <v>16</v>
      </c>
      <c r="W238" s="47"/>
    </row>
    <row r="239" spans="1:23" hidden="1">
      <c r="A239">
        <v>3622556272</v>
      </c>
      <c r="B239">
        <v>57240262</v>
      </c>
      <c r="C239" s="36" t="s">
        <v>482</v>
      </c>
      <c r="D239" s="37">
        <v>41975.840671296297</v>
      </c>
      <c r="E239" s="37">
        <v>41975.846296296295</v>
      </c>
      <c r="F239">
        <v>1</v>
      </c>
      <c r="G239">
        <v>2</v>
      </c>
      <c r="W239" s="47"/>
    </row>
    <row r="240" spans="1:23" hidden="1">
      <c r="A240">
        <v>3622586149</v>
      </c>
      <c r="B240">
        <v>57240262</v>
      </c>
      <c r="C240" s="36" t="s">
        <v>810</v>
      </c>
      <c r="D240" s="37">
        <v>41975.84783564815</v>
      </c>
      <c r="E240" s="37">
        <v>41975.848969907405</v>
      </c>
      <c r="F240">
        <v>1</v>
      </c>
      <c r="W240" s="47"/>
    </row>
    <row r="241" spans="1:23" hidden="1">
      <c r="A241">
        <v>3622585078</v>
      </c>
      <c r="B241">
        <v>57240262</v>
      </c>
      <c r="C241" s="36" t="s">
        <v>479</v>
      </c>
      <c r="D241" s="37">
        <v>41975.847511574073</v>
      </c>
      <c r="E241" s="37">
        <v>41975.849236111113</v>
      </c>
      <c r="G241">
        <v>2</v>
      </c>
      <c r="W241" s="47"/>
    </row>
    <row r="242" spans="1:23">
      <c r="A242">
        <v>3622507479</v>
      </c>
      <c r="B242">
        <v>57240262</v>
      </c>
      <c r="C242" s="36" t="s">
        <v>477</v>
      </c>
      <c r="D242" s="37">
        <v>41975.828715277778</v>
      </c>
      <c r="E242" s="37">
        <v>41975.849606481483</v>
      </c>
      <c r="G242">
        <v>2</v>
      </c>
      <c r="K242">
        <v>6</v>
      </c>
      <c r="M242">
        <v>8</v>
      </c>
      <c r="R242">
        <v>13</v>
      </c>
      <c r="V242" s="42" t="s">
        <v>239</v>
      </c>
      <c r="W242" s="47">
        <v>2</v>
      </c>
    </row>
    <row r="243" spans="1:23" hidden="1">
      <c r="A243">
        <v>3622588190</v>
      </c>
      <c r="B243">
        <v>57240262</v>
      </c>
      <c r="C243" s="36" t="s">
        <v>485</v>
      </c>
      <c r="D243" s="37">
        <v>41975.848425925928</v>
      </c>
      <c r="E243" s="37">
        <v>41975.850277777776</v>
      </c>
      <c r="U243">
        <v>16</v>
      </c>
      <c r="W243" s="47"/>
    </row>
    <row r="244" spans="1:23">
      <c r="A244">
        <v>3622557175</v>
      </c>
      <c r="B244">
        <v>57240262</v>
      </c>
      <c r="C244" s="36" t="s">
        <v>481</v>
      </c>
      <c r="D244" s="37">
        <v>41975.840844907405</v>
      </c>
      <c r="E244" s="37">
        <v>41975.855775462966</v>
      </c>
      <c r="F244">
        <v>1</v>
      </c>
      <c r="G244">
        <v>2</v>
      </c>
      <c r="H244">
        <v>3</v>
      </c>
      <c r="K244">
        <v>6</v>
      </c>
      <c r="O244">
        <v>10</v>
      </c>
      <c r="V244" s="42" t="s">
        <v>165</v>
      </c>
      <c r="W244" s="47">
        <v>1</v>
      </c>
    </row>
    <row r="245" spans="1:23" hidden="1">
      <c r="A245">
        <v>3622576338</v>
      </c>
      <c r="B245">
        <v>57240262</v>
      </c>
      <c r="C245" s="36" t="s">
        <v>480</v>
      </c>
      <c r="D245" s="37">
        <v>41975.844768518517</v>
      </c>
      <c r="E245" s="37">
        <v>41975.855844907404</v>
      </c>
      <c r="F245">
        <v>1</v>
      </c>
      <c r="W245" s="47"/>
    </row>
    <row r="246" spans="1:23" hidden="1">
      <c r="A246">
        <v>3622604497</v>
      </c>
      <c r="B246">
        <v>57240262</v>
      </c>
      <c r="C246" s="36" t="s">
        <v>811</v>
      </c>
      <c r="D246" s="37">
        <v>41975.852002314816</v>
      </c>
      <c r="E246" s="37">
        <v>41975.856435185182</v>
      </c>
      <c r="U246">
        <v>16</v>
      </c>
      <c r="W246" s="47"/>
    </row>
    <row r="247" spans="1:23" hidden="1">
      <c r="A247">
        <v>3622595962</v>
      </c>
      <c r="B247">
        <v>57240262</v>
      </c>
      <c r="C247" s="36" t="s">
        <v>484</v>
      </c>
      <c r="D247" s="37">
        <v>41975.850231481483</v>
      </c>
      <c r="E247" s="37">
        <v>41975.858472222222</v>
      </c>
      <c r="F247">
        <v>1</v>
      </c>
      <c r="J247">
        <v>5</v>
      </c>
      <c r="Q247">
        <v>12</v>
      </c>
      <c r="W247" s="47"/>
    </row>
    <row r="248" spans="1:23" hidden="1">
      <c r="A248">
        <v>3622612506</v>
      </c>
      <c r="B248">
        <v>57240262</v>
      </c>
      <c r="C248" s="36" t="s">
        <v>486</v>
      </c>
      <c r="D248" s="37">
        <v>41975.854074074072</v>
      </c>
      <c r="E248" s="37">
        <v>41975.859143518515</v>
      </c>
      <c r="M248">
        <v>8</v>
      </c>
      <c r="W248" s="47"/>
    </row>
    <row r="249" spans="1:23">
      <c r="A249">
        <v>3622604945</v>
      </c>
      <c r="B249">
        <v>57240262</v>
      </c>
      <c r="C249" s="36" t="s">
        <v>487</v>
      </c>
      <c r="D249" s="37">
        <v>41975.852314814816</v>
      </c>
      <c r="E249" s="37">
        <v>41975.859814814816</v>
      </c>
      <c r="F249">
        <v>1</v>
      </c>
      <c r="G249">
        <v>2</v>
      </c>
      <c r="O249">
        <v>10</v>
      </c>
      <c r="V249" s="42" t="s">
        <v>238</v>
      </c>
      <c r="W249" s="47">
        <v>2</v>
      </c>
    </row>
    <row r="250" spans="1:23" hidden="1">
      <c r="A250">
        <v>3622637194</v>
      </c>
      <c r="B250">
        <v>57240262</v>
      </c>
      <c r="C250" s="36" t="s">
        <v>812</v>
      </c>
      <c r="D250" s="37">
        <v>41975.859918981485</v>
      </c>
      <c r="E250" s="37">
        <v>41975.867071759261</v>
      </c>
      <c r="P250">
        <v>11</v>
      </c>
      <c r="Q250">
        <v>12</v>
      </c>
      <c r="W250" s="47"/>
    </row>
    <row r="251" spans="1:23">
      <c r="A251">
        <v>3622640140</v>
      </c>
      <c r="B251">
        <v>57240262</v>
      </c>
      <c r="C251" s="36" t="s">
        <v>813</v>
      </c>
      <c r="D251" s="37">
        <v>41975.861006944448</v>
      </c>
      <c r="E251" s="37">
        <v>41975.868356481478</v>
      </c>
      <c r="F251">
        <v>1</v>
      </c>
      <c r="K251">
        <v>6</v>
      </c>
      <c r="O251">
        <v>10</v>
      </c>
      <c r="P251">
        <v>11</v>
      </c>
      <c r="Q251">
        <v>12</v>
      </c>
      <c r="V251" s="42" t="s">
        <v>84</v>
      </c>
      <c r="W251" s="47">
        <v>1</v>
      </c>
    </row>
    <row r="252" spans="1:23" hidden="1">
      <c r="A252">
        <v>3622646214</v>
      </c>
      <c r="B252">
        <v>57240262</v>
      </c>
      <c r="C252" s="36" t="s">
        <v>814</v>
      </c>
      <c r="D252" s="37">
        <v>41975.862361111111</v>
      </c>
      <c r="E252" s="37">
        <v>41975.869618055556</v>
      </c>
      <c r="O252">
        <v>10</v>
      </c>
      <c r="W252" s="47"/>
    </row>
    <row r="253" spans="1:23">
      <c r="A253">
        <v>3622678673</v>
      </c>
      <c r="B253">
        <v>57240262</v>
      </c>
      <c r="C253" s="36" t="s">
        <v>490</v>
      </c>
      <c r="D253" s="37">
        <v>41975.870150462964</v>
      </c>
      <c r="E253" s="37">
        <v>41975.871898148151</v>
      </c>
      <c r="G253">
        <v>2</v>
      </c>
      <c r="J253">
        <v>5</v>
      </c>
      <c r="K253">
        <v>6</v>
      </c>
      <c r="O253">
        <v>10</v>
      </c>
      <c r="P253">
        <v>11</v>
      </c>
      <c r="V253" s="42" t="s">
        <v>237</v>
      </c>
      <c r="W253" s="47">
        <v>2</v>
      </c>
    </row>
    <row r="254" spans="1:23" hidden="1">
      <c r="A254">
        <v>3622649398</v>
      </c>
      <c r="B254">
        <v>57240262</v>
      </c>
      <c r="C254" s="36" t="s">
        <v>815</v>
      </c>
      <c r="D254" s="37">
        <v>41975.863368055558</v>
      </c>
      <c r="E254" s="37">
        <v>41975.877418981479</v>
      </c>
      <c r="F254">
        <v>1</v>
      </c>
      <c r="G254">
        <v>2</v>
      </c>
      <c r="H254">
        <v>3</v>
      </c>
      <c r="K254">
        <v>6</v>
      </c>
      <c r="W254" s="47"/>
    </row>
    <row r="255" spans="1:23" hidden="1">
      <c r="A255">
        <v>3622748827</v>
      </c>
      <c r="B255">
        <v>57240262</v>
      </c>
      <c r="C255" s="36" t="s">
        <v>816</v>
      </c>
      <c r="D255" s="37">
        <v>41975.888692129629</v>
      </c>
      <c r="E255" s="37">
        <v>41975.890567129631</v>
      </c>
      <c r="U255">
        <v>16</v>
      </c>
      <c r="W255" s="47"/>
    </row>
    <row r="256" spans="1:23" hidden="1">
      <c r="A256">
        <v>3622773063</v>
      </c>
      <c r="B256">
        <v>57240262</v>
      </c>
      <c r="C256" s="36" t="s">
        <v>817</v>
      </c>
      <c r="D256" s="37">
        <v>41975.895185185182</v>
      </c>
      <c r="E256" s="37">
        <v>41975.900902777779</v>
      </c>
      <c r="I256">
        <v>4</v>
      </c>
      <c r="W256" s="47"/>
    </row>
    <row r="257" spans="1:23" hidden="1">
      <c r="A257">
        <v>3622827832</v>
      </c>
      <c r="B257">
        <v>57240262</v>
      </c>
      <c r="C257" s="36" t="s">
        <v>818</v>
      </c>
      <c r="D257" s="37">
        <v>41975.909930555557</v>
      </c>
      <c r="E257" s="37">
        <v>41975.91207175926</v>
      </c>
      <c r="U257">
        <v>16</v>
      </c>
      <c r="W257" s="47"/>
    </row>
    <row r="258" spans="1:23" hidden="1">
      <c r="A258">
        <v>3622860985</v>
      </c>
      <c r="B258">
        <v>57240262</v>
      </c>
      <c r="C258" s="36" t="s">
        <v>2304</v>
      </c>
      <c r="D258" s="37">
        <v>41975.918969907405</v>
      </c>
      <c r="E258" s="37">
        <v>41975.919710648152</v>
      </c>
      <c r="W258" s="47"/>
    </row>
    <row r="259" spans="1:23" hidden="1">
      <c r="A259">
        <v>3622843437</v>
      </c>
      <c r="B259">
        <v>57240262</v>
      </c>
      <c r="C259" s="36" t="s">
        <v>819</v>
      </c>
      <c r="D259" s="37">
        <v>41975.913935185185</v>
      </c>
      <c r="E259" s="37">
        <v>41975.922083333331</v>
      </c>
      <c r="U259">
        <v>16</v>
      </c>
      <c r="W259" s="47"/>
    </row>
    <row r="260" spans="1:23" hidden="1">
      <c r="A260">
        <v>3622890660</v>
      </c>
      <c r="B260">
        <v>57240262</v>
      </c>
      <c r="C260" s="36" t="s">
        <v>820</v>
      </c>
      <c r="D260" s="37">
        <v>41975.927245370367</v>
      </c>
      <c r="E260" s="37">
        <v>41975.934918981482</v>
      </c>
      <c r="U260">
        <v>16</v>
      </c>
      <c r="W260" s="47"/>
    </row>
    <row r="261" spans="1:23" hidden="1">
      <c r="A261">
        <v>3622900258</v>
      </c>
      <c r="B261">
        <v>57240262</v>
      </c>
      <c r="C261" s="36" t="s">
        <v>821</v>
      </c>
      <c r="D261" s="37">
        <v>41975.930150462962</v>
      </c>
      <c r="E261" s="37">
        <v>41975.942916666667</v>
      </c>
      <c r="O261">
        <v>10</v>
      </c>
      <c r="W261" s="47"/>
    </row>
    <row r="262" spans="1:23" hidden="1">
      <c r="A262">
        <v>3622948673</v>
      </c>
      <c r="B262">
        <v>57240262</v>
      </c>
      <c r="C262" s="36" t="s">
        <v>822</v>
      </c>
      <c r="D262" s="37">
        <v>41975.944085648145</v>
      </c>
      <c r="E262" s="37">
        <v>41975.957337962966</v>
      </c>
      <c r="G262">
        <v>2</v>
      </c>
      <c r="W262" s="47"/>
    </row>
    <row r="263" spans="1:23" hidden="1">
      <c r="A263">
        <v>3622987033</v>
      </c>
      <c r="B263">
        <v>57240262</v>
      </c>
      <c r="C263" s="36" t="s">
        <v>823</v>
      </c>
      <c r="D263" s="37">
        <v>41975.956990740742</v>
      </c>
      <c r="E263" s="37">
        <v>41975.961504629631</v>
      </c>
      <c r="U263">
        <v>16</v>
      </c>
      <c r="W263" s="47"/>
    </row>
    <row r="264" spans="1:23" hidden="1">
      <c r="A264">
        <v>3623084102</v>
      </c>
      <c r="B264">
        <v>57240262</v>
      </c>
      <c r="C264" s="36" t="s">
        <v>491</v>
      </c>
      <c r="D264" s="37">
        <v>41975.9921875</v>
      </c>
      <c r="E264" s="37">
        <v>41975.994444444441</v>
      </c>
      <c r="M264">
        <v>8</v>
      </c>
      <c r="W264" s="47"/>
    </row>
    <row r="265" spans="1:23" hidden="1">
      <c r="A265">
        <v>3623054441</v>
      </c>
      <c r="B265">
        <v>57240262</v>
      </c>
      <c r="C265" s="36" t="s">
        <v>824</v>
      </c>
      <c r="D265" s="37">
        <v>41975.980740740742</v>
      </c>
      <c r="E265" s="37">
        <v>41975.996076388888</v>
      </c>
      <c r="F265">
        <v>1</v>
      </c>
      <c r="J265">
        <v>5</v>
      </c>
      <c r="M265">
        <v>8</v>
      </c>
      <c r="Q265">
        <v>12</v>
      </c>
      <c r="W265" s="47"/>
    </row>
    <row r="266" spans="1:23">
      <c r="A266">
        <v>3623081881</v>
      </c>
      <c r="B266">
        <v>57240262</v>
      </c>
      <c r="C266" s="36" t="s">
        <v>825</v>
      </c>
      <c r="D266" s="37">
        <v>41975.991215277776</v>
      </c>
      <c r="E266" s="37">
        <v>41975.999444444446</v>
      </c>
      <c r="K266">
        <v>6</v>
      </c>
      <c r="Q266">
        <v>12</v>
      </c>
      <c r="V266" s="42" t="s">
        <v>171</v>
      </c>
      <c r="W266" s="47">
        <v>12</v>
      </c>
    </row>
    <row r="267" spans="1:23" hidden="1">
      <c r="A267">
        <v>3623154315</v>
      </c>
      <c r="B267">
        <v>57240262</v>
      </c>
      <c r="C267" s="36" t="s">
        <v>826</v>
      </c>
      <c r="D267" s="37">
        <v>41976.019814814812</v>
      </c>
      <c r="E267" s="37">
        <v>41976.026273148149</v>
      </c>
      <c r="M267">
        <v>8</v>
      </c>
      <c r="W267" s="47"/>
    </row>
    <row r="268" spans="1:23" ht="24">
      <c r="A268">
        <v>3623262276</v>
      </c>
      <c r="B268">
        <v>57240262</v>
      </c>
      <c r="C268" s="36" t="s">
        <v>827</v>
      </c>
      <c r="D268" s="37">
        <v>41976.06422453704</v>
      </c>
      <c r="E268" s="37">
        <v>41976.07240740741</v>
      </c>
      <c r="F268">
        <v>1</v>
      </c>
      <c r="G268">
        <v>2</v>
      </c>
      <c r="H268">
        <v>3</v>
      </c>
      <c r="O268">
        <v>10</v>
      </c>
      <c r="P268">
        <v>11</v>
      </c>
      <c r="Q268">
        <v>12</v>
      </c>
      <c r="V268" s="42" t="s">
        <v>13</v>
      </c>
      <c r="W268" s="47">
        <v>10</v>
      </c>
    </row>
    <row r="269" spans="1:23" hidden="1">
      <c r="A269">
        <v>3623581272</v>
      </c>
      <c r="B269">
        <v>57240262</v>
      </c>
      <c r="C269" s="36" t="s">
        <v>828</v>
      </c>
      <c r="D269" s="37">
        <v>41976.2341087963</v>
      </c>
      <c r="E269" s="37">
        <v>41976.237245370372</v>
      </c>
      <c r="I269">
        <v>4</v>
      </c>
      <c r="W269" s="47"/>
    </row>
    <row r="270" spans="1:23" hidden="1">
      <c r="A270">
        <v>3623620030</v>
      </c>
      <c r="B270">
        <v>57240262</v>
      </c>
      <c r="C270" s="36" t="s">
        <v>829</v>
      </c>
      <c r="D270" s="37">
        <v>41976.263171296298</v>
      </c>
      <c r="E270" s="37">
        <v>41976.269814814812</v>
      </c>
      <c r="H270">
        <v>3</v>
      </c>
      <c r="W270" s="47"/>
    </row>
    <row r="271" spans="1:23">
      <c r="A271">
        <v>3623628664</v>
      </c>
      <c r="B271">
        <v>57240262</v>
      </c>
      <c r="C271" s="36" t="s">
        <v>830</v>
      </c>
      <c r="D271" s="37">
        <v>41976.270104166666</v>
      </c>
      <c r="E271" s="37">
        <v>41976.292939814812</v>
      </c>
      <c r="I271">
        <v>4</v>
      </c>
      <c r="P271">
        <v>11</v>
      </c>
      <c r="V271" s="42" t="s">
        <v>90</v>
      </c>
      <c r="W271" s="47">
        <v>4</v>
      </c>
    </row>
    <row r="272" spans="1:23" hidden="1">
      <c r="A272">
        <v>3623694073</v>
      </c>
      <c r="B272">
        <v>57240262</v>
      </c>
      <c r="C272" s="36" t="s">
        <v>831</v>
      </c>
      <c r="D272" s="37">
        <v>41976.320034722223</v>
      </c>
      <c r="E272" s="37">
        <v>41976.323912037034</v>
      </c>
      <c r="U272">
        <v>16</v>
      </c>
      <c r="W272" s="47"/>
    </row>
    <row r="273" spans="1:23" hidden="1">
      <c r="A273">
        <v>3623694287</v>
      </c>
      <c r="B273">
        <v>57240262</v>
      </c>
      <c r="C273" s="36" t="s">
        <v>832</v>
      </c>
      <c r="D273" s="37">
        <v>41976.320509259262</v>
      </c>
      <c r="E273" s="37">
        <v>41976.32534722222</v>
      </c>
      <c r="I273">
        <v>4</v>
      </c>
      <c r="J273">
        <v>5</v>
      </c>
      <c r="P273">
        <v>11</v>
      </c>
      <c r="W273" s="47"/>
    </row>
    <row r="274" spans="1:23" hidden="1">
      <c r="A274">
        <v>3623731224</v>
      </c>
      <c r="B274">
        <v>57240262</v>
      </c>
      <c r="C274" s="36" t="s">
        <v>833</v>
      </c>
      <c r="D274" s="37">
        <v>41976.347094907411</v>
      </c>
      <c r="E274" s="37">
        <v>41976.35733796296</v>
      </c>
      <c r="U274">
        <v>16</v>
      </c>
      <c r="W274" s="47"/>
    </row>
    <row r="275" spans="1:23" hidden="1">
      <c r="A275">
        <v>3623785685</v>
      </c>
      <c r="B275">
        <v>57240262</v>
      </c>
      <c r="C275" s="36" t="s">
        <v>834</v>
      </c>
      <c r="D275" s="37">
        <v>41976.380740740744</v>
      </c>
      <c r="E275" s="37">
        <v>41976.388831018521</v>
      </c>
      <c r="I275">
        <v>4</v>
      </c>
      <c r="W275" s="47"/>
    </row>
    <row r="276" spans="1:23" hidden="1">
      <c r="A276">
        <v>3623797189</v>
      </c>
      <c r="B276">
        <v>57240262</v>
      </c>
      <c r="C276" s="36" t="s">
        <v>835</v>
      </c>
      <c r="D276" s="37">
        <v>41976.387939814813</v>
      </c>
      <c r="E276" s="37">
        <v>41976.391631944447</v>
      </c>
      <c r="I276">
        <v>4</v>
      </c>
      <c r="W276" s="47"/>
    </row>
    <row r="277" spans="1:23" hidden="1">
      <c r="A277">
        <v>3623813129</v>
      </c>
      <c r="B277">
        <v>57240262</v>
      </c>
      <c r="C277" s="36" t="s">
        <v>836</v>
      </c>
      <c r="D277" s="37">
        <v>41976.396840277775</v>
      </c>
      <c r="E277" s="37">
        <v>41976.400370370371</v>
      </c>
      <c r="U277">
        <v>16</v>
      </c>
      <c r="W277" s="47"/>
    </row>
    <row r="278" spans="1:23">
      <c r="A278">
        <v>3623817766</v>
      </c>
      <c r="B278">
        <v>57240262</v>
      </c>
      <c r="C278" s="36" t="s">
        <v>837</v>
      </c>
      <c r="D278" s="37">
        <v>41976.399363425924</v>
      </c>
      <c r="E278" s="37">
        <v>41976.400636574072</v>
      </c>
      <c r="F278">
        <v>1</v>
      </c>
      <c r="H278">
        <v>3</v>
      </c>
      <c r="S278">
        <v>14</v>
      </c>
      <c r="V278" s="42" t="s">
        <v>236</v>
      </c>
      <c r="W278" s="47">
        <v>3</v>
      </c>
    </row>
    <row r="279" spans="1:23" hidden="1">
      <c r="A279">
        <v>3623822788</v>
      </c>
      <c r="B279">
        <v>57240262</v>
      </c>
      <c r="C279" s="36" t="s">
        <v>838</v>
      </c>
      <c r="D279" s="37">
        <v>41976.401921296296</v>
      </c>
      <c r="E279" s="37">
        <v>41976.406863425924</v>
      </c>
      <c r="I279">
        <v>4</v>
      </c>
      <c r="W279" s="47"/>
    </row>
    <row r="280" spans="1:23">
      <c r="A280">
        <v>3623842458</v>
      </c>
      <c r="B280">
        <v>57240262</v>
      </c>
      <c r="C280" s="36" t="s">
        <v>839</v>
      </c>
      <c r="D280" s="37">
        <v>41976.412905092591</v>
      </c>
      <c r="E280" s="37">
        <v>41976.413668981484</v>
      </c>
      <c r="F280">
        <v>1</v>
      </c>
      <c r="K280">
        <v>6</v>
      </c>
      <c r="N280">
        <v>9</v>
      </c>
      <c r="V280" s="42" t="s">
        <v>235</v>
      </c>
      <c r="W280" s="47">
        <v>2</v>
      </c>
    </row>
    <row r="281" spans="1:23">
      <c r="A281">
        <v>3623878839</v>
      </c>
      <c r="B281">
        <v>57240262</v>
      </c>
      <c r="C281" s="36" t="s">
        <v>840</v>
      </c>
      <c r="D281" s="37">
        <v>41976.431712962964</v>
      </c>
      <c r="E281" s="37">
        <v>41976.437488425923</v>
      </c>
      <c r="F281">
        <v>1</v>
      </c>
      <c r="H281">
        <v>3</v>
      </c>
      <c r="V281" s="42" t="s">
        <v>107</v>
      </c>
      <c r="W281" s="47">
        <v>3</v>
      </c>
    </row>
    <row r="282" spans="1:23">
      <c r="A282">
        <v>3623875436</v>
      </c>
      <c r="B282">
        <v>57240262</v>
      </c>
      <c r="C282" s="36" t="s">
        <v>492</v>
      </c>
      <c r="D282" s="37">
        <v>41976.429907407408</v>
      </c>
      <c r="E282" s="37">
        <v>41976.439687500002</v>
      </c>
      <c r="F282">
        <v>1</v>
      </c>
      <c r="G282">
        <v>2</v>
      </c>
      <c r="H282">
        <v>3</v>
      </c>
      <c r="I282">
        <v>4</v>
      </c>
      <c r="J282">
        <v>5</v>
      </c>
      <c r="K282">
        <v>6</v>
      </c>
      <c r="L282">
        <v>7</v>
      </c>
      <c r="O282">
        <v>10</v>
      </c>
      <c r="P282">
        <v>11</v>
      </c>
      <c r="Q282">
        <v>12</v>
      </c>
      <c r="R282">
        <v>13</v>
      </c>
      <c r="S282">
        <v>14</v>
      </c>
      <c r="V282" s="42" t="s">
        <v>30</v>
      </c>
      <c r="W282" s="47">
        <v>2</v>
      </c>
    </row>
    <row r="283" spans="1:23" hidden="1">
      <c r="A283">
        <v>3623898295</v>
      </c>
      <c r="B283">
        <v>57240262</v>
      </c>
      <c r="C283" s="36" t="s">
        <v>841</v>
      </c>
      <c r="D283" s="37">
        <v>41976.441574074073</v>
      </c>
      <c r="E283" s="37">
        <v>41976.442337962966</v>
      </c>
      <c r="U283">
        <v>16</v>
      </c>
      <c r="W283" s="47"/>
    </row>
    <row r="284" spans="1:23" hidden="1">
      <c r="A284">
        <v>3623907943</v>
      </c>
      <c r="B284">
        <v>57240262</v>
      </c>
      <c r="C284" s="36" t="s">
        <v>842</v>
      </c>
      <c r="D284" s="37">
        <v>41976.446412037039</v>
      </c>
      <c r="E284" s="37">
        <v>41976.447152777779</v>
      </c>
      <c r="M284">
        <v>8</v>
      </c>
      <c r="W284" s="47"/>
    </row>
    <row r="285" spans="1:23">
      <c r="A285">
        <v>3623907994</v>
      </c>
      <c r="B285">
        <v>57240262</v>
      </c>
      <c r="C285" s="36" t="s">
        <v>494</v>
      </c>
      <c r="D285" s="37">
        <v>41976.446250000001</v>
      </c>
      <c r="E285" s="37">
        <v>41976.452152777776</v>
      </c>
      <c r="F285">
        <v>1</v>
      </c>
      <c r="K285">
        <v>6</v>
      </c>
      <c r="O285">
        <v>10</v>
      </c>
      <c r="R285">
        <v>13</v>
      </c>
      <c r="V285" s="42" t="s">
        <v>174</v>
      </c>
      <c r="W285" s="47">
        <v>13</v>
      </c>
    </row>
    <row r="286" spans="1:23" hidden="1">
      <c r="A286">
        <v>3623920238</v>
      </c>
      <c r="B286">
        <v>57240262</v>
      </c>
      <c r="C286" s="36" t="s">
        <v>843</v>
      </c>
      <c r="D286" s="37">
        <v>41976.452719907407</v>
      </c>
      <c r="E286" s="37">
        <v>41976.453449074077</v>
      </c>
      <c r="U286">
        <v>16</v>
      </c>
      <c r="W286" s="47"/>
    </row>
    <row r="287" spans="1:23">
      <c r="A287">
        <v>3623912801</v>
      </c>
      <c r="B287">
        <v>57240262</v>
      </c>
      <c r="C287" s="36" t="s">
        <v>493</v>
      </c>
      <c r="D287" s="37">
        <v>41976.448842592596</v>
      </c>
      <c r="E287" s="37">
        <v>41976.461909722224</v>
      </c>
      <c r="U287">
        <v>16</v>
      </c>
      <c r="V287" s="42" t="s">
        <v>234</v>
      </c>
      <c r="W287" s="47">
        <v>10</v>
      </c>
    </row>
    <row r="288" spans="1:23" hidden="1">
      <c r="A288">
        <v>3623945846</v>
      </c>
      <c r="B288">
        <v>57240262</v>
      </c>
      <c r="C288" s="36" t="s">
        <v>2305</v>
      </c>
      <c r="D288" s="37">
        <v>41976.465462962966</v>
      </c>
      <c r="E288" s="37">
        <v>41976.467395833337</v>
      </c>
      <c r="W288" s="47"/>
    </row>
    <row r="289" spans="1:23" hidden="1">
      <c r="A289">
        <v>3624099488</v>
      </c>
      <c r="B289">
        <v>57240262</v>
      </c>
      <c r="C289" s="36" t="s">
        <v>495</v>
      </c>
      <c r="D289" s="37">
        <v>41976.533506944441</v>
      </c>
      <c r="E289" s="37">
        <v>41976.536319444444</v>
      </c>
      <c r="F289">
        <v>1</v>
      </c>
      <c r="W289" s="47"/>
    </row>
    <row r="290" spans="1:23">
      <c r="A290">
        <v>3624091017</v>
      </c>
      <c r="B290">
        <v>57240262</v>
      </c>
      <c r="C290" s="36" t="s">
        <v>496</v>
      </c>
      <c r="D290" s="37">
        <v>41976.529710648145</v>
      </c>
      <c r="E290" s="37">
        <v>41976.537094907406</v>
      </c>
      <c r="F290">
        <v>1</v>
      </c>
      <c r="M290">
        <v>8</v>
      </c>
      <c r="O290">
        <v>10</v>
      </c>
      <c r="V290" s="42" t="s">
        <v>25</v>
      </c>
      <c r="W290" s="47">
        <v>1</v>
      </c>
    </row>
    <row r="291" spans="1:23" hidden="1">
      <c r="A291">
        <v>3624087450</v>
      </c>
      <c r="B291">
        <v>57240262</v>
      </c>
      <c r="C291" s="36" t="s">
        <v>844</v>
      </c>
      <c r="D291" s="37">
        <v>41976.528807870367</v>
      </c>
      <c r="E291" s="37">
        <v>41976.543819444443</v>
      </c>
      <c r="U291">
        <v>16</v>
      </c>
      <c r="W291" s="47"/>
    </row>
    <row r="292" spans="1:23">
      <c r="A292">
        <v>3624121011</v>
      </c>
      <c r="B292">
        <v>57240262</v>
      </c>
      <c r="C292" s="36" t="s">
        <v>498</v>
      </c>
      <c r="D292" s="37">
        <v>41976.541516203702</v>
      </c>
      <c r="E292" s="37">
        <v>41976.545405092591</v>
      </c>
      <c r="F292">
        <v>1</v>
      </c>
      <c r="G292">
        <v>2</v>
      </c>
      <c r="V292" s="42" t="s">
        <v>30</v>
      </c>
      <c r="W292" s="47">
        <v>2</v>
      </c>
    </row>
    <row r="293" spans="1:23" hidden="1">
      <c r="A293">
        <v>3624120063</v>
      </c>
      <c r="B293">
        <v>57240262</v>
      </c>
      <c r="C293" s="36" t="s">
        <v>845</v>
      </c>
      <c r="D293" s="37">
        <v>41976.541319444441</v>
      </c>
      <c r="E293" s="37">
        <v>41976.54546296296</v>
      </c>
      <c r="O293">
        <v>10</v>
      </c>
      <c r="W293" s="47"/>
    </row>
    <row r="294" spans="1:23" hidden="1">
      <c r="A294">
        <v>3624153706</v>
      </c>
      <c r="B294">
        <v>57240262</v>
      </c>
      <c r="C294" s="36" t="s">
        <v>846</v>
      </c>
      <c r="D294" s="37">
        <v>41976.553310185183</v>
      </c>
      <c r="E294" s="37">
        <v>41976.556030092594</v>
      </c>
      <c r="U294">
        <v>16</v>
      </c>
      <c r="W294" s="47"/>
    </row>
    <row r="295" spans="1:23" hidden="1">
      <c r="A295">
        <v>3624128701</v>
      </c>
      <c r="B295">
        <v>57240262</v>
      </c>
      <c r="C295" s="36" t="s">
        <v>497</v>
      </c>
      <c r="D295" s="37">
        <v>41976.544490740744</v>
      </c>
      <c r="E295" s="37">
        <v>41976.570636574077</v>
      </c>
      <c r="U295">
        <v>16</v>
      </c>
      <c r="W295" s="47"/>
    </row>
    <row r="296" spans="1:23" hidden="1">
      <c r="A296">
        <v>3624233591</v>
      </c>
      <c r="B296">
        <v>57240262</v>
      </c>
      <c r="C296" s="36" t="s">
        <v>2306</v>
      </c>
      <c r="D296" s="37">
        <v>41976.578275462962</v>
      </c>
      <c r="E296" s="37">
        <v>41976.579965277779</v>
      </c>
      <c r="W296" s="47"/>
    </row>
    <row r="297" spans="1:23" hidden="1">
      <c r="A297">
        <v>3624238327</v>
      </c>
      <c r="B297">
        <v>57240262</v>
      </c>
      <c r="C297" s="36" t="s">
        <v>847</v>
      </c>
      <c r="D297" s="37">
        <v>41976.580011574071</v>
      </c>
      <c r="E297" s="37">
        <v>41976.580659722225</v>
      </c>
      <c r="U297">
        <v>16</v>
      </c>
      <c r="W297" s="47"/>
    </row>
    <row r="298" spans="1:23" hidden="1">
      <c r="A298">
        <v>3624288342</v>
      </c>
      <c r="B298">
        <v>57240262</v>
      </c>
      <c r="C298" s="36" t="s">
        <v>848</v>
      </c>
      <c r="D298" s="37">
        <v>41976.593738425923</v>
      </c>
      <c r="E298" s="37">
        <v>41976.595706018517</v>
      </c>
      <c r="R298">
        <v>13</v>
      </c>
      <c r="W298" s="47"/>
    </row>
    <row r="299" spans="1:23" hidden="1">
      <c r="A299">
        <v>3624284198</v>
      </c>
      <c r="B299">
        <v>57240262</v>
      </c>
      <c r="C299" s="36" t="s">
        <v>499</v>
      </c>
      <c r="D299" s="37">
        <v>41976.592280092591</v>
      </c>
      <c r="E299" s="37">
        <v>41976.596307870372</v>
      </c>
      <c r="U299">
        <v>16</v>
      </c>
      <c r="W299" s="47"/>
    </row>
    <row r="300" spans="1:23" hidden="1">
      <c r="A300">
        <v>3624371393</v>
      </c>
      <c r="B300">
        <v>57240262</v>
      </c>
      <c r="C300" s="36" t="s">
        <v>849</v>
      </c>
      <c r="D300" s="37">
        <v>41976.614756944444</v>
      </c>
      <c r="E300" s="37">
        <v>41976.618587962963</v>
      </c>
      <c r="F300">
        <v>1</v>
      </c>
      <c r="G300">
        <v>2</v>
      </c>
      <c r="Q300">
        <v>12</v>
      </c>
      <c r="R300">
        <v>13</v>
      </c>
      <c r="W300" s="47"/>
    </row>
    <row r="301" spans="1:23" hidden="1">
      <c r="A301">
        <v>3624454431</v>
      </c>
      <c r="B301">
        <v>57240262</v>
      </c>
      <c r="C301" s="36" t="s">
        <v>501</v>
      </c>
      <c r="D301" s="37">
        <v>41976.634930555556</v>
      </c>
      <c r="E301" s="37">
        <v>41976.637060185189</v>
      </c>
      <c r="U301">
        <v>16</v>
      </c>
      <c r="W301" s="47"/>
    </row>
    <row r="302" spans="1:23" hidden="1">
      <c r="A302">
        <v>3624450942</v>
      </c>
      <c r="B302">
        <v>57240262</v>
      </c>
      <c r="C302" s="36" t="s">
        <v>850</v>
      </c>
      <c r="D302" s="37">
        <v>41976.634004629632</v>
      </c>
      <c r="E302" s="37">
        <v>41976.637650462966</v>
      </c>
      <c r="H302">
        <v>3</v>
      </c>
      <c r="J302">
        <v>5</v>
      </c>
      <c r="K302">
        <v>6</v>
      </c>
      <c r="W302" s="47"/>
    </row>
    <row r="303" spans="1:23" hidden="1">
      <c r="A303">
        <v>3624500937</v>
      </c>
      <c r="B303">
        <v>57240262</v>
      </c>
      <c r="C303" s="36" t="s">
        <v>851</v>
      </c>
      <c r="D303" s="37">
        <v>41976.645694444444</v>
      </c>
      <c r="E303" s="37">
        <v>41976.649594907409</v>
      </c>
      <c r="U303">
        <v>16</v>
      </c>
      <c r="W303" s="47"/>
    </row>
    <row r="304" spans="1:23" hidden="1">
      <c r="A304">
        <v>3624499293</v>
      </c>
      <c r="B304">
        <v>57240262</v>
      </c>
      <c r="C304" s="36" t="s">
        <v>500</v>
      </c>
      <c r="D304" s="37">
        <v>41976.645300925928</v>
      </c>
      <c r="E304" s="37">
        <v>41976.651273148149</v>
      </c>
      <c r="H304">
        <v>3</v>
      </c>
      <c r="W304" s="47"/>
    </row>
    <row r="305" spans="1:23" hidden="1">
      <c r="A305">
        <v>3624604874</v>
      </c>
      <c r="B305">
        <v>57240262</v>
      </c>
      <c r="C305" s="36" t="s">
        <v>2307</v>
      </c>
      <c r="D305" s="37">
        <v>41976.669791666667</v>
      </c>
      <c r="E305" s="37">
        <v>41976.670543981483</v>
      </c>
      <c r="W305" s="47"/>
    </row>
    <row r="306" spans="1:23" hidden="1">
      <c r="A306">
        <v>3624683493</v>
      </c>
      <c r="B306">
        <v>57240262</v>
      </c>
      <c r="C306" s="36" t="s">
        <v>852</v>
      </c>
      <c r="D306" s="37">
        <v>41976.687847222223</v>
      </c>
      <c r="E306" s="37">
        <v>41976.690706018519</v>
      </c>
      <c r="U306">
        <v>16</v>
      </c>
      <c r="W306" s="47"/>
    </row>
    <row r="307" spans="1:23" hidden="1">
      <c r="A307">
        <v>3624827390</v>
      </c>
      <c r="B307">
        <v>57240262</v>
      </c>
      <c r="C307" s="36" t="s">
        <v>853</v>
      </c>
      <c r="D307" s="37">
        <v>41976.721122685187</v>
      </c>
      <c r="E307" s="37">
        <v>41976.723379629628</v>
      </c>
      <c r="U307">
        <v>16</v>
      </c>
      <c r="W307" s="47"/>
    </row>
    <row r="308" spans="1:23">
      <c r="A308">
        <v>3624829430</v>
      </c>
      <c r="B308">
        <v>57240262</v>
      </c>
      <c r="C308" s="36" t="s">
        <v>854</v>
      </c>
      <c r="D308" s="37">
        <v>41976.721504629626</v>
      </c>
      <c r="E308" s="37">
        <v>41976.725069444445</v>
      </c>
      <c r="F308">
        <v>1</v>
      </c>
      <c r="J308">
        <v>5</v>
      </c>
      <c r="K308">
        <v>6</v>
      </c>
      <c r="Q308">
        <v>12</v>
      </c>
      <c r="V308" s="42" t="s">
        <v>233</v>
      </c>
      <c r="W308" s="47">
        <v>12</v>
      </c>
    </row>
    <row r="309" spans="1:23">
      <c r="A309">
        <v>3625377371</v>
      </c>
      <c r="B309">
        <v>57240262</v>
      </c>
      <c r="C309" s="36" t="s">
        <v>855</v>
      </c>
      <c r="D309" s="37">
        <v>41976.854884259257</v>
      </c>
      <c r="E309" s="37">
        <v>41976.863564814812</v>
      </c>
      <c r="F309">
        <v>1</v>
      </c>
      <c r="J309">
        <v>5</v>
      </c>
      <c r="V309" s="42" t="s">
        <v>28</v>
      </c>
      <c r="W309" s="47">
        <v>1</v>
      </c>
    </row>
    <row r="310" spans="1:23" hidden="1">
      <c r="A310">
        <v>3625433865</v>
      </c>
      <c r="B310">
        <v>57240262</v>
      </c>
      <c r="C310" s="36" t="s">
        <v>856</v>
      </c>
      <c r="D310" s="37">
        <v>41976.868888888886</v>
      </c>
      <c r="E310" s="37">
        <v>41976.87300925926</v>
      </c>
      <c r="I310">
        <v>4</v>
      </c>
      <c r="N310">
        <v>9</v>
      </c>
      <c r="W310" s="47"/>
    </row>
    <row r="311" spans="1:23">
      <c r="A311">
        <v>3625444706</v>
      </c>
      <c r="B311">
        <v>57240262</v>
      </c>
      <c r="C311" s="36" t="s">
        <v>857</v>
      </c>
      <c r="D311" s="37">
        <v>41976.871354166666</v>
      </c>
      <c r="E311" s="37">
        <v>41976.873067129629</v>
      </c>
      <c r="J311">
        <v>5</v>
      </c>
      <c r="O311">
        <v>10</v>
      </c>
      <c r="V311" s="42" t="s">
        <v>232</v>
      </c>
      <c r="W311" s="47">
        <v>5</v>
      </c>
    </row>
    <row r="312" spans="1:23" hidden="1">
      <c r="A312">
        <v>3625455941</v>
      </c>
      <c r="B312">
        <v>57240262</v>
      </c>
      <c r="C312" s="36" t="s">
        <v>858</v>
      </c>
      <c r="D312" s="37">
        <v>41976.874560185184</v>
      </c>
      <c r="E312" s="37">
        <v>41976.879131944443</v>
      </c>
      <c r="F312">
        <v>1</v>
      </c>
      <c r="G312">
        <v>2</v>
      </c>
      <c r="J312">
        <v>5</v>
      </c>
      <c r="R312">
        <v>13</v>
      </c>
      <c r="W312" s="47"/>
    </row>
    <row r="313" spans="1:23" hidden="1">
      <c r="A313">
        <v>3625477615</v>
      </c>
      <c r="B313">
        <v>57240262</v>
      </c>
      <c r="C313" s="36" t="s">
        <v>859</v>
      </c>
      <c r="D313" s="37">
        <v>41976.880185185182</v>
      </c>
      <c r="E313" s="37">
        <v>41976.890972222223</v>
      </c>
      <c r="R313">
        <v>13</v>
      </c>
      <c r="S313">
        <v>14</v>
      </c>
      <c r="W313" s="47"/>
    </row>
    <row r="314" spans="1:23" hidden="1">
      <c r="A314">
        <v>3625539314</v>
      </c>
      <c r="B314">
        <v>57240262</v>
      </c>
      <c r="C314" s="36" t="s">
        <v>860</v>
      </c>
      <c r="D314" s="37">
        <v>41976.896134259259</v>
      </c>
      <c r="E314" s="37">
        <v>41976.897118055553</v>
      </c>
      <c r="O314">
        <v>10</v>
      </c>
      <c r="W314" s="47"/>
    </row>
    <row r="315" spans="1:23" hidden="1">
      <c r="A315">
        <v>3625544769</v>
      </c>
      <c r="B315">
        <v>57240262</v>
      </c>
      <c r="C315" s="36" t="s">
        <v>861</v>
      </c>
      <c r="D315" s="37">
        <v>41976.897662037038</v>
      </c>
      <c r="E315" s="37">
        <v>41976.900289351855</v>
      </c>
      <c r="U315">
        <v>16</v>
      </c>
      <c r="W315" s="47"/>
    </row>
    <row r="316" spans="1:23">
      <c r="A316">
        <v>3625571040</v>
      </c>
      <c r="B316">
        <v>57240262</v>
      </c>
      <c r="C316" s="36" t="s">
        <v>862</v>
      </c>
      <c r="D316" s="37">
        <v>41976.904606481483</v>
      </c>
      <c r="E316" s="37">
        <v>41976.909594907411</v>
      </c>
      <c r="H316">
        <v>3</v>
      </c>
      <c r="K316">
        <v>6</v>
      </c>
      <c r="V316" s="42" t="s">
        <v>231</v>
      </c>
      <c r="W316" s="47">
        <v>6</v>
      </c>
    </row>
    <row r="317" spans="1:23" hidden="1">
      <c r="A317">
        <v>3625624644</v>
      </c>
      <c r="B317">
        <v>57240262</v>
      </c>
      <c r="C317" s="36" t="s">
        <v>502</v>
      </c>
      <c r="D317" s="37">
        <v>41976.91920138889</v>
      </c>
      <c r="E317" s="37">
        <v>41976.9221875</v>
      </c>
      <c r="U317">
        <v>16</v>
      </c>
      <c r="W317" s="47"/>
    </row>
    <row r="318" spans="1:23" hidden="1">
      <c r="A318">
        <v>3625623868</v>
      </c>
      <c r="B318">
        <v>57240262</v>
      </c>
      <c r="C318" s="36" t="s">
        <v>863</v>
      </c>
      <c r="D318" s="37">
        <v>41976.918900462966</v>
      </c>
      <c r="E318" s="37">
        <v>41976.922488425924</v>
      </c>
      <c r="G318">
        <v>2</v>
      </c>
      <c r="H318">
        <v>3</v>
      </c>
      <c r="O318">
        <v>10</v>
      </c>
      <c r="Q318">
        <v>12</v>
      </c>
      <c r="W318" s="47"/>
    </row>
    <row r="319" spans="1:23" hidden="1">
      <c r="A319">
        <v>3625647402</v>
      </c>
      <c r="B319">
        <v>57240262</v>
      </c>
      <c r="C319" s="36" t="s">
        <v>864</v>
      </c>
      <c r="D319" s="37">
        <v>41976.925555555557</v>
      </c>
      <c r="E319" s="37">
        <v>41976.931168981479</v>
      </c>
      <c r="U319">
        <v>16</v>
      </c>
      <c r="W319" s="47"/>
    </row>
    <row r="320" spans="1:23">
      <c r="A320">
        <v>3625668178</v>
      </c>
      <c r="B320">
        <v>57240262</v>
      </c>
      <c r="C320" s="36" t="s">
        <v>865</v>
      </c>
      <c r="D320" s="37">
        <v>41976.931759259256</v>
      </c>
      <c r="E320" s="37">
        <v>41976.938599537039</v>
      </c>
      <c r="F320">
        <v>1</v>
      </c>
      <c r="G320">
        <v>2</v>
      </c>
      <c r="H320">
        <v>3</v>
      </c>
      <c r="O320">
        <v>10</v>
      </c>
      <c r="P320">
        <v>11</v>
      </c>
      <c r="V320" s="42" t="s">
        <v>230</v>
      </c>
      <c r="W320" s="47">
        <v>3</v>
      </c>
    </row>
    <row r="321" spans="1:23" hidden="1">
      <c r="A321">
        <v>3625893971</v>
      </c>
      <c r="B321">
        <v>57240262</v>
      </c>
      <c r="C321" s="36" t="s">
        <v>866</v>
      </c>
      <c r="D321" s="37">
        <v>41977.009305555555</v>
      </c>
      <c r="E321" s="37">
        <v>41977.023680555554</v>
      </c>
      <c r="F321">
        <v>1</v>
      </c>
      <c r="O321">
        <v>10</v>
      </c>
      <c r="W321" s="47"/>
    </row>
    <row r="322" spans="1:23" ht="24">
      <c r="A322">
        <v>3626429400</v>
      </c>
      <c r="B322">
        <v>57240262</v>
      </c>
      <c r="C322" s="36" t="s">
        <v>867</v>
      </c>
      <c r="D322" s="37">
        <v>41977.320347222223</v>
      </c>
      <c r="E322" s="37">
        <v>41977.326956018522</v>
      </c>
      <c r="F322">
        <v>1</v>
      </c>
      <c r="P322">
        <v>11</v>
      </c>
      <c r="Q322">
        <v>12</v>
      </c>
      <c r="S322">
        <v>14</v>
      </c>
      <c r="V322" s="42" t="s">
        <v>229</v>
      </c>
      <c r="W322" s="47">
        <v>12</v>
      </c>
    </row>
    <row r="323" spans="1:23" hidden="1">
      <c r="A323">
        <v>3626444833</v>
      </c>
      <c r="B323">
        <v>57240262</v>
      </c>
      <c r="C323" s="36" t="s">
        <v>868</v>
      </c>
      <c r="D323" s="37">
        <v>41977.332337962966</v>
      </c>
      <c r="E323" s="37">
        <v>41977.332905092589</v>
      </c>
      <c r="U323">
        <v>16</v>
      </c>
      <c r="W323" s="47"/>
    </row>
    <row r="324" spans="1:23" hidden="1">
      <c r="A324">
        <v>3626463973</v>
      </c>
      <c r="B324">
        <v>57240262</v>
      </c>
      <c r="C324" s="36" t="s">
        <v>869</v>
      </c>
      <c r="D324" s="37">
        <v>41977.346226851849</v>
      </c>
      <c r="E324" s="37">
        <v>41977.349675925929</v>
      </c>
      <c r="U324">
        <v>16</v>
      </c>
      <c r="W324" s="47"/>
    </row>
    <row r="325" spans="1:23" hidden="1">
      <c r="A325">
        <v>3626467268</v>
      </c>
      <c r="B325">
        <v>57240262</v>
      </c>
      <c r="C325" s="36" t="s">
        <v>870</v>
      </c>
      <c r="D325" s="37">
        <v>41977.348564814813</v>
      </c>
      <c r="E325" s="37">
        <v>41977.354768518519</v>
      </c>
      <c r="F325">
        <v>1</v>
      </c>
      <c r="I325">
        <v>4</v>
      </c>
      <c r="P325">
        <v>11</v>
      </c>
      <c r="W325" s="47"/>
    </row>
    <row r="326" spans="1:23" hidden="1">
      <c r="A326">
        <v>3626518259</v>
      </c>
      <c r="B326">
        <v>57240262</v>
      </c>
      <c r="C326" s="36" t="s">
        <v>507</v>
      </c>
      <c r="D326" s="37">
        <v>41977.381724537037</v>
      </c>
      <c r="E326" s="37">
        <v>41977.387395833335</v>
      </c>
      <c r="F326">
        <v>1</v>
      </c>
      <c r="K326">
        <v>6</v>
      </c>
      <c r="W326" s="47"/>
    </row>
    <row r="327" spans="1:23" hidden="1">
      <c r="A327">
        <v>3626514704</v>
      </c>
      <c r="B327">
        <v>57240262</v>
      </c>
      <c r="C327" s="36" t="s">
        <v>508</v>
      </c>
      <c r="D327" s="37">
        <v>41977.37945601852</v>
      </c>
      <c r="E327" s="37">
        <v>41977.387465277781</v>
      </c>
      <c r="F327">
        <v>1</v>
      </c>
      <c r="K327">
        <v>6</v>
      </c>
      <c r="W327" s="47"/>
    </row>
    <row r="328" spans="1:23" ht="14">
      <c r="A328">
        <v>3626503995</v>
      </c>
      <c r="B328">
        <v>57240262</v>
      </c>
      <c r="C328" s="36" t="s">
        <v>871</v>
      </c>
      <c r="D328" s="37">
        <v>41977.372789351852</v>
      </c>
      <c r="E328" s="37">
        <v>41977.393645833334</v>
      </c>
      <c r="G328">
        <v>2</v>
      </c>
      <c r="J328">
        <v>5</v>
      </c>
      <c r="P328">
        <v>11</v>
      </c>
      <c r="V328" s="73" t="s">
        <v>3563</v>
      </c>
      <c r="W328" s="47">
        <v>5</v>
      </c>
    </row>
    <row r="329" spans="1:23" hidden="1">
      <c r="A329">
        <v>3626562365</v>
      </c>
      <c r="B329">
        <v>57240262</v>
      </c>
      <c r="C329" s="36" t="s">
        <v>872</v>
      </c>
      <c r="D329" s="37">
        <v>41977.40662037037</v>
      </c>
      <c r="E329" s="37">
        <v>41977.409386574072</v>
      </c>
      <c r="U329">
        <v>16</v>
      </c>
      <c r="W329" s="47"/>
    </row>
    <row r="330" spans="1:23" hidden="1">
      <c r="A330">
        <v>3626566113</v>
      </c>
      <c r="B330">
        <v>57240262</v>
      </c>
      <c r="C330" s="36" t="s">
        <v>2308</v>
      </c>
      <c r="D330" s="37">
        <v>41977.409513888888</v>
      </c>
      <c r="E330" s="37">
        <v>41977.410185185188</v>
      </c>
      <c r="W330" s="47"/>
    </row>
    <row r="331" spans="1:23" hidden="1">
      <c r="A331">
        <v>3626561947</v>
      </c>
      <c r="B331">
        <v>57240262</v>
      </c>
      <c r="C331" s="36" t="s">
        <v>505</v>
      </c>
      <c r="D331" s="37">
        <v>41977.407141203701</v>
      </c>
      <c r="E331" s="37">
        <v>41977.410451388889</v>
      </c>
      <c r="U331">
        <v>16</v>
      </c>
      <c r="W331" s="47"/>
    </row>
    <row r="332" spans="1:23" ht="14">
      <c r="A332">
        <v>3626544323</v>
      </c>
      <c r="B332">
        <v>57240262</v>
      </c>
      <c r="C332" s="36" t="s">
        <v>506</v>
      </c>
      <c r="D332" s="37">
        <v>41977.397233796299</v>
      </c>
      <c r="E332" s="37">
        <v>41977.410879629628</v>
      </c>
      <c r="J332">
        <v>5</v>
      </c>
      <c r="P332">
        <v>11</v>
      </c>
      <c r="V332" s="73" t="s">
        <v>3563</v>
      </c>
      <c r="W332" s="47">
        <v>5</v>
      </c>
    </row>
    <row r="333" spans="1:23" hidden="1">
      <c r="A333">
        <v>3626567594</v>
      </c>
      <c r="B333">
        <v>57240262</v>
      </c>
      <c r="C333" s="36" t="s">
        <v>873</v>
      </c>
      <c r="D333" s="37">
        <v>41977.410300925927</v>
      </c>
      <c r="E333" s="37">
        <v>41977.41138888889</v>
      </c>
      <c r="U333">
        <v>16</v>
      </c>
      <c r="W333" s="47"/>
    </row>
    <row r="334" spans="1:23">
      <c r="A334">
        <v>3626562217</v>
      </c>
      <c r="B334">
        <v>57240262</v>
      </c>
      <c r="C334" s="36" t="s">
        <v>504</v>
      </c>
      <c r="D334" s="37">
        <v>41977.40729166667</v>
      </c>
      <c r="E334" s="37">
        <v>41977.41170138889</v>
      </c>
      <c r="F334">
        <v>1</v>
      </c>
      <c r="K334">
        <v>6</v>
      </c>
      <c r="V334" s="42" t="s">
        <v>228</v>
      </c>
      <c r="W334" s="71">
        <v>1</v>
      </c>
    </row>
    <row r="335" spans="1:23" hidden="1">
      <c r="A335">
        <v>3626562501</v>
      </c>
      <c r="B335">
        <v>57240262</v>
      </c>
      <c r="C335" s="36" t="s">
        <v>510</v>
      </c>
      <c r="D335" s="37">
        <v>41977.407453703701</v>
      </c>
      <c r="E335" s="37">
        <v>41977.412256944444</v>
      </c>
      <c r="U335">
        <v>16</v>
      </c>
      <c r="W335" s="47"/>
    </row>
    <row r="336" spans="1:23" hidden="1">
      <c r="A336">
        <v>3626565271</v>
      </c>
      <c r="B336">
        <v>57240262</v>
      </c>
      <c r="C336" s="36" t="s">
        <v>509</v>
      </c>
      <c r="D336" s="37">
        <v>41977.40892361111</v>
      </c>
      <c r="E336" s="37">
        <v>41977.412743055553</v>
      </c>
      <c r="R336">
        <v>13</v>
      </c>
      <c r="W336" s="47"/>
    </row>
    <row r="337" spans="1:23" hidden="1">
      <c r="A337">
        <v>3626568916</v>
      </c>
      <c r="B337">
        <v>57240262</v>
      </c>
      <c r="C337" s="36" t="s">
        <v>874</v>
      </c>
      <c r="D337" s="37">
        <v>41977.408182870371</v>
      </c>
      <c r="E337" s="37">
        <v>41977.413506944446</v>
      </c>
      <c r="M337">
        <v>8</v>
      </c>
      <c r="W337" s="47"/>
    </row>
    <row r="338" spans="1:23" hidden="1">
      <c r="A338">
        <v>3626566509</v>
      </c>
      <c r="B338">
        <v>57240262</v>
      </c>
      <c r="C338" s="36" t="s">
        <v>537</v>
      </c>
      <c r="D338" s="37">
        <v>41977.409710648149</v>
      </c>
      <c r="E338" s="37">
        <v>41977.41474537037</v>
      </c>
      <c r="I338">
        <v>4</v>
      </c>
      <c r="O338">
        <v>10</v>
      </c>
      <c r="Q338">
        <v>12</v>
      </c>
      <c r="W338" s="47"/>
    </row>
    <row r="339" spans="1:23" hidden="1">
      <c r="A339">
        <v>3626573197</v>
      </c>
      <c r="B339">
        <v>57240262</v>
      </c>
      <c r="C339" s="36" t="s">
        <v>515</v>
      </c>
      <c r="D339" s="37">
        <v>41977.413541666669</v>
      </c>
      <c r="E339" s="37">
        <v>41977.417326388888</v>
      </c>
      <c r="U339">
        <v>16</v>
      </c>
      <c r="W339" s="47"/>
    </row>
    <row r="340" spans="1:23" hidden="1">
      <c r="A340">
        <v>3626575803</v>
      </c>
      <c r="B340">
        <v>57240262</v>
      </c>
      <c r="C340" s="36" t="s">
        <v>875</v>
      </c>
      <c r="D340" s="37">
        <v>41977.41505787037</v>
      </c>
      <c r="E340" s="37">
        <v>41977.418495370373</v>
      </c>
      <c r="I340">
        <v>4</v>
      </c>
      <c r="J340">
        <v>5</v>
      </c>
      <c r="K340">
        <v>6</v>
      </c>
      <c r="Q340">
        <v>12</v>
      </c>
      <c r="R340">
        <v>13</v>
      </c>
      <c r="W340" s="47"/>
    </row>
    <row r="341" spans="1:23" hidden="1">
      <c r="A341">
        <v>3626573408</v>
      </c>
      <c r="B341">
        <v>57240262</v>
      </c>
      <c r="C341" s="36" t="s">
        <v>514</v>
      </c>
      <c r="D341" s="37">
        <v>41977.412835648145</v>
      </c>
      <c r="E341" s="37">
        <v>41977.418680555558</v>
      </c>
      <c r="G341">
        <v>2</v>
      </c>
      <c r="Q341">
        <v>12</v>
      </c>
      <c r="W341" s="47"/>
    </row>
    <row r="342" spans="1:23" hidden="1">
      <c r="A342">
        <v>3626581638</v>
      </c>
      <c r="B342">
        <v>57240262</v>
      </c>
      <c r="C342" s="36" t="s">
        <v>876</v>
      </c>
      <c r="D342" s="37">
        <v>41977.418344907404</v>
      </c>
      <c r="E342" s="37">
        <v>41977.41978009259</v>
      </c>
      <c r="U342">
        <v>16</v>
      </c>
      <c r="W342" s="47"/>
    </row>
    <row r="343" spans="1:23" hidden="1">
      <c r="A343">
        <v>3626577455</v>
      </c>
      <c r="B343">
        <v>57240262</v>
      </c>
      <c r="C343" s="36" t="s">
        <v>538</v>
      </c>
      <c r="D343" s="37">
        <v>41977.416030092594</v>
      </c>
      <c r="E343" s="37">
        <v>41977.419803240744</v>
      </c>
      <c r="F343">
        <v>1</v>
      </c>
      <c r="G343">
        <v>2</v>
      </c>
      <c r="J343">
        <v>5</v>
      </c>
      <c r="L343">
        <v>7</v>
      </c>
      <c r="O343">
        <v>10</v>
      </c>
      <c r="Q343">
        <v>12</v>
      </c>
      <c r="W343" s="47"/>
    </row>
    <row r="344" spans="1:23" hidden="1">
      <c r="A344">
        <v>3626570245</v>
      </c>
      <c r="B344">
        <v>57240262</v>
      </c>
      <c r="C344" s="36" t="s">
        <v>512</v>
      </c>
      <c r="D344" s="37">
        <v>41977.411817129629</v>
      </c>
      <c r="E344" s="37">
        <v>41977.422384259262</v>
      </c>
      <c r="U344">
        <v>16</v>
      </c>
      <c r="W344" s="47"/>
    </row>
    <row r="345" spans="1:23" hidden="1">
      <c r="A345">
        <v>3626574920</v>
      </c>
      <c r="B345">
        <v>57240262</v>
      </c>
      <c r="C345" s="36" t="s">
        <v>513</v>
      </c>
      <c r="D345" s="37">
        <v>41977.414537037039</v>
      </c>
      <c r="E345" s="37">
        <v>41977.42328703704</v>
      </c>
      <c r="F345">
        <v>1</v>
      </c>
      <c r="I345">
        <v>4</v>
      </c>
      <c r="J345">
        <v>5</v>
      </c>
      <c r="M345">
        <v>8</v>
      </c>
      <c r="P345">
        <v>11</v>
      </c>
      <c r="R345">
        <v>13</v>
      </c>
      <c r="W345" s="47"/>
    </row>
    <row r="346" spans="1:23" hidden="1">
      <c r="A346">
        <v>3626585874</v>
      </c>
      <c r="B346">
        <v>57240262</v>
      </c>
      <c r="C346" s="36" t="s">
        <v>877</v>
      </c>
      <c r="D346" s="37">
        <v>41977.420659722222</v>
      </c>
      <c r="E346" s="37">
        <v>41977.425370370373</v>
      </c>
      <c r="M346">
        <v>8</v>
      </c>
      <c r="W346" s="47"/>
    </row>
    <row r="347" spans="1:23" hidden="1">
      <c r="A347">
        <v>3626594943</v>
      </c>
      <c r="B347">
        <v>57240262</v>
      </c>
      <c r="C347" s="36" t="s">
        <v>878</v>
      </c>
      <c r="D347" s="37">
        <v>41977.425439814811</v>
      </c>
      <c r="E347" s="37">
        <v>41977.428310185183</v>
      </c>
      <c r="L347">
        <v>7</v>
      </c>
      <c r="W347" s="47"/>
    </row>
    <row r="348" spans="1:23" hidden="1">
      <c r="A348">
        <v>3626599627</v>
      </c>
      <c r="B348">
        <v>57240262</v>
      </c>
      <c r="C348" s="36" t="s">
        <v>2309</v>
      </c>
      <c r="D348" s="37">
        <v>41977.428344907406</v>
      </c>
      <c r="E348" s="37">
        <v>41977.428819444445</v>
      </c>
      <c r="W348" s="47"/>
    </row>
    <row r="349" spans="1:23" hidden="1">
      <c r="A349">
        <v>3626590694</v>
      </c>
      <c r="B349">
        <v>57240262</v>
      </c>
      <c r="C349" s="36" t="s">
        <v>516</v>
      </c>
      <c r="D349" s="37">
        <v>41977.423425925925</v>
      </c>
      <c r="E349" s="37">
        <v>41977.429270833331</v>
      </c>
      <c r="F349">
        <v>1</v>
      </c>
      <c r="J349">
        <v>5</v>
      </c>
      <c r="W349" s="47"/>
    </row>
    <row r="350" spans="1:23" hidden="1">
      <c r="A350">
        <v>3626605249</v>
      </c>
      <c r="B350">
        <v>57240262</v>
      </c>
      <c r="C350" s="36" t="s">
        <v>2310</v>
      </c>
      <c r="D350" s="37">
        <v>41977.431481481479</v>
      </c>
      <c r="E350" s="37">
        <v>41977.43178240741</v>
      </c>
      <c r="W350" s="47"/>
    </row>
    <row r="351" spans="1:23">
      <c r="A351">
        <v>3626599229</v>
      </c>
      <c r="B351">
        <v>57240262</v>
      </c>
      <c r="C351" s="36" t="s">
        <v>879</v>
      </c>
      <c r="D351" s="37">
        <v>41977.428136574075</v>
      </c>
      <c r="E351" s="37">
        <v>41977.434120370373</v>
      </c>
      <c r="G351">
        <v>2</v>
      </c>
      <c r="K351">
        <v>6</v>
      </c>
      <c r="P351">
        <v>11</v>
      </c>
      <c r="V351" s="42" t="s">
        <v>227</v>
      </c>
      <c r="W351" s="47">
        <v>11</v>
      </c>
    </row>
    <row r="352" spans="1:23" hidden="1">
      <c r="A352">
        <v>3626597326</v>
      </c>
      <c r="B352">
        <v>57240262</v>
      </c>
      <c r="C352" s="36" t="s">
        <v>517</v>
      </c>
      <c r="D352" s="37">
        <v>41977.426736111112</v>
      </c>
      <c r="E352" s="37">
        <v>41977.434502314813</v>
      </c>
      <c r="O352">
        <v>10</v>
      </c>
      <c r="W352" s="47"/>
    </row>
    <row r="353" spans="1:23" hidden="1">
      <c r="A353">
        <v>3626611354</v>
      </c>
      <c r="B353">
        <v>57240262</v>
      </c>
      <c r="C353" s="36" t="s">
        <v>2311</v>
      </c>
      <c r="D353" s="37">
        <v>41977.434583333335</v>
      </c>
      <c r="E353" s="37">
        <v>41977.435358796298</v>
      </c>
      <c r="W353" s="47"/>
    </row>
    <row r="354" spans="1:23" hidden="1">
      <c r="A354">
        <v>3626608992</v>
      </c>
      <c r="B354">
        <v>57240262</v>
      </c>
      <c r="C354" s="36" t="s">
        <v>518</v>
      </c>
      <c r="D354" s="37">
        <v>41977.433425925927</v>
      </c>
      <c r="E354" s="37">
        <v>41977.437118055554</v>
      </c>
      <c r="U354">
        <v>16</v>
      </c>
      <c r="W354" s="47"/>
    </row>
    <row r="355" spans="1:23">
      <c r="A355">
        <v>3626606457</v>
      </c>
      <c r="B355">
        <v>57240262</v>
      </c>
      <c r="C355" s="36" t="s">
        <v>880</v>
      </c>
      <c r="D355" s="37">
        <v>41977.431909722225</v>
      </c>
      <c r="E355" s="37">
        <v>41977.441099537034</v>
      </c>
      <c r="O355">
        <v>10</v>
      </c>
      <c r="Q355">
        <v>12</v>
      </c>
      <c r="V355" s="42" t="s">
        <v>196</v>
      </c>
      <c r="W355" s="47">
        <v>12</v>
      </c>
    </row>
    <row r="356" spans="1:23" hidden="1">
      <c r="A356">
        <v>3626624817</v>
      </c>
      <c r="B356">
        <v>57240262</v>
      </c>
      <c r="C356" s="36" t="s">
        <v>2312</v>
      </c>
      <c r="D356" s="37">
        <v>41977.442002314812</v>
      </c>
      <c r="E356" s="37">
        <v>41977.442476851851</v>
      </c>
      <c r="W356" s="47"/>
    </row>
    <row r="357" spans="1:23" hidden="1">
      <c r="A357">
        <v>3626625884</v>
      </c>
      <c r="B357">
        <v>57240262</v>
      </c>
      <c r="C357" s="36" t="s">
        <v>881</v>
      </c>
      <c r="D357" s="37">
        <v>41977.442685185182</v>
      </c>
      <c r="E357" s="37">
        <v>41977.443576388891</v>
      </c>
      <c r="M357">
        <v>8</v>
      </c>
      <c r="W357" s="47"/>
    </row>
    <row r="358" spans="1:23" hidden="1">
      <c r="A358">
        <v>3626626503</v>
      </c>
      <c r="B358">
        <v>57240262</v>
      </c>
      <c r="C358" s="36" t="s">
        <v>882</v>
      </c>
      <c r="D358" s="37">
        <v>41977.442974537036</v>
      </c>
      <c r="E358" s="37">
        <v>41977.446018518516</v>
      </c>
      <c r="F358">
        <v>1</v>
      </c>
      <c r="G358">
        <v>2</v>
      </c>
      <c r="I358">
        <v>4</v>
      </c>
      <c r="N358">
        <v>9</v>
      </c>
      <c r="W358" s="47"/>
    </row>
    <row r="359" spans="1:23" hidden="1">
      <c r="A359">
        <v>3626626204</v>
      </c>
      <c r="B359">
        <v>57240262</v>
      </c>
      <c r="C359" s="36" t="s">
        <v>519</v>
      </c>
      <c r="D359" s="37">
        <v>41977.442731481482</v>
      </c>
      <c r="E359" s="37">
        <v>41977.446562500001</v>
      </c>
      <c r="M359">
        <v>8</v>
      </c>
      <c r="Q359">
        <v>12</v>
      </c>
      <c r="W359" s="47"/>
    </row>
    <row r="360" spans="1:23" hidden="1">
      <c r="A360">
        <v>3626629237</v>
      </c>
      <c r="B360">
        <v>57240262</v>
      </c>
      <c r="C360" s="36" t="s">
        <v>883</v>
      </c>
      <c r="D360" s="37">
        <v>41977.444548611114</v>
      </c>
      <c r="E360" s="37">
        <v>41977.447418981479</v>
      </c>
      <c r="U360">
        <v>16</v>
      </c>
      <c r="W360" s="47"/>
    </row>
    <row r="361" spans="1:23" hidden="1">
      <c r="A361">
        <v>3626636432</v>
      </c>
      <c r="B361">
        <v>57240262</v>
      </c>
      <c r="C361" s="36" t="s">
        <v>884</v>
      </c>
      <c r="D361" s="37">
        <v>41977.448321759257</v>
      </c>
      <c r="E361" s="37">
        <v>41977.450740740744</v>
      </c>
      <c r="U361">
        <v>16</v>
      </c>
      <c r="W361" s="47"/>
    </row>
    <row r="362" spans="1:23" hidden="1">
      <c r="A362">
        <v>3626648579</v>
      </c>
      <c r="B362">
        <v>57240262</v>
      </c>
      <c r="C362" s="36" t="s">
        <v>885</v>
      </c>
      <c r="D362" s="37">
        <v>41977.455092592594</v>
      </c>
      <c r="E362" s="37">
        <v>41977.45648148148</v>
      </c>
      <c r="I362">
        <v>4</v>
      </c>
      <c r="O362">
        <v>10</v>
      </c>
      <c r="W362" s="47"/>
    </row>
    <row r="363" spans="1:23">
      <c r="A363">
        <v>3626647937</v>
      </c>
      <c r="B363">
        <v>57240262</v>
      </c>
      <c r="C363" s="36" t="s">
        <v>520</v>
      </c>
      <c r="D363" s="37">
        <v>41977.454664351855</v>
      </c>
      <c r="E363" s="37">
        <v>41977.459421296298</v>
      </c>
      <c r="O363">
        <v>10</v>
      </c>
      <c r="Q363">
        <v>12</v>
      </c>
      <c r="V363" s="42" t="s">
        <v>40</v>
      </c>
      <c r="W363" s="47">
        <v>12</v>
      </c>
    </row>
    <row r="364" spans="1:23" hidden="1">
      <c r="A364">
        <v>3626604874</v>
      </c>
      <c r="B364">
        <v>57240262</v>
      </c>
      <c r="C364" s="36" t="s">
        <v>539</v>
      </c>
      <c r="D364" s="37">
        <v>41977.431226851855</v>
      </c>
      <c r="E364" s="37">
        <v>41977.462094907409</v>
      </c>
      <c r="U364">
        <v>16</v>
      </c>
      <c r="W364" s="47"/>
    </row>
    <row r="365" spans="1:23" hidden="1">
      <c r="A365">
        <v>3626653506</v>
      </c>
      <c r="B365">
        <v>57240262</v>
      </c>
      <c r="C365" s="36" t="s">
        <v>886</v>
      </c>
      <c r="D365" s="37">
        <v>41977.457812499997</v>
      </c>
      <c r="E365" s="37">
        <v>41977.464618055557</v>
      </c>
      <c r="U365">
        <v>16</v>
      </c>
      <c r="W365" s="47"/>
    </row>
    <row r="366" spans="1:23" hidden="1">
      <c r="A366">
        <v>3626658656</v>
      </c>
      <c r="B366">
        <v>57240262</v>
      </c>
      <c r="C366" s="36" t="s">
        <v>887</v>
      </c>
      <c r="D366" s="37">
        <v>41977.460497685184</v>
      </c>
      <c r="E366" s="37">
        <v>41977.465590277781</v>
      </c>
      <c r="U366">
        <v>16</v>
      </c>
      <c r="W366" s="47"/>
    </row>
    <row r="367" spans="1:23" hidden="1">
      <c r="A367">
        <v>3626670050</v>
      </c>
      <c r="B367">
        <v>57240262</v>
      </c>
      <c r="C367" s="36" t="s">
        <v>888</v>
      </c>
      <c r="D367" s="37">
        <v>41977.466782407406</v>
      </c>
      <c r="E367" s="37">
        <v>41977.469456018516</v>
      </c>
      <c r="K367">
        <v>6</v>
      </c>
      <c r="O367">
        <v>10</v>
      </c>
      <c r="W367" s="47"/>
    </row>
    <row r="368" spans="1:23" hidden="1">
      <c r="A368">
        <v>3626664165</v>
      </c>
      <c r="B368">
        <v>57240262</v>
      </c>
      <c r="C368" s="36" t="s">
        <v>521</v>
      </c>
      <c r="D368" s="37">
        <v>41977.46361111111</v>
      </c>
      <c r="E368" s="37">
        <v>41977.469976851855</v>
      </c>
      <c r="U368">
        <v>16</v>
      </c>
      <c r="W368" s="47"/>
    </row>
    <row r="369" spans="1:23" hidden="1">
      <c r="A369">
        <v>3626675282</v>
      </c>
      <c r="B369">
        <v>57240262</v>
      </c>
      <c r="C369" s="36" t="s">
        <v>889</v>
      </c>
      <c r="D369" s="37">
        <v>41977.469363425924</v>
      </c>
      <c r="E369" s="37">
        <v>41977.472430555557</v>
      </c>
      <c r="O369">
        <v>10</v>
      </c>
      <c r="W369" s="47"/>
    </row>
    <row r="370" spans="1:23" hidden="1">
      <c r="A370">
        <v>3626675583</v>
      </c>
      <c r="B370">
        <v>57240262</v>
      </c>
      <c r="C370" s="36" t="s">
        <v>890</v>
      </c>
      <c r="D370" s="37">
        <v>41977.46974537037</v>
      </c>
      <c r="E370" s="37">
        <v>41977.475069444445</v>
      </c>
      <c r="U370">
        <v>16</v>
      </c>
      <c r="W370" s="47"/>
    </row>
    <row r="371" spans="1:23" hidden="1">
      <c r="A371">
        <v>3626681999</v>
      </c>
      <c r="B371">
        <v>57240262</v>
      </c>
      <c r="C371" s="36" t="s">
        <v>522</v>
      </c>
      <c r="D371" s="37">
        <v>41977.472974537035</v>
      </c>
      <c r="E371" s="37">
        <v>41977.484976851854</v>
      </c>
      <c r="M371">
        <v>8</v>
      </c>
      <c r="W371" s="47"/>
    </row>
    <row r="372" spans="1:23" hidden="1">
      <c r="A372">
        <v>3626679159</v>
      </c>
      <c r="B372">
        <v>57240262</v>
      </c>
      <c r="C372" s="36" t="s">
        <v>891</v>
      </c>
      <c r="D372" s="37">
        <v>41977.471516203703</v>
      </c>
      <c r="E372" s="37">
        <v>41977.48542824074</v>
      </c>
      <c r="J372">
        <v>5</v>
      </c>
      <c r="K372">
        <v>6</v>
      </c>
      <c r="W372" s="47"/>
    </row>
    <row r="373" spans="1:23" hidden="1">
      <c r="A373">
        <v>3626709301</v>
      </c>
      <c r="B373">
        <v>57240262</v>
      </c>
      <c r="C373" s="36" t="s">
        <v>2313</v>
      </c>
      <c r="D373" s="37">
        <v>41977.486608796295</v>
      </c>
      <c r="E373" s="37">
        <v>41977.487430555557</v>
      </c>
      <c r="W373" s="47"/>
    </row>
    <row r="374" spans="1:23" hidden="1">
      <c r="A374">
        <v>3626702525</v>
      </c>
      <c r="B374">
        <v>57240262</v>
      </c>
      <c r="C374" s="36" t="s">
        <v>892</v>
      </c>
      <c r="D374" s="37">
        <v>41977.48332175926</v>
      </c>
      <c r="E374" s="37">
        <v>41977.491377314815</v>
      </c>
      <c r="U374">
        <v>16</v>
      </c>
      <c r="W374" s="47"/>
    </row>
    <row r="375" spans="1:23" hidden="1">
      <c r="A375">
        <v>3626723659</v>
      </c>
      <c r="B375">
        <v>57240262</v>
      </c>
      <c r="C375" s="36" t="s">
        <v>893</v>
      </c>
      <c r="D375" s="37">
        <v>41977.491076388891</v>
      </c>
      <c r="E375" s="37">
        <v>41977.497928240744</v>
      </c>
      <c r="F375">
        <v>1</v>
      </c>
      <c r="W375" s="47"/>
    </row>
    <row r="376" spans="1:23" hidden="1">
      <c r="A376">
        <v>3626725581</v>
      </c>
      <c r="B376">
        <v>57240262</v>
      </c>
      <c r="C376" s="36" t="s">
        <v>894</v>
      </c>
      <c r="D376" s="37">
        <v>41977.49454861111</v>
      </c>
      <c r="E376" s="37">
        <v>41977.500243055554</v>
      </c>
      <c r="F376">
        <v>1</v>
      </c>
      <c r="W376" s="47"/>
    </row>
    <row r="377" spans="1:23" hidden="1">
      <c r="A377">
        <v>3626761060</v>
      </c>
      <c r="B377">
        <v>57240262</v>
      </c>
      <c r="C377" s="36" t="s">
        <v>895</v>
      </c>
      <c r="D377" s="37">
        <v>41977.510833333334</v>
      </c>
      <c r="E377" s="37">
        <v>41977.518333333333</v>
      </c>
      <c r="U377">
        <v>16</v>
      </c>
      <c r="W377" s="47"/>
    </row>
    <row r="378" spans="1:23" hidden="1">
      <c r="A378">
        <v>3626775969</v>
      </c>
      <c r="B378">
        <v>57240262</v>
      </c>
      <c r="C378" s="36" t="s">
        <v>896</v>
      </c>
      <c r="D378" s="37">
        <v>41977.51767361111</v>
      </c>
      <c r="E378" s="37">
        <v>41977.522604166668</v>
      </c>
      <c r="U378">
        <v>16</v>
      </c>
      <c r="W378" s="47"/>
    </row>
    <row r="379" spans="1:23" hidden="1">
      <c r="A379">
        <v>3626805711</v>
      </c>
      <c r="B379">
        <v>57240262</v>
      </c>
      <c r="C379" s="36" t="s">
        <v>897</v>
      </c>
      <c r="D379" s="37">
        <v>41977.530370370368</v>
      </c>
      <c r="E379" s="37">
        <v>41977.534687500003</v>
      </c>
      <c r="F379">
        <v>1</v>
      </c>
      <c r="G379">
        <v>2</v>
      </c>
      <c r="H379">
        <v>3</v>
      </c>
      <c r="K379">
        <v>6</v>
      </c>
      <c r="P379">
        <v>11</v>
      </c>
      <c r="R379">
        <v>13</v>
      </c>
      <c r="W379" s="47"/>
    </row>
    <row r="380" spans="1:23" hidden="1">
      <c r="A380">
        <v>3626823271</v>
      </c>
      <c r="B380">
        <v>57240262</v>
      </c>
      <c r="C380" s="36" t="s">
        <v>2314</v>
      </c>
      <c r="D380" s="37">
        <v>41977.537256944444</v>
      </c>
      <c r="E380" s="37">
        <v>41977.538981481484</v>
      </c>
      <c r="W380" s="47"/>
    </row>
    <row r="381" spans="1:23" hidden="1">
      <c r="A381">
        <v>3626853757</v>
      </c>
      <c r="B381">
        <v>57240262</v>
      </c>
      <c r="C381" s="36" t="s">
        <v>898</v>
      </c>
      <c r="D381" s="37">
        <v>41977.548692129632</v>
      </c>
      <c r="E381" s="37">
        <v>41977.552037037036</v>
      </c>
      <c r="U381">
        <v>16</v>
      </c>
      <c r="W381" s="47"/>
    </row>
    <row r="382" spans="1:23" hidden="1">
      <c r="A382">
        <v>3626859881</v>
      </c>
      <c r="B382">
        <v>57240262</v>
      </c>
      <c r="C382" s="36" t="s">
        <v>899</v>
      </c>
      <c r="D382" s="37">
        <v>41977.550868055558</v>
      </c>
      <c r="E382" s="37">
        <v>41977.554629629631</v>
      </c>
      <c r="U382">
        <v>16</v>
      </c>
      <c r="W382" s="47"/>
    </row>
    <row r="383" spans="1:23" hidden="1">
      <c r="A383">
        <v>3626872930</v>
      </c>
      <c r="B383">
        <v>57240262</v>
      </c>
      <c r="C383" s="36" t="s">
        <v>900</v>
      </c>
      <c r="D383" s="37">
        <v>41977.555497685185</v>
      </c>
      <c r="E383" s="37">
        <v>41977.561979166669</v>
      </c>
      <c r="G383">
        <v>2</v>
      </c>
      <c r="I383">
        <v>4</v>
      </c>
      <c r="P383">
        <v>11</v>
      </c>
      <c r="W383" s="47"/>
    </row>
    <row r="384" spans="1:23" hidden="1">
      <c r="A384">
        <v>3626926375</v>
      </c>
      <c r="B384">
        <v>57240262</v>
      </c>
      <c r="C384" s="36" t="s">
        <v>2315</v>
      </c>
      <c r="D384" s="37">
        <v>41977.57309027778</v>
      </c>
      <c r="E384" s="37">
        <v>41977.573969907404</v>
      </c>
      <c r="W384" s="47"/>
    </row>
    <row r="385" spans="1:23" hidden="1">
      <c r="A385">
        <v>3626950207</v>
      </c>
      <c r="B385">
        <v>57240262</v>
      </c>
      <c r="C385" s="36" t="s">
        <v>901</v>
      </c>
      <c r="D385" s="37">
        <v>41977.580405092594</v>
      </c>
      <c r="E385" s="37">
        <v>41977.582430555558</v>
      </c>
      <c r="F385">
        <v>1</v>
      </c>
      <c r="K385">
        <v>6</v>
      </c>
      <c r="W385" s="47"/>
    </row>
    <row r="386" spans="1:23" hidden="1">
      <c r="A386">
        <v>3627048076</v>
      </c>
      <c r="B386">
        <v>57240262</v>
      </c>
      <c r="C386" s="36" t="s">
        <v>902</v>
      </c>
      <c r="D386" s="37">
        <v>41977.607233796298</v>
      </c>
      <c r="E386" s="37">
        <v>41977.610509259262</v>
      </c>
      <c r="U386">
        <v>16</v>
      </c>
      <c r="W386" s="47"/>
    </row>
    <row r="387" spans="1:23" hidden="1">
      <c r="A387">
        <v>3627065559</v>
      </c>
      <c r="B387">
        <v>57240262</v>
      </c>
      <c r="C387" s="36" t="s">
        <v>2316</v>
      </c>
      <c r="D387" s="37">
        <v>41977.61178240741</v>
      </c>
      <c r="E387" s="37">
        <v>41977.612222222226</v>
      </c>
      <c r="W387" s="47"/>
    </row>
    <row r="388" spans="1:23" hidden="1">
      <c r="A388">
        <v>3627057163</v>
      </c>
      <c r="B388">
        <v>57240262</v>
      </c>
      <c r="C388" s="36" t="s">
        <v>903</v>
      </c>
      <c r="D388" s="37">
        <v>41977.609548611108</v>
      </c>
      <c r="E388" s="37">
        <v>41977.61241898148</v>
      </c>
      <c r="I388">
        <v>4</v>
      </c>
      <c r="W388" s="47"/>
    </row>
    <row r="389" spans="1:23">
      <c r="A389">
        <v>3627061206</v>
      </c>
      <c r="B389">
        <v>57240262</v>
      </c>
      <c r="C389" s="36" t="s">
        <v>904</v>
      </c>
      <c r="D389" s="37">
        <v>41977.610532407409</v>
      </c>
      <c r="E389" s="37">
        <v>41977.624050925922</v>
      </c>
      <c r="I389">
        <v>4</v>
      </c>
      <c r="O389">
        <v>10</v>
      </c>
      <c r="V389" s="42" t="s">
        <v>226</v>
      </c>
      <c r="W389" s="47">
        <v>10</v>
      </c>
    </row>
    <row r="390" spans="1:23" hidden="1">
      <c r="A390">
        <v>3627114910</v>
      </c>
      <c r="B390">
        <v>57240262</v>
      </c>
      <c r="C390" s="36" t="s">
        <v>905</v>
      </c>
      <c r="D390" s="37">
        <v>41977.624363425923</v>
      </c>
      <c r="E390" s="37">
        <v>41977.625254629631</v>
      </c>
      <c r="F390">
        <v>1</v>
      </c>
      <c r="W390" s="47"/>
    </row>
    <row r="391" spans="1:23" hidden="1">
      <c r="A391">
        <v>3627120488</v>
      </c>
      <c r="B391">
        <v>57240262</v>
      </c>
      <c r="C391" s="36" t="s">
        <v>906</v>
      </c>
      <c r="D391" s="37">
        <v>41977.625775462962</v>
      </c>
      <c r="E391" s="37">
        <v>41977.63208333333</v>
      </c>
      <c r="O391">
        <v>10</v>
      </c>
      <c r="W391" s="47"/>
    </row>
    <row r="392" spans="1:23" hidden="1">
      <c r="A392">
        <v>3627165254</v>
      </c>
      <c r="B392">
        <v>57240262</v>
      </c>
      <c r="C392" s="36" t="s">
        <v>907</v>
      </c>
      <c r="D392" s="37">
        <v>41977.636608796296</v>
      </c>
      <c r="E392" s="37">
        <v>41977.637974537036</v>
      </c>
      <c r="U392">
        <v>16</v>
      </c>
      <c r="W392" s="47"/>
    </row>
    <row r="393" spans="1:23" hidden="1">
      <c r="A393">
        <v>3627176135</v>
      </c>
      <c r="B393">
        <v>57240262</v>
      </c>
      <c r="C393" s="36" t="s">
        <v>2317</v>
      </c>
      <c r="D393" s="37">
        <v>41977.639444444445</v>
      </c>
      <c r="E393" s="37">
        <v>41977.640694444446</v>
      </c>
      <c r="W393" s="47"/>
    </row>
    <row r="394" spans="1:23" hidden="1">
      <c r="A394">
        <v>3627409740</v>
      </c>
      <c r="B394">
        <v>57240262</v>
      </c>
      <c r="C394" s="36" t="s">
        <v>908</v>
      </c>
      <c r="D394" s="37">
        <v>41977.695636574077</v>
      </c>
      <c r="E394" s="37">
        <v>41977.697245370371</v>
      </c>
      <c r="H394">
        <v>3</v>
      </c>
      <c r="W394" s="47"/>
    </row>
    <row r="395" spans="1:23" hidden="1">
      <c r="A395">
        <v>3627443404</v>
      </c>
      <c r="B395">
        <v>57240262</v>
      </c>
      <c r="C395" s="36" t="s">
        <v>909</v>
      </c>
      <c r="D395" s="37">
        <v>41977.703912037039</v>
      </c>
      <c r="E395" s="37">
        <v>41977.712835648148</v>
      </c>
      <c r="K395">
        <v>6</v>
      </c>
      <c r="W395" s="47"/>
    </row>
    <row r="396" spans="1:23" hidden="1">
      <c r="A396">
        <v>3627485528</v>
      </c>
      <c r="B396">
        <v>57240262</v>
      </c>
      <c r="C396" s="36" t="s">
        <v>523</v>
      </c>
      <c r="D396" s="37">
        <v>41977.714166666665</v>
      </c>
      <c r="E396" s="37">
        <v>41977.715532407405</v>
      </c>
      <c r="U396">
        <v>16</v>
      </c>
      <c r="W396" s="47"/>
    </row>
    <row r="397" spans="1:23" hidden="1">
      <c r="A397">
        <v>3627477827</v>
      </c>
      <c r="B397">
        <v>57240262</v>
      </c>
      <c r="C397" s="36" t="s">
        <v>910</v>
      </c>
      <c r="D397" s="37">
        <v>41977.712268518517</v>
      </c>
      <c r="E397" s="37">
        <v>41977.715821759259</v>
      </c>
      <c r="F397">
        <v>1</v>
      </c>
      <c r="G397">
        <v>2</v>
      </c>
      <c r="H397">
        <v>3</v>
      </c>
      <c r="J397">
        <v>5</v>
      </c>
      <c r="W397" s="47"/>
    </row>
    <row r="398" spans="1:23" hidden="1">
      <c r="A398">
        <v>3627487357</v>
      </c>
      <c r="B398">
        <v>57240262</v>
      </c>
      <c r="C398" s="36" t="s">
        <v>911</v>
      </c>
      <c r="D398" s="37">
        <v>41977.714606481481</v>
      </c>
      <c r="E398" s="37">
        <v>41977.717893518522</v>
      </c>
      <c r="G398">
        <v>2</v>
      </c>
      <c r="W398" s="47"/>
    </row>
    <row r="399" spans="1:23" hidden="1">
      <c r="A399">
        <v>3627518595</v>
      </c>
      <c r="B399">
        <v>57240262</v>
      </c>
      <c r="C399" s="36" t="s">
        <v>912</v>
      </c>
      <c r="D399" s="37">
        <v>41977.722442129627</v>
      </c>
      <c r="E399" s="37">
        <v>41977.72415509259</v>
      </c>
      <c r="F399">
        <v>1</v>
      </c>
      <c r="H399">
        <v>3</v>
      </c>
      <c r="O399">
        <v>10</v>
      </c>
      <c r="W399" s="47"/>
    </row>
    <row r="400" spans="1:23" hidden="1">
      <c r="A400">
        <v>3627530891</v>
      </c>
      <c r="B400">
        <v>57240262</v>
      </c>
      <c r="C400" s="36" t="s">
        <v>913</v>
      </c>
      <c r="D400" s="37">
        <v>41977.725659722222</v>
      </c>
      <c r="E400" s="37">
        <v>41977.73265046296</v>
      </c>
      <c r="G400">
        <v>2</v>
      </c>
      <c r="M400">
        <v>8</v>
      </c>
      <c r="W400" s="47"/>
    </row>
    <row r="401" spans="1:23" hidden="1">
      <c r="A401">
        <v>3627552332</v>
      </c>
      <c r="B401">
        <v>57240262</v>
      </c>
      <c r="C401" s="36" t="s">
        <v>914</v>
      </c>
      <c r="D401" s="37">
        <v>41977.731203703705</v>
      </c>
      <c r="E401" s="37">
        <v>41977.734918981485</v>
      </c>
      <c r="U401">
        <v>16</v>
      </c>
      <c r="W401" s="47"/>
    </row>
    <row r="402" spans="1:23" hidden="1">
      <c r="A402">
        <v>3627588022</v>
      </c>
      <c r="B402">
        <v>57240262</v>
      </c>
      <c r="C402" s="36" t="s">
        <v>915</v>
      </c>
      <c r="D402" s="37">
        <v>41977.740416666667</v>
      </c>
      <c r="E402" s="37">
        <v>41977.746446759258</v>
      </c>
      <c r="I402">
        <v>4</v>
      </c>
      <c r="K402">
        <v>6</v>
      </c>
      <c r="W402" s="47"/>
    </row>
    <row r="403" spans="1:23" hidden="1">
      <c r="A403">
        <v>3627637877</v>
      </c>
      <c r="B403">
        <v>57240262</v>
      </c>
      <c r="C403" s="36" t="s">
        <v>2318</v>
      </c>
      <c r="D403" s="37">
        <v>41977.753275462965</v>
      </c>
      <c r="E403" s="37">
        <v>41977.754016203704</v>
      </c>
      <c r="W403" s="47"/>
    </row>
    <row r="404" spans="1:23" hidden="1">
      <c r="A404">
        <v>3627651895</v>
      </c>
      <c r="B404">
        <v>57240262</v>
      </c>
      <c r="C404" s="36" t="s">
        <v>916</v>
      </c>
      <c r="D404" s="37">
        <v>41977.757025462961</v>
      </c>
      <c r="E404" s="37">
        <v>41977.75922453704</v>
      </c>
      <c r="U404">
        <v>16</v>
      </c>
      <c r="W404" s="47"/>
    </row>
    <row r="405" spans="1:23" hidden="1">
      <c r="A405">
        <v>3627628962</v>
      </c>
      <c r="B405">
        <v>57240262</v>
      </c>
      <c r="C405" s="36" t="s">
        <v>524</v>
      </c>
      <c r="D405" s="37">
        <v>41977.750868055555</v>
      </c>
      <c r="E405" s="37">
        <v>41977.775185185186</v>
      </c>
      <c r="G405">
        <v>2</v>
      </c>
      <c r="O405">
        <v>10</v>
      </c>
      <c r="W405" s="47"/>
    </row>
    <row r="406" spans="1:23">
      <c r="A406">
        <v>3627694644</v>
      </c>
      <c r="B406">
        <v>57240262</v>
      </c>
      <c r="C406" s="36" t="s">
        <v>917</v>
      </c>
      <c r="D406" s="37">
        <v>41977.767465277779</v>
      </c>
      <c r="E406" s="37">
        <v>41977.775821759256</v>
      </c>
      <c r="F406">
        <v>1</v>
      </c>
      <c r="G406">
        <v>2</v>
      </c>
      <c r="H406">
        <v>3</v>
      </c>
      <c r="O406">
        <v>10</v>
      </c>
      <c r="V406" s="42" t="s">
        <v>25</v>
      </c>
      <c r="W406" s="47">
        <v>1</v>
      </c>
    </row>
    <row r="407" spans="1:23" hidden="1">
      <c r="A407">
        <v>3627796611</v>
      </c>
      <c r="B407">
        <v>57240262</v>
      </c>
      <c r="C407" s="36" t="s">
        <v>2319</v>
      </c>
      <c r="D407" s="37">
        <v>41977.794988425929</v>
      </c>
      <c r="E407" s="37">
        <v>41977.795416666668</v>
      </c>
      <c r="W407" s="47"/>
    </row>
    <row r="408" spans="1:23">
      <c r="A408">
        <v>3627777773</v>
      </c>
      <c r="B408">
        <v>57240262</v>
      </c>
      <c r="C408" s="36" t="s">
        <v>525</v>
      </c>
      <c r="D408" s="37">
        <v>41977.789918981478</v>
      </c>
      <c r="E408" s="37">
        <v>41977.798194444447</v>
      </c>
      <c r="F408">
        <v>1</v>
      </c>
      <c r="M408">
        <v>8</v>
      </c>
      <c r="V408" s="42" t="s">
        <v>101</v>
      </c>
      <c r="W408" s="47">
        <v>1</v>
      </c>
    </row>
    <row r="409" spans="1:23" hidden="1">
      <c r="A409">
        <v>3627878134</v>
      </c>
      <c r="B409">
        <v>57240262</v>
      </c>
      <c r="C409" s="36" t="s">
        <v>918</v>
      </c>
      <c r="D409" s="37">
        <v>41977.815868055557</v>
      </c>
      <c r="E409" s="37">
        <v>41977.827268518522</v>
      </c>
      <c r="J409">
        <v>5</v>
      </c>
      <c r="P409">
        <v>11</v>
      </c>
      <c r="W409" s="47"/>
    </row>
    <row r="410" spans="1:23" hidden="1">
      <c r="A410">
        <v>3627909391</v>
      </c>
      <c r="B410">
        <v>57240262</v>
      </c>
      <c r="C410" s="36" t="s">
        <v>919</v>
      </c>
      <c r="D410" s="37">
        <v>41977.82403935185</v>
      </c>
      <c r="E410" s="37">
        <v>41977.828159722223</v>
      </c>
      <c r="K410">
        <v>6</v>
      </c>
      <c r="W410" s="47"/>
    </row>
    <row r="411" spans="1:23" hidden="1">
      <c r="A411">
        <v>3627983556</v>
      </c>
      <c r="B411">
        <v>57240262</v>
      </c>
      <c r="C411" s="36" t="s">
        <v>920</v>
      </c>
      <c r="D411" s="37">
        <v>41977.842962962961</v>
      </c>
      <c r="E411" s="37">
        <v>41977.845578703702</v>
      </c>
      <c r="U411">
        <v>16</v>
      </c>
      <c r="W411" s="47"/>
    </row>
    <row r="412" spans="1:23" ht="24">
      <c r="A412">
        <v>3628106361</v>
      </c>
      <c r="B412">
        <v>57240262</v>
      </c>
      <c r="C412" s="36" t="s">
        <v>921</v>
      </c>
      <c r="D412" s="37">
        <v>41977.875474537039</v>
      </c>
      <c r="E412" s="37">
        <v>41977.883958333332</v>
      </c>
      <c r="N412">
        <v>9</v>
      </c>
      <c r="O412">
        <v>10</v>
      </c>
      <c r="V412" s="42" t="s">
        <v>225</v>
      </c>
      <c r="W412" s="47">
        <v>10</v>
      </c>
    </row>
    <row r="413" spans="1:23" hidden="1">
      <c r="A413">
        <v>3628166376</v>
      </c>
      <c r="B413">
        <v>57240262</v>
      </c>
      <c r="C413" s="36" t="s">
        <v>922</v>
      </c>
      <c r="D413" s="37">
        <v>41977.89199074074</v>
      </c>
      <c r="E413" s="37">
        <v>41977.899050925924</v>
      </c>
      <c r="U413">
        <v>16</v>
      </c>
      <c r="W413" s="47"/>
    </row>
    <row r="414" spans="1:23" ht="24">
      <c r="A414">
        <v>3628144436</v>
      </c>
      <c r="B414">
        <v>57240262</v>
      </c>
      <c r="C414" s="36" t="s">
        <v>527</v>
      </c>
      <c r="D414" s="37">
        <v>41977.885983796295</v>
      </c>
      <c r="E414" s="37">
        <v>41977.910081018519</v>
      </c>
      <c r="F414">
        <v>1</v>
      </c>
      <c r="G414">
        <v>2</v>
      </c>
      <c r="O414">
        <v>10</v>
      </c>
      <c r="Q414">
        <v>12</v>
      </c>
      <c r="V414" s="42" t="s">
        <v>224</v>
      </c>
      <c r="W414" s="47">
        <v>2</v>
      </c>
    </row>
    <row r="415" spans="1:23" hidden="1">
      <c r="A415">
        <v>3628218810</v>
      </c>
      <c r="B415">
        <v>57240262</v>
      </c>
      <c r="C415" s="36" t="s">
        <v>923</v>
      </c>
      <c r="D415" s="37">
        <v>41977.907476851855</v>
      </c>
      <c r="E415" s="37">
        <v>41977.912407407406</v>
      </c>
      <c r="G415">
        <v>2</v>
      </c>
      <c r="W415" s="47"/>
    </row>
    <row r="416" spans="1:23" hidden="1">
      <c r="A416">
        <v>3628307258</v>
      </c>
      <c r="B416">
        <v>57240262</v>
      </c>
      <c r="C416" s="36" t="s">
        <v>924</v>
      </c>
      <c r="D416" s="37">
        <v>41977.934525462966</v>
      </c>
      <c r="E416" s="37">
        <v>41977.940810185188</v>
      </c>
      <c r="K416">
        <v>6</v>
      </c>
      <c r="M416">
        <v>8</v>
      </c>
      <c r="Q416">
        <v>12</v>
      </c>
      <c r="R416">
        <v>13</v>
      </c>
      <c r="S416">
        <v>14</v>
      </c>
      <c r="W416" s="47"/>
    </row>
    <row r="417" spans="1:23">
      <c r="A417">
        <v>3628363036</v>
      </c>
      <c r="B417">
        <v>57240262</v>
      </c>
      <c r="C417" s="36" t="s">
        <v>925</v>
      </c>
      <c r="D417" s="37">
        <v>41977.953842592593</v>
      </c>
      <c r="E417" s="37">
        <v>41977.974328703705</v>
      </c>
      <c r="G417">
        <v>2</v>
      </c>
      <c r="H417">
        <v>3</v>
      </c>
      <c r="N417">
        <v>9</v>
      </c>
      <c r="O417">
        <v>10</v>
      </c>
      <c r="Q417">
        <v>12</v>
      </c>
      <c r="V417" s="42" t="s">
        <v>95</v>
      </c>
      <c r="W417" s="47">
        <v>2</v>
      </c>
    </row>
    <row r="418" spans="1:23" hidden="1">
      <c r="A418">
        <v>3628410869</v>
      </c>
      <c r="B418">
        <v>57240262</v>
      </c>
      <c r="C418" s="36" t="s">
        <v>926</v>
      </c>
      <c r="D418" s="37">
        <v>41977.972233796296</v>
      </c>
      <c r="E418" s="37">
        <v>41977.976990740739</v>
      </c>
      <c r="U418">
        <v>16</v>
      </c>
      <c r="W418" s="47"/>
    </row>
    <row r="419" spans="1:23" hidden="1">
      <c r="A419">
        <v>3628536317</v>
      </c>
      <c r="B419">
        <v>57240262</v>
      </c>
      <c r="C419" s="36" t="s">
        <v>927</v>
      </c>
      <c r="D419" s="37">
        <v>41978.027106481481</v>
      </c>
      <c r="E419" s="37">
        <v>41978.030115740738</v>
      </c>
      <c r="U419">
        <v>16</v>
      </c>
      <c r="W419" s="47"/>
    </row>
    <row r="420" spans="1:23" hidden="1">
      <c r="A420">
        <v>3628557702</v>
      </c>
      <c r="B420">
        <v>57240262</v>
      </c>
      <c r="C420" s="36" t="s">
        <v>928</v>
      </c>
      <c r="D420" s="37">
        <v>41978.037291666667</v>
      </c>
      <c r="E420" s="37">
        <v>41978.044768518521</v>
      </c>
      <c r="G420">
        <v>2</v>
      </c>
      <c r="O420">
        <v>10</v>
      </c>
      <c r="R420">
        <v>13</v>
      </c>
      <c r="W420" s="47"/>
    </row>
    <row r="421" spans="1:23" hidden="1">
      <c r="A421">
        <v>3629007827</v>
      </c>
      <c r="B421">
        <v>57240262</v>
      </c>
      <c r="C421" s="36" t="s">
        <v>929</v>
      </c>
      <c r="D421" s="37">
        <v>41978.346956018519</v>
      </c>
      <c r="E421" s="37">
        <v>41978.355243055557</v>
      </c>
      <c r="J421">
        <v>5</v>
      </c>
      <c r="W421" s="47"/>
    </row>
    <row r="422" spans="1:23" hidden="1">
      <c r="A422">
        <v>3629083964</v>
      </c>
      <c r="B422">
        <v>57240262</v>
      </c>
      <c r="C422" s="36" t="s">
        <v>930</v>
      </c>
      <c r="D422" s="37">
        <v>41978.398935185185</v>
      </c>
      <c r="E422" s="37">
        <v>41978.40415509259</v>
      </c>
      <c r="M422">
        <v>8</v>
      </c>
      <c r="W422" s="47"/>
    </row>
    <row r="423" spans="1:23">
      <c r="A423">
        <v>3629083423</v>
      </c>
      <c r="B423">
        <v>57240262</v>
      </c>
      <c r="C423" s="36" t="s">
        <v>528</v>
      </c>
      <c r="D423" s="37">
        <v>41978.398414351854</v>
      </c>
      <c r="E423" s="37">
        <v>41978.408449074072</v>
      </c>
      <c r="F423">
        <v>1</v>
      </c>
      <c r="G423">
        <v>2</v>
      </c>
      <c r="J423">
        <v>5</v>
      </c>
      <c r="K423">
        <v>6</v>
      </c>
      <c r="L423">
        <v>7</v>
      </c>
      <c r="N423">
        <v>9</v>
      </c>
      <c r="Q423">
        <v>12</v>
      </c>
      <c r="R423">
        <v>13</v>
      </c>
      <c r="V423" s="42" t="s">
        <v>9</v>
      </c>
      <c r="W423" s="47">
        <v>6</v>
      </c>
    </row>
    <row r="424" spans="1:23" hidden="1">
      <c r="A424">
        <v>3629138020</v>
      </c>
      <c r="B424">
        <v>57240262</v>
      </c>
      <c r="C424" s="36" t="s">
        <v>931</v>
      </c>
      <c r="D424" s="37">
        <v>41978.432256944441</v>
      </c>
      <c r="E424" s="37">
        <v>41978.435902777775</v>
      </c>
      <c r="F424">
        <v>1</v>
      </c>
      <c r="M424">
        <v>8</v>
      </c>
      <c r="O424">
        <v>10</v>
      </c>
      <c r="W424" s="47"/>
    </row>
    <row r="425" spans="1:23" hidden="1">
      <c r="A425">
        <v>3629152095</v>
      </c>
      <c r="B425">
        <v>57240262</v>
      </c>
      <c r="C425" s="36" t="s">
        <v>932</v>
      </c>
      <c r="D425" s="37">
        <v>41978.440057870372</v>
      </c>
      <c r="E425" s="37">
        <v>41978.444664351853</v>
      </c>
      <c r="U425">
        <v>16</v>
      </c>
      <c r="W425" s="47"/>
    </row>
    <row r="426" spans="1:23" hidden="1">
      <c r="A426">
        <v>3629229678</v>
      </c>
      <c r="B426">
        <v>57240262</v>
      </c>
      <c r="C426" s="36" t="s">
        <v>2320</v>
      </c>
      <c r="D426" s="37">
        <v>41978.485590277778</v>
      </c>
      <c r="E426" s="37">
        <v>41978.486701388887</v>
      </c>
      <c r="W426" s="47"/>
    </row>
    <row r="427" spans="1:23" hidden="1">
      <c r="A427">
        <v>3629258217</v>
      </c>
      <c r="B427">
        <v>57240262</v>
      </c>
      <c r="C427" s="36" t="s">
        <v>933</v>
      </c>
      <c r="D427" s="37">
        <v>41978.500405092593</v>
      </c>
      <c r="E427" s="37">
        <v>41978.510879629626</v>
      </c>
      <c r="K427">
        <v>6</v>
      </c>
      <c r="W427" s="47"/>
    </row>
    <row r="428" spans="1:23" hidden="1">
      <c r="A428">
        <v>3629291261</v>
      </c>
      <c r="B428">
        <v>57240262</v>
      </c>
      <c r="C428" s="36" t="s">
        <v>934</v>
      </c>
      <c r="D428" s="37">
        <v>41978.517013888886</v>
      </c>
      <c r="E428" s="37">
        <v>41978.520740740743</v>
      </c>
      <c r="J428">
        <v>5</v>
      </c>
      <c r="W428" s="47"/>
    </row>
    <row r="429" spans="1:23" hidden="1">
      <c r="A429">
        <v>3629311801</v>
      </c>
      <c r="B429">
        <v>57240262</v>
      </c>
      <c r="C429" s="36" t="s">
        <v>935</v>
      </c>
      <c r="D429" s="37">
        <v>41978.526261574072</v>
      </c>
      <c r="E429" s="37">
        <v>41978.534988425927</v>
      </c>
      <c r="I429">
        <v>4</v>
      </c>
      <c r="K429">
        <v>6</v>
      </c>
      <c r="M429">
        <v>8</v>
      </c>
      <c r="O429">
        <v>10</v>
      </c>
      <c r="W429" s="47"/>
    </row>
    <row r="430" spans="1:23" hidden="1">
      <c r="A430">
        <v>3629358446</v>
      </c>
      <c r="B430">
        <v>57240262</v>
      </c>
      <c r="C430" s="36" t="s">
        <v>2321</v>
      </c>
      <c r="D430" s="37">
        <v>41978.545706018522</v>
      </c>
      <c r="E430" s="37">
        <v>41978.546238425923</v>
      </c>
      <c r="W430" s="47"/>
    </row>
    <row r="431" spans="1:23" hidden="1">
      <c r="A431">
        <v>3629317165</v>
      </c>
      <c r="B431">
        <v>57240262</v>
      </c>
      <c r="C431" s="36" t="s">
        <v>936</v>
      </c>
      <c r="D431" s="37">
        <v>41978.52857638889</v>
      </c>
      <c r="E431" s="37">
        <v>41978.550300925926</v>
      </c>
      <c r="F431">
        <v>1</v>
      </c>
      <c r="W431" s="47"/>
    </row>
    <row r="432" spans="1:23">
      <c r="A432">
        <v>3629420684</v>
      </c>
      <c r="B432">
        <v>57240262</v>
      </c>
      <c r="C432" s="36" t="s">
        <v>937</v>
      </c>
      <c r="D432" s="37">
        <v>41978.56826388889</v>
      </c>
      <c r="E432" s="37">
        <v>41978.572951388887</v>
      </c>
      <c r="O432">
        <v>10</v>
      </c>
      <c r="Q432">
        <v>12</v>
      </c>
      <c r="V432" s="42" t="s">
        <v>204</v>
      </c>
      <c r="W432" s="47">
        <v>10</v>
      </c>
    </row>
    <row r="433" spans="1:23" hidden="1">
      <c r="A433">
        <v>3629462641</v>
      </c>
      <c r="B433">
        <v>57240262</v>
      </c>
      <c r="C433" s="36" t="s">
        <v>938</v>
      </c>
      <c r="D433" s="37">
        <v>41978.582453703704</v>
      </c>
      <c r="E433" s="37">
        <v>41978.585034722222</v>
      </c>
      <c r="I433">
        <v>4</v>
      </c>
      <c r="W433" s="47"/>
    </row>
    <row r="434" spans="1:23" hidden="1">
      <c r="A434">
        <v>3629473126</v>
      </c>
      <c r="B434">
        <v>57240262</v>
      </c>
      <c r="C434" s="36" t="s">
        <v>939</v>
      </c>
      <c r="D434" s="37">
        <v>41978.585543981484</v>
      </c>
      <c r="E434" s="37">
        <v>41978.593391203707</v>
      </c>
      <c r="U434">
        <v>16</v>
      </c>
      <c r="W434" s="47"/>
    </row>
    <row r="435" spans="1:23" hidden="1">
      <c r="A435">
        <v>3629545001</v>
      </c>
      <c r="B435">
        <v>57240262</v>
      </c>
      <c r="C435" s="36" t="s">
        <v>940</v>
      </c>
      <c r="D435" s="37">
        <v>41978.606840277775</v>
      </c>
      <c r="E435" s="37">
        <v>41978.611828703702</v>
      </c>
      <c r="U435">
        <v>16</v>
      </c>
      <c r="W435" s="47"/>
    </row>
    <row r="436" spans="1:23">
      <c r="A436">
        <v>3629713571</v>
      </c>
      <c r="B436">
        <v>57240262</v>
      </c>
      <c r="C436" s="36" t="s">
        <v>941</v>
      </c>
      <c r="D436" s="37">
        <v>41978.653749999998</v>
      </c>
      <c r="E436" s="37">
        <v>41978.662488425929</v>
      </c>
      <c r="I436">
        <v>4</v>
      </c>
      <c r="O436">
        <v>10</v>
      </c>
      <c r="V436" s="42" t="s">
        <v>38</v>
      </c>
      <c r="W436" s="47">
        <v>4</v>
      </c>
    </row>
    <row r="437" spans="1:23">
      <c r="A437">
        <v>3629413098</v>
      </c>
      <c r="B437">
        <v>57240262</v>
      </c>
      <c r="C437" s="36" t="s">
        <v>542</v>
      </c>
      <c r="D437" s="37">
        <v>41978.565000000002</v>
      </c>
      <c r="E437" s="37">
        <v>41978.717615740738</v>
      </c>
      <c r="F437">
        <v>1</v>
      </c>
      <c r="G437">
        <v>2</v>
      </c>
      <c r="H437">
        <v>3</v>
      </c>
      <c r="I437">
        <v>4</v>
      </c>
      <c r="K437">
        <v>6</v>
      </c>
      <c r="O437">
        <v>10</v>
      </c>
      <c r="P437">
        <v>11</v>
      </c>
      <c r="V437" s="42" t="s">
        <v>49</v>
      </c>
      <c r="W437" s="47">
        <v>6</v>
      </c>
    </row>
    <row r="438" spans="1:23" hidden="1">
      <c r="A438">
        <v>3626570374</v>
      </c>
      <c r="B438">
        <v>57240262</v>
      </c>
      <c r="C438" s="36" t="s">
        <v>511</v>
      </c>
      <c r="D438" s="37">
        <v>41977.411863425928</v>
      </c>
      <c r="E438" s="37">
        <v>41978.739432870374</v>
      </c>
      <c r="O438">
        <v>10</v>
      </c>
      <c r="W438" s="47"/>
    </row>
    <row r="439" spans="1:23">
      <c r="A439">
        <v>3630115689</v>
      </c>
      <c r="B439">
        <v>57240262</v>
      </c>
      <c r="C439" s="36" t="s">
        <v>942</v>
      </c>
      <c r="D439" s="37">
        <v>41978.763043981482</v>
      </c>
      <c r="E439" s="37">
        <v>41978.775069444448</v>
      </c>
      <c r="F439">
        <v>1</v>
      </c>
      <c r="R439">
        <v>13</v>
      </c>
      <c r="V439" s="42" t="s">
        <v>223</v>
      </c>
      <c r="W439" s="47">
        <v>13</v>
      </c>
    </row>
    <row r="440" spans="1:23" hidden="1">
      <c r="A440">
        <v>3630247180</v>
      </c>
      <c r="B440">
        <v>57240262</v>
      </c>
      <c r="C440" s="36" t="s">
        <v>943</v>
      </c>
      <c r="D440" s="37">
        <v>41978.804293981484</v>
      </c>
      <c r="E440" s="37">
        <v>41978.808877314812</v>
      </c>
      <c r="U440">
        <v>16</v>
      </c>
      <c r="W440" s="47"/>
    </row>
    <row r="441" spans="1:23" hidden="1">
      <c r="A441">
        <v>3630552804</v>
      </c>
      <c r="B441">
        <v>57240262</v>
      </c>
      <c r="C441" s="36" t="s">
        <v>543</v>
      </c>
      <c r="D441" s="37">
        <v>41978.902581018519</v>
      </c>
      <c r="E441" s="37">
        <v>41978.906388888892</v>
      </c>
      <c r="U441">
        <v>16</v>
      </c>
      <c r="W441" s="47"/>
    </row>
    <row r="442" spans="1:23" hidden="1">
      <c r="A442">
        <v>3630562304</v>
      </c>
      <c r="B442">
        <v>57240262</v>
      </c>
      <c r="C442" s="36" t="s">
        <v>546</v>
      </c>
      <c r="D442" s="37">
        <v>41978.906145833331</v>
      </c>
      <c r="E442" s="37">
        <v>41978.908668981479</v>
      </c>
      <c r="F442">
        <v>1</v>
      </c>
      <c r="K442">
        <v>6</v>
      </c>
      <c r="O442">
        <v>10</v>
      </c>
      <c r="W442" s="47"/>
    </row>
    <row r="443" spans="1:23" hidden="1">
      <c r="A443">
        <v>3630555809</v>
      </c>
      <c r="B443">
        <v>57240262</v>
      </c>
      <c r="C443" s="36" t="s">
        <v>545</v>
      </c>
      <c r="D443" s="37">
        <v>41978.903668981482</v>
      </c>
      <c r="E443" s="37">
        <v>41978.908877314818</v>
      </c>
      <c r="U443">
        <v>16</v>
      </c>
      <c r="W443" s="47"/>
    </row>
    <row r="444" spans="1:23" hidden="1">
      <c r="A444">
        <v>3630549567</v>
      </c>
      <c r="B444">
        <v>57240262</v>
      </c>
      <c r="C444" s="36" t="s">
        <v>944</v>
      </c>
      <c r="D444" s="37">
        <v>41978.901435185187</v>
      </c>
      <c r="E444" s="37">
        <v>41978.909143518518</v>
      </c>
      <c r="M444">
        <v>8</v>
      </c>
      <c r="O444">
        <v>10</v>
      </c>
      <c r="W444" s="47"/>
    </row>
    <row r="445" spans="1:23" hidden="1">
      <c r="A445">
        <v>3630557054</v>
      </c>
      <c r="B445">
        <v>57240262</v>
      </c>
      <c r="C445" s="36" t="s">
        <v>544</v>
      </c>
      <c r="D445" s="37">
        <v>41978.904108796298</v>
      </c>
      <c r="E445" s="37">
        <v>41978.909479166665</v>
      </c>
      <c r="I445">
        <v>4</v>
      </c>
      <c r="W445" s="47"/>
    </row>
    <row r="446" spans="1:23" ht="14">
      <c r="A446">
        <v>3630553214</v>
      </c>
      <c r="B446">
        <v>57240262</v>
      </c>
      <c r="C446" s="36" t="s">
        <v>945</v>
      </c>
      <c r="D446" s="37">
        <v>41978.902800925927</v>
      </c>
      <c r="E446" s="37">
        <v>41978.909629629627</v>
      </c>
      <c r="H446">
        <v>3</v>
      </c>
      <c r="Q446">
        <v>12</v>
      </c>
      <c r="S446">
        <v>14</v>
      </c>
      <c r="V446" s="73" t="s">
        <v>3563</v>
      </c>
      <c r="W446" s="47">
        <v>15</v>
      </c>
    </row>
    <row r="447" spans="1:23" ht="14">
      <c r="A447">
        <v>3630561121</v>
      </c>
      <c r="B447">
        <v>57240262</v>
      </c>
      <c r="C447" s="36" t="s">
        <v>946</v>
      </c>
      <c r="D447" s="37">
        <v>41978.905636574076</v>
      </c>
      <c r="E447" s="37">
        <v>41978.911180555559</v>
      </c>
      <c r="R447">
        <v>13</v>
      </c>
      <c r="S447">
        <v>14</v>
      </c>
      <c r="V447" s="73" t="s">
        <v>3563</v>
      </c>
      <c r="W447" s="47">
        <v>15</v>
      </c>
    </row>
    <row r="448" spans="1:23" hidden="1">
      <c r="A448">
        <v>3630575890</v>
      </c>
      <c r="B448">
        <v>57240262</v>
      </c>
      <c r="C448" s="36" t="s">
        <v>947</v>
      </c>
      <c r="D448" s="37">
        <v>41978.910914351851</v>
      </c>
      <c r="E448" s="37">
        <v>41978.9141087963</v>
      </c>
      <c r="I448">
        <v>4</v>
      </c>
      <c r="J448">
        <v>5</v>
      </c>
      <c r="N448">
        <v>9</v>
      </c>
      <c r="W448" s="47"/>
    </row>
    <row r="449" spans="1:23" hidden="1">
      <c r="A449">
        <v>3630585306</v>
      </c>
      <c r="B449">
        <v>57240262</v>
      </c>
      <c r="C449" s="36" t="s">
        <v>948</v>
      </c>
      <c r="D449" s="37">
        <v>41978.914525462962</v>
      </c>
      <c r="E449" s="37">
        <v>41978.917928240742</v>
      </c>
      <c r="K449">
        <v>6</v>
      </c>
      <c r="O449">
        <v>10</v>
      </c>
      <c r="W449" s="47"/>
    </row>
    <row r="450" spans="1:23">
      <c r="A450">
        <v>3630601625</v>
      </c>
      <c r="B450">
        <v>57240262</v>
      </c>
      <c r="C450" s="36" t="s">
        <v>949</v>
      </c>
      <c r="D450" s="37">
        <v>41978.920451388891</v>
      </c>
      <c r="E450" s="37">
        <v>41978.937361111108</v>
      </c>
      <c r="F450">
        <v>1</v>
      </c>
      <c r="I450">
        <v>4</v>
      </c>
      <c r="O450">
        <v>10</v>
      </c>
      <c r="P450">
        <v>11</v>
      </c>
      <c r="V450" s="42" t="s">
        <v>26</v>
      </c>
      <c r="W450" s="47">
        <v>4</v>
      </c>
    </row>
    <row r="451" spans="1:23" hidden="1">
      <c r="A451">
        <v>3630722198</v>
      </c>
      <c r="B451">
        <v>57240262</v>
      </c>
      <c r="C451" s="36" t="s">
        <v>950</v>
      </c>
      <c r="D451" s="37">
        <v>41978.974687499998</v>
      </c>
      <c r="E451" s="37">
        <v>41978.979953703703</v>
      </c>
      <c r="U451">
        <v>16</v>
      </c>
      <c r="W451" s="47"/>
    </row>
    <row r="452" spans="1:23" hidden="1">
      <c r="A452">
        <v>3630725409</v>
      </c>
      <c r="B452">
        <v>57240262</v>
      </c>
      <c r="C452" s="36" t="s">
        <v>951</v>
      </c>
      <c r="D452" s="37">
        <v>41978.976215277777</v>
      </c>
      <c r="E452" s="37">
        <v>41978.987511574072</v>
      </c>
      <c r="K452">
        <v>6</v>
      </c>
      <c r="W452" s="47"/>
    </row>
    <row r="453" spans="1:23" hidden="1">
      <c r="A453">
        <v>3630843670</v>
      </c>
      <c r="B453">
        <v>57240262</v>
      </c>
      <c r="C453" s="36" t="s">
        <v>952</v>
      </c>
      <c r="D453" s="37">
        <v>41979.04488425926</v>
      </c>
      <c r="E453" s="37">
        <v>41979.04724537037</v>
      </c>
      <c r="U453">
        <v>16</v>
      </c>
      <c r="W453" s="47"/>
    </row>
    <row r="454" spans="1:23" hidden="1">
      <c r="A454">
        <v>3631030555</v>
      </c>
      <c r="B454">
        <v>57240262</v>
      </c>
      <c r="C454" s="36" t="s">
        <v>953</v>
      </c>
      <c r="D454" s="37">
        <v>41979.200358796297</v>
      </c>
      <c r="E454" s="37">
        <v>41979.201643518521</v>
      </c>
      <c r="G454">
        <v>2</v>
      </c>
      <c r="W454" s="47"/>
    </row>
    <row r="455" spans="1:23">
      <c r="A455">
        <v>3631272240</v>
      </c>
      <c r="B455">
        <v>57240262</v>
      </c>
      <c r="C455" s="36" t="s">
        <v>954</v>
      </c>
      <c r="D455" s="37">
        <v>41979.512199074074</v>
      </c>
      <c r="E455" s="37">
        <v>41979.544803240744</v>
      </c>
      <c r="F455">
        <v>1</v>
      </c>
      <c r="G455">
        <v>2</v>
      </c>
      <c r="H455">
        <v>3</v>
      </c>
      <c r="K455">
        <v>6</v>
      </c>
      <c r="R455">
        <v>13</v>
      </c>
      <c r="V455" s="42" t="s">
        <v>203</v>
      </c>
      <c r="W455" s="47">
        <v>3</v>
      </c>
    </row>
    <row r="456" spans="1:23" hidden="1">
      <c r="A456">
        <v>3631462944</v>
      </c>
      <c r="B456">
        <v>57240262</v>
      </c>
      <c r="C456" s="36" t="s">
        <v>955</v>
      </c>
      <c r="D456" s="37">
        <v>41979.675104166665</v>
      </c>
      <c r="E456" s="37">
        <v>41979.689895833333</v>
      </c>
      <c r="O456">
        <v>10</v>
      </c>
      <c r="W456" s="47"/>
    </row>
    <row r="457" spans="1:23">
      <c r="A457">
        <v>3631750394</v>
      </c>
      <c r="B457">
        <v>57240262</v>
      </c>
      <c r="C457" s="36" t="s">
        <v>956</v>
      </c>
      <c r="D457" s="37">
        <v>41979.920219907406</v>
      </c>
      <c r="E457" s="37">
        <v>41979.925173611111</v>
      </c>
      <c r="Q457">
        <v>12</v>
      </c>
      <c r="R457">
        <v>13</v>
      </c>
      <c r="V457" s="42" t="s">
        <v>222</v>
      </c>
      <c r="W457" s="47">
        <v>3</v>
      </c>
    </row>
    <row r="458" spans="1:23" ht="24">
      <c r="A458">
        <v>3631757006</v>
      </c>
      <c r="B458">
        <v>57240262</v>
      </c>
      <c r="C458" s="36" t="s">
        <v>957</v>
      </c>
      <c r="D458" s="37">
        <v>41979.926747685182</v>
      </c>
      <c r="E458" s="37">
        <v>41979.931990740741</v>
      </c>
      <c r="P458">
        <v>11</v>
      </c>
      <c r="R458">
        <v>13</v>
      </c>
      <c r="V458" s="42" t="s">
        <v>221</v>
      </c>
      <c r="W458" s="47">
        <v>11</v>
      </c>
    </row>
    <row r="459" spans="1:23" ht="24">
      <c r="A459">
        <v>3631789222</v>
      </c>
      <c r="B459">
        <v>57240262</v>
      </c>
      <c r="C459" s="36" t="s">
        <v>958</v>
      </c>
      <c r="D459" s="37">
        <v>41979.959965277776</v>
      </c>
      <c r="E459" s="37">
        <v>41980.076967592591</v>
      </c>
      <c r="F459">
        <v>1</v>
      </c>
      <c r="J459">
        <v>5</v>
      </c>
      <c r="M459">
        <v>8</v>
      </c>
      <c r="O459">
        <v>10</v>
      </c>
      <c r="V459" s="42" t="s">
        <v>220</v>
      </c>
      <c r="W459" s="47">
        <v>10</v>
      </c>
    </row>
    <row r="460" spans="1:23" hidden="1">
      <c r="A460">
        <v>3632086188</v>
      </c>
      <c r="B460">
        <v>57240262</v>
      </c>
      <c r="C460" s="36" t="s">
        <v>959</v>
      </c>
      <c r="D460" s="37">
        <v>41980.416076388887</v>
      </c>
      <c r="E460" s="37">
        <v>41980.420138888891</v>
      </c>
      <c r="F460">
        <v>1</v>
      </c>
      <c r="G460">
        <v>2</v>
      </c>
      <c r="H460">
        <v>3</v>
      </c>
      <c r="J460">
        <v>5</v>
      </c>
      <c r="W460" s="47"/>
    </row>
    <row r="461" spans="1:23" hidden="1">
      <c r="A461">
        <v>3632089867</v>
      </c>
      <c r="B461">
        <v>57240262</v>
      </c>
      <c r="C461" s="36" t="s">
        <v>960</v>
      </c>
      <c r="D461" s="37">
        <v>41980.421689814815</v>
      </c>
      <c r="E461" s="37">
        <v>41980.423425925925</v>
      </c>
      <c r="F461">
        <v>1</v>
      </c>
      <c r="G461">
        <v>2</v>
      </c>
      <c r="H461">
        <v>3</v>
      </c>
      <c r="K461">
        <v>6</v>
      </c>
      <c r="O461">
        <v>10</v>
      </c>
      <c r="Q461">
        <v>12</v>
      </c>
      <c r="S461">
        <v>14</v>
      </c>
      <c r="W461" s="47"/>
    </row>
    <row r="462" spans="1:23">
      <c r="A462">
        <v>3632094451</v>
      </c>
      <c r="B462">
        <v>57240262</v>
      </c>
      <c r="C462" s="36" t="s">
        <v>961</v>
      </c>
      <c r="D462" s="37">
        <v>41980.428599537037</v>
      </c>
      <c r="E462" s="37">
        <v>41980.433738425927</v>
      </c>
      <c r="F462">
        <v>1</v>
      </c>
      <c r="H462">
        <v>3</v>
      </c>
      <c r="O462">
        <v>10</v>
      </c>
      <c r="V462" s="42" t="s">
        <v>219</v>
      </c>
      <c r="W462" s="47">
        <v>10</v>
      </c>
    </row>
    <row r="463" spans="1:23">
      <c r="A463">
        <v>3632099524</v>
      </c>
      <c r="B463">
        <v>57240262</v>
      </c>
      <c r="C463" s="36" t="s">
        <v>962</v>
      </c>
      <c r="D463" s="37">
        <v>41980.435891203706</v>
      </c>
      <c r="E463" s="37">
        <v>41980.436851851853</v>
      </c>
      <c r="F463">
        <v>1</v>
      </c>
      <c r="K463">
        <v>6</v>
      </c>
      <c r="V463" s="42" t="s">
        <v>218</v>
      </c>
      <c r="W463" s="47">
        <v>1</v>
      </c>
    </row>
    <row r="464" spans="1:23" hidden="1">
      <c r="A464">
        <v>3632103263</v>
      </c>
      <c r="B464">
        <v>57240262</v>
      </c>
      <c r="C464" s="36" t="s">
        <v>2322</v>
      </c>
      <c r="D464" s="37">
        <v>41980.441087962965</v>
      </c>
      <c r="E464" s="37">
        <v>41980.442141203705</v>
      </c>
      <c r="W464" s="47"/>
    </row>
    <row r="465" spans="1:23" hidden="1">
      <c r="A465">
        <v>3632105237</v>
      </c>
      <c r="B465">
        <v>57240262</v>
      </c>
      <c r="C465" s="36" t="s">
        <v>963</v>
      </c>
      <c r="D465" s="37">
        <v>41980.443877314814</v>
      </c>
      <c r="E465" s="37">
        <v>41980.448055555556</v>
      </c>
      <c r="F465">
        <v>1</v>
      </c>
      <c r="H465">
        <v>3</v>
      </c>
      <c r="W465" s="47"/>
    </row>
    <row r="466" spans="1:23" hidden="1">
      <c r="A466">
        <v>3632108501</v>
      </c>
      <c r="B466">
        <v>57240262</v>
      </c>
      <c r="C466" s="36" t="s">
        <v>964</v>
      </c>
      <c r="D466" s="37">
        <v>41980.44871527778</v>
      </c>
      <c r="E466" s="37">
        <v>41980.451863425929</v>
      </c>
      <c r="G466">
        <v>2</v>
      </c>
      <c r="I466">
        <v>4</v>
      </c>
      <c r="W466" s="47"/>
    </row>
    <row r="467" spans="1:23" hidden="1">
      <c r="A467">
        <v>3632111575</v>
      </c>
      <c r="B467">
        <v>57240262</v>
      </c>
      <c r="C467" s="36" t="s">
        <v>965</v>
      </c>
      <c r="D467" s="37">
        <v>41980.452939814815</v>
      </c>
      <c r="E467" s="37">
        <v>41980.457824074074</v>
      </c>
      <c r="U467">
        <v>16</v>
      </c>
      <c r="W467" s="47"/>
    </row>
    <row r="468" spans="1:23" hidden="1">
      <c r="A468">
        <v>3632137064</v>
      </c>
      <c r="B468">
        <v>57240262</v>
      </c>
      <c r="C468" s="36" t="s">
        <v>966</v>
      </c>
      <c r="D468" s="37">
        <v>41980.488113425927</v>
      </c>
      <c r="E468" s="37">
        <v>41980.491585648146</v>
      </c>
      <c r="S468">
        <v>14</v>
      </c>
      <c r="W468" s="47"/>
    </row>
    <row r="469" spans="1:23" hidden="1">
      <c r="A469">
        <v>3632142978</v>
      </c>
      <c r="B469">
        <v>57240262</v>
      </c>
      <c r="C469" s="36" t="s">
        <v>967</v>
      </c>
      <c r="D469" s="37">
        <v>41980.495659722219</v>
      </c>
      <c r="E469" s="37">
        <v>41980.496828703705</v>
      </c>
      <c r="U469">
        <v>16</v>
      </c>
      <c r="W469" s="47"/>
    </row>
    <row r="470" spans="1:23">
      <c r="A470">
        <v>3632140514</v>
      </c>
      <c r="B470">
        <v>57240262</v>
      </c>
      <c r="C470" s="36" t="s">
        <v>547</v>
      </c>
      <c r="D470" s="37">
        <v>41980.492476851854</v>
      </c>
      <c r="E470" s="37">
        <v>41980.501944444448</v>
      </c>
      <c r="F470">
        <v>1</v>
      </c>
      <c r="G470">
        <v>2</v>
      </c>
      <c r="V470" s="42" t="s">
        <v>217</v>
      </c>
      <c r="W470" s="47">
        <v>2</v>
      </c>
    </row>
    <row r="471" spans="1:23">
      <c r="A471">
        <v>3632143335</v>
      </c>
      <c r="B471">
        <v>57240262</v>
      </c>
      <c r="C471" s="36" t="s">
        <v>968</v>
      </c>
      <c r="D471" s="37">
        <v>41980.496215277781</v>
      </c>
      <c r="E471" s="37">
        <v>41980.504895833335</v>
      </c>
      <c r="H471">
        <v>3</v>
      </c>
      <c r="O471">
        <v>10</v>
      </c>
      <c r="P471">
        <v>11</v>
      </c>
      <c r="V471" s="42" t="s">
        <v>216</v>
      </c>
      <c r="W471" s="47">
        <v>3</v>
      </c>
    </row>
    <row r="472" spans="1:23" hidden="1">
      <c r="A472">
        <v>3632195556</v>
      </c>
      <c r="B472">
        <v>57240262</v>
      </c>
      <c r="C472" s="36" t="s">
        <v>969</v>
      </c>
      <c r="D472" s="37">
        <v>41980.558680555558</v>
      </c>
      <c r="E472" s="37">
        <v>41980.580578703702</v>
      </c>
      <c r="U472">
        <v>16</v>
      </c>
      <c r="W472" s="47"/>
    </row>
    <row r="473" spans="1:23" hidden="1">
      <c r="A473">
        <v>3632226735</v>
      </c>
      <c r="B473">
        <v>57240262</v>
      </c>
      <c r="C473" s="36" t="s">
        <v>970</v>
      </c>
      <c r="D473" s="37">
        <v>41980.593182870369</v>
      </c>
      <c r="E473" s="37">
        <v>41980.594351851854</v>
      </c>
      <c r="Q473">
        <v>12</v>
      </c>
      <c r="W473" s="47"/>
    </row>
    <row r="474" spans="1:23" hidden="1">
      <c r="A474">
        <v>3632245713</v>
      </c>
      <c r="B474">
        <v>57240262</v>
      </c>
      <c r="C474" s="36" t="s">
        <v>971</v>
      </c>
      <c r="D474" s="37">
        <v>41980.612916666665</v>
      </c>
      <c r="E474" s="37">
        <v>41980.618333333332</v>
      </c>
      <c r="U474">
        <v>16</v>
      </c>
      <c r="W474" s="47"/>
    </row>
    <row r="475" spans="1:23" hidden="1">
      <c r="A475">
        <v>3632310171</v>
      </c>
      <c r="B475">
        <v>57240262</v>
      </c>
      <c r="C475" s="36" t="s">
        <v>548</v>
      </c>
      <c r="D475" s="37">
        <v>41980.67597222222</v>
      </c>
      <c r="E475" s="37">
        <v>41980.681956018518</v>
      </c>
      <c r="O475">
        <v>10</v>
      </c>
      <c r="W475" s="47"/>
    </row>
    <row r="476" spans="1:23" hidden="1">
      <c r="A476">
        <v>3632308268</v>
      </c>
      <c r="B476">
        <v>57240262</v>
      </c>
      <c r="C476" s="36" t="s">
        <v>972</v>
      </c>
      <c r="D476" s="37">
        <v>41980.674363425926</v>
      </c>
      <c r="E476" s="37">
        <v>41980.682812500003</v>
      </c>
      <c r="K476">
        <v>6</v>
      </c>
      <c r="W476" s="47"/>
    </row>
    <row r="477" spans="1:23" hidden="1">
      <c r="A477">
        <v>3632310594</v>
      </c>
      <c r="B477">
        <v>57240262</v>
      </c>
      <c r="C477" s="36" t="s">
        <v>549</v>
      </c>
      <c r="D477" s="37">
        <v>41980.676562499997</v>
      </c>
      <c r="E477" s="37">
        <v>41980.682974537034</v>
      </c>
      <c r="U477">
        <v>16</v>
      </c>
      <c r="W477" s="47"/>
    </row>
    <row r="478" spans="1:23">
      <c r="A478">
        <v>3632310358</v>
      </c>
      <c r="B478">
        <v>57240262</v>
      </c>
      <c r="C478" s="36" t="s">
        <v>973</v>
      </c>
      <c r="D478" s="37">
        <v>41980.676446759258</v>
      </c>
      <c r="E478" s="37">
        <v>41980.684155092589</v>
      </c>
      <c r="H478">
        <v>3</v>
      </c>
      <c r="M478">
        <v>8</v>
      </c>
      <c r="Q478">
        <v>12</v>
      </c>
      <c r="V478" s="42" t="s">
        <v>109</v>
      </c>
      <c r="W478" s="47">
        <v>3</v>
      </c>
    </row>
    <row r="479" spans="1:23" hidden="1">
      <c r="A479">
        <v>3632313055</v>
      </c>
      <c r="B479">
        <v>57240262</v>
      </c>
      <c r="C479" s="36" t="s">
        <v>974</v>
      </c>
      <c r="D479" s="37">
        <v>41980.67895833333</v>
      </c>
      <c r="E479" s="37">
        <v>41980.684537037036</v>
      </c>
      <c r="F479">
        <v>1</v>
      </c>
      <c r="W479" s="47"/>
    </row>
    <row r="480" spans="1:23" hidden="1">
      <c r="A480">
        <v>3632350409</v>
      </c>
      <c r="B480">
        <v>57240262</v>
      </c>
      <c r="C480" s="36" t="s">
        <v>975</v>
      </c>
      <c r="D480" s="37">
        <v>41980.714039351849</v>
      </c>
      <c r="E480" s="37">
        <v>41980.716782407406</v>
      </c>
      <c r="U480">
        <v>16</v>
      </c>
      <c r="W480" s="47"/>
    </row>
    <row r="481" spans="1:23" hidden="1">
      <c r="A481">
        <v>3632358975</v>
      </c>
      <c r="B481">
        <v>57240262</v>
      </c>
      <c r="C481" s="36" t="s">
        <v>976</v>
      </c>
      <c r="D481" s="37">
        <v>41980.72216435185</v>
      </c>
      <c r="E481" s="37">
        <v>41980.725428240738</v>
      </c>
      <c r="U481">
        <v>16</v>
      </c>
      <c r="W481" s="47"/>
    </row>
    <row r="482" spans="1:23">
      <c r="A482">
        <v>3632445511</v>
      </c>
      <c r="B482">
        <v>57240262</v>
      </c>
      <c r="C482" s="36" t="s">
        <v>551</v>
      </c>
      <c r="D482" s="37">
        <v>41980.803761574076</v>
      </c>
      <c r="E482" s="37">
        <v>41980.812569444446</v>
      </c>
      <c r="F482">
        <v>1</v>
      </c>
      <c r="G482">
        <v>2</v>
      </c>
      <c r="K482">
        <v>6</v>
      </c>
      <c r="V482" s="42" t="s">
        <v>25</v>
      </c>
      <c r="W482" s="47">
        <v>1</v>
      </c>
    </row>
    <row r="483" spans="1:23" hidden="1">
      <c r="A483">
        <v>3632444268</v>
      </c>
      <c r="B483">
        <v>57240262</v>
      </c>
      <c r="C483" s="36" t="s">
        <v>977</v>
      </c>
      <c r="D483" s="37">
        <v>41980.802465277775</v>
      </c>
      <c r="E483" s="37">
        <v>41980.818668981483</v>
      </c>
      <c r="I483">
        <v>4</v>
      </c>
      <c r="P483">
        <v>11</v>
      </c>
      <c r="R483">
        <v>13</v>
      </c>
      <c r="W483" s="47"/>
    </row>
    <row r="484" spans="1:23" hidden="1">
      <c r="A484">
        <v>3632569656</v>
      </c>
      <c r="B484">
        <v>57240262</v>
      </c>
      <c r="C484" s="36" t="s">
        <v>978</v>
      </c>
      <c r="D484" s="37">
        <v>41980.912847222222</v>
      </c>
      <c r="E484" s="37">
        <v>41980.913761574076</v>
      </c>
      <c r="I484">
        <v>4</v>
      </c>
      <c r="M484">
        <v>8</v>
      </c>
      <c r="N484">
        <v>9</v>
      </c>
      <c r="W484" s="47"/>
    </row>
    <row r="485" spans="1:23">
      <c r="A485">
        <v>3632570498</v>
      </c>
      <c r="B485">
        <v>57240262</v>
      </c>
      <c r="C485" s="36" t="s">
        <v>979</v>
      </c>
      <c r="D485" s="37">
        <v>41980.910914351851</v>
      </c>
      <c r="E485" s="37">
        <v>41980.917175925926</v>
      </c>
      <c r="F485">
        <v>1</v>
      </c>
      <c r="G485">
        <v>2</v>
      </c>
      <c r="V485" s="42" t="s">
        <v>84</v>
      </c>
      <c r="W485" s="47">
        <v>1</v>
      </c>
    </row>
    <row r="486" spans="1:23">
      <c r="A486">
        <v>3632571324</v>
      </c>
      <c r="B486">
        <v>57240262</v>
      </c>
      <c r="C486" s="36" t="s">
        <v>552</v>
      </c>
      <c r="D486" s="37">
        <v>41980.914189814815</v>
      </c>
      <c r="E486" s="37">
        <v>41980.917812500003</v>
      </c>
      <c r="I486">
        <v>4</v>
      </c>
      <c r="K486">
        <v>6</v>
      </c>
      <c r="N486">
        <v>9</v>
      </c>
      <c r="V486" s="42" t="s">
        <v>91</v>
      </c>
      <c r="W486" s="47">
        <v>9</v>
      </c>
    </row>
    <row r="487" spans="1:23" hidden="1">
      <c r="A487">
        <v>3632571266</v>
      </c>
      <c r="B487">
        <v>57240262</v>
      </c>
      <c r="C487" s="36" t="s">
        <v>980</v>
      </c>
      <c r="D487" s="37">
        <v>41980.914178240739</v>
      </c>
      <c r="E487" s="37">
        <v>41980.919016203705</v>
      </c>
      <c r="U487">
        <v>16</v>
      </c>
      <c r="W487" s="47"/>
    </row>
    <row r="488" spans="1:23" hidden="1">
      <c r="A488">
        <v>3632574868</v>
      </c>
      <c r="B488">
        <v>57240262</v>
      </c>
      <c r="C488" s="36" t="s">
        <v>981</v>
      </c>
      <c r="D488" s="37">
        <v>41980.917187500003</v>
      </c>
      <c r="E488" s="37">
        <v>41980.922222222223</v>
      </c>
      <c r="U488">
        <v>16</v>
      </c>
      <c r="W488" s="47"/>
    </row>
    <row r="489" spans="1:23">
      <c r="A489">
        <v>3632569374</v>
      </c>
      <c r="B489">
        <v>57240262</v>
      </c>
      <c r="C489" s="36" t="s">
        <v>550</v>
      </c>
      <c r="D489" s="37">
        <v>41980.912615740737</v>
      </c>
      <c r="E489" s="37">
        <v>41980.922824074078</v>
      </c>
      <c r="F489">
        <v>1</v>
      </c>
      <c r="K489">
        <v>6</v>
      </c>
      <c r="N489">
        <v>9</v>
      </c>
      <c r="V489" s="42" t="s">
        <v>25</v>
      </c>
      <c r="W489" s="47">
        <v>1</v>
      </c>
    </row>
    <row r="490" spans="1:23" hidden="1">
      <c r="A490">
        <v>3632575885</v>
      </c>
      <c r="B490">
        <v>57240262</v>
      </c>
      <c r="C490" s="36" t="s">
        <v>982</v>
      </c>
      <c r="D490" s="37">
        <v>41980.918124999997</v>
      </c>
      <c r="E490" s="37">
        <v>41980.923437500001</v>
      </c>
      <c r="U490">
        <v>16</v>
      </c>
      <c r="W490" s="47"/>
    </row>
    <row r="491" spans="1:23" hidden="1">
      <c r="A491">
        <v>3632588981</v>
      </c>
      <c r="B491">
        <v>57240262</v>
      </c>
      <c r="C491" s="36" t="s">
        <v>983</v>
      </c>
      <c r="D491" s="37">
        <v>41980.928831018522</v>
      </c>
      <c r="E491" s="37">
        <v>41980.932569444441</v>
      </c>
      <c r="K491">
        <v>6</v>
      </c>
      <c r="W491" s="47"/>
    </row>
    <row r="492" spans="1:23" hidden="1">
      <c r="A492">
        <v>3632598406</v>
      </c>
      <c r="B492">
        <v>57240262</v>
      </c>
      <c r="C492" s="36" t="s">
        <v>2323</v>
      </c>
      <c r="D492" s="37">
        <v>41980.936631944445</v>
      </c>
      <c r="E492" s="37">
        <v>41980.937141203707</v>
      </c>
      <c r="W492" s="47"/>
    </row>
    <row r="493" spans="1:23">
      <c r="A493">
        <v>3632592032</v>
      </c>
      <c r="B493">
        <v>57240262</v>
      </c>
      <c r="C493" s="36" t="s">
        <v>553</v>
      </c>
      <c r="D493" s="37">
        <v>41980.931331018517</v>
      </c>
      <c r="E493" s="37">
        <v>41980.955277777779</v>
      </c>
      <c r="F493">
        <v>1</v>
      </c>
      <c r="G493">
        <v>2</v>
      </c>
      <c r="I493">
        <v>4</v>
      </c>
      <c r="Q493">
        <v>12</v>
      </c>
      <c r="V493" s="42" t="s">
        <v>64</v>
      </c>
      <c r="W493" s="47">
        <v>12</v>
      </c>
    </row>
    <row r="494" spans="1:23" hidden="1">
      <c r="A494">
        <v>3632635532</v>
      </c>
      <c r="B494">
        <v>57240262</v>
      </c>
      <c r="C494" s="36" t="s">
        <v>984</v>
      </c>
      <c r="D494" s="37">
        <v>41980.96707175926</v>
      </c>
      <c r="E494" s="37">
        <v>41980.971493055556</v>
      </c>
      <c r="U494">
        <v>16</v>
      </c>
      <c r="W494" s="47"/>
    </row>
    <row r="495" spans="1:23" hidden="1">
      <c r="A495">
        <v>3633120956</v>
      </c>
      <c r="B495">
        <v>57240262</v>
      </c>
      <c r="C495" s="36" t="s">
        <v>985</v>
      </c>
      <c r="D495" s="37">
        <v>41981.349988425929</v>
      </c>
      <c r="E495" s="37">
        <v>41981.354062500002</v>
      </c>
      <c r="U495">
        <v>16</v>
      </c>
      <c r="W495" s="47"/>
    </row>
    <row r="496" spans="1:23">
      <c r="A496">
        <v>3633124844</v>
      </c>
      <c r="B496">
        <v>57240262</v>
      </c>
      <c r="C496" s="36" t="s">
        <v>986</v>
      </c>
      <c r="D496" s="37">
        <v>41981.352592592593</v>
      </c>
      <c r="E496" s="37">
        <v>41981.371249999997</v>
      </c>
      <c r="F496">
        <v>1</v>
      </c>
      <c r="G496">
        <v>2</v>
      </c>
      <c r="H496">
        <v>3</v>
      </c>
      <c r="R496">
        <v>13</v>
      </c>
      <c r="V496" s="42" t="s">
        <v>4</v>
      </c>
      <c r="W496" s="47">
        <v>1</v>
      </c>
    </row>
    <row r="497" spans="1:23" hidden="1">
      <c r="A497">
        <v>3633182909</v>
      </c>
      <c r="B497">
        <v>57240262</v>
      </c>
      <c r="C497" s="36" t="s">
        <v>987</v>
      </c>
      <c r="D497" s="37">
        <v>41981.389699074076</v>
      </c>
      <c r="E497" s="37">
        <v>41981.396319444444</v>
      </c>
      <c r="Q497">
        <v>12</v>
      </c>
      <c r="W497" s="47"/>
    </row>
    <row r="498" spans="1:23" ht="24">
      <c r="A498">
        <v>3633207101</v>
      </c>
      <c r="B498">
        <v>57240262</v>
      </c>
      <c r="C498" s="36" t="s">
        <v>988</v>
      </c>
      <c r="D498" s="37">
        <v>41981.402824074074</v>
      </c>
      <c r="E498" s="37">
        <v>41981.428437499999</v>
      </c>
      <c r="F498">
        <v>1</v>
      </c>
      <c r="I498">
        <v>4</v>
      </c>
      <c r="M498">
        <v>8</v>
      </c>
      <c r="Q498">
        <v>12</v>
      </c>
      <c r="V498" s="42" t="s">
        <v>215</v>
      </c>
      <c r="W498" s="47">
        <v>12</v>
      </c>
    </row>
    <row r="499" spans="1:23" hidden="1">
      <c r="A499">
        <v>3633282652</v>
      </c>
      <c r="B499">
        <v>57240262</v>
      </c>
      <c r="C499" s="36" t="s">
        <v>2324</v>
      </c>
      <c r="D499" s="37">
        <v>41981.445694444446</v>
      </c>
      <c r="E499" s="37">
        <v>41981.446782407409</v>
      </c>
      <c r="W499" s="47"/>
    </row>
    <row r="500" spans="1:23" hidden="1">
      <c r="A500">
        <v>3633350915</v>
      </c>
      <c r="B500">
        <v>57240262</v>
      </c>
      <c r="C500" s="36" t="s">
        <v>989</v>
      </c>
      <c r="D500" s="37">
        <v>41981.482106481482</v>
      </c>
      <c r="E500" s="37">
        <v>41981.483483796299</v>
      </c>
      <c r="G500">
        <v>2</v>
      </c>
      <c r="M500">
        <v>8</v>
      </c>
      <c r="W500" s="47"/>
    </row>
    <row r="501" spans="1:23" hidden="1">
      <c r="A501">
        <v>3633382893</v>
      </c>
      <c r="B501">
        <v>57240262</v>
      </c>
      <c r="C501" s="36" t="s">
        <v>990</v>
      </c>
      <c r="D501" s="37">
        <v>41981.498252314814</v>
      </c>
      <c r="E501" s="37">
        <v>41981.504224537035</v>
      </c>
      <c r="G501">
        <v>2</v>
      </c>
      <c r="W501" s="47"/>
    </row>
    <row r="502" spans="1:23" hidden="1">
      <c r="A502">
        <v>3633385785</v>
      </c>
      <c r="B502">
        <v>57240262</v>
      </c>
      <c r="C502" s="36" t="s">
        <v>991</v>
      </c>
      <c r="D502" s="37">
        <v>41981.491354166668</v>
      </c>
      <c r="E502" s="37">
        <v>41981.505243055559</v>
      </c>
      <c r="U502">
        <v>16</v>
      </c>
      <c r="W502" s="47"/>
    </row>
    <row r="503" spans="1:23" hidden="1">
      <c r="A503">
        <v>3633420266</v>
      </c>
      <c r="B503">
        <v>57240262</v>
      </c>
      <c r="C503" s="36" t="s">
        <v>992</v>
      </c>
      <c r="D503" s="37">
        <v>41981.516006944446</v>
      </c>
      <c r="E503" s="37">
        <v>41981.52070601852</v>
      </c>
      <c r="Q503">
        <v>12</v>
      </c>
      <c r="W503" s="47"/>
    </row>
    <row r="504" spans="1:23" hidden="1">
      <c r="A504">
        <v>3633419546</v>
      </c>
      <c r="B504">
        <v>57240262</v>
      </c>
      <c r="C504" s="36" t="s">
        <v>554</v>
      </c>
      <c r="D504" s="37">
        <v>41981.515821759262</v>
      </c>
      <c r="E504" s="37">
        <v>41981.522094907406</v>
      </c>
      <c r="U504">
        <v>16</v>
      </c>
      <c r="W504" s="47"/>
    </row>
    <row r="505" spans="1:23" hidden="1">
      <c r="A505">
        <v>3633493221</v>
      </c>
      <c r="B505">
        <v>57240262</v>
      </c>
      <c r="C505" s="36" t="s">
        <v>993</v>
      </c>
      <c r="D505" s="37">
        <v>41981.547546296293</v>
      </c>
      <c r="E505" s="37">
        <v>41981.560300925928</v>
      </c>
      <c r="I505">
        <v>4</v>
      </c>
      <c r="J505">
        <v>5</v>
      </c>
      <c r="W505" s="47"/>
    </row>
    <row r="506" spans="1:23" hidden="1">
      <c r="A506">
        <v>3633549155</v>
      </c>
      <c r="B506">
        <v>57240262</v>
      </c>
      <c r="C506" s="36" t="s">
        <v>556</v>
      </c>
      <c r="D506" s="37">
        <v>41981.567916666667</v>
      </c>
      <c r="E506" s="37">
        <v>41981.570173611108</v>
      </c>
      <c r="U506">
        <v>16</v>
      </c>
      <c r="W506" s="47"/>
    </row>
    <row r="507" spans="1:23" hidden="1">
      <c r="A507">
        <v>3633553719</v>
      </c>
      <c r="B507">
        <v>57240262</v>
      </c>
      <c r="C507" s="36" t="s">
        <v>555</v>
      </c>
      <c r="D507" s="37">
        <v>41981.569351851853</v>
      </c>
      <c r="E507" s="37">
        <v>41981.570462962962</v>
      </c>
      <c r="F507">
        <v>1</v>
      </c>
      <c r="W507" s="47"/>
    </row>
    <row r="508" spans="1:23" hidden="1">
      <c r="A508">
        <v>3633533877</v>
      </c>
      <c r="B508">
        <v>57240262</v>
      </c>
      <c r="C508" s="36" t="s">
        <v>994</v>
      </c>
      <c r="D508" s="37">
        <v>41981.562847222223</v>
      </c>
      <c r="E508" s="37">
        <v>41981.596296296295</v>
      </c>
      <c r="F508">
        <v>1</v>
      </c>
      <c r="G508">
        <v>2</v>
      </c>
      <c r="H508">
        <v>3</v>
      </c>
      <c r="I508">
        <v>4</v>
      </c>
      <c r="L508">
        <v>7</v>
      </c>
      <c r="M508">
        <v>8</v>
      </c>
      <c r="N508">
        <v>9</v>
      </c>
      <c r="R508">
        <v>13</v>
      </c>
      <c r="W508" s="47"/>
    </row>
    <row r="509" spans="1:23" hidden="1">
      <c r="A509">
        <v>3633792650</v>
      </c>
      <c r="B509">
        <v>57240262</v>
      </c>
      <c r="C509" s="36" t="s">
        <v>995</v>
      </c>
      <c r="D509" s="37">
        <v>41981.63690972222</v>
      </c>
      <c r="E509" s="37">
        <v>41981.648298611108</v>
      </c>
      <c r="U509">
        <v>16</v>
      </c>
      <c r="W509" s="47"/>
    </row>
    <row r="510" spans="1:23">
      <c r="A510">
        <v>3634044007</v>
      </c>
      <c r="B510">
        <v>57240262</v>
      </c>
      <c r="C510" s="36" t="s">
        <v>996</v>
      </c>
      <c r="D510" s="37">
        <v>41981.698564814818</v>
      </c>
      <c r="E510" s="37">
        <v>41981.710416666669</v>
      </c>
      <c r="K510">
        <v>6</v>
      </c>
      <c r="M510">
        <v>8</v>
      </c>
      <c r="N510">
        <v>9</v>
      </c>
      <c r="O510">
        <v>10</v>
      </c>
      <c r="V510" s="42" t="s">
        <v>214</v>
      </c>
      <c r="W510" s="47">
        <v>10</v>
      </c>
    </row>
    <row r="511" spans="1:23" hidden="1">
      <c r="A511">
        <v>3634217079</v>
      </c>
      <c r="B511">
        <v>57240262</v>
      </c>
      <c r="C511" s="36" t="s">
        <v>997</v>
      </c>
      <c r="D511" s="37">
        <v>41981.74287037037</v>
      </c>
      <c r="E511" s="37">
        <v>41981.748576388891</v>
      </c>
      <c r="Q511">
        <v>12</v>
      </c>
      <c r="W511" s="47"/>
    </row>
    <row r="512" spans="1:23" hidden="1">
      <c r="A512">
        <v>3634340736</v>
      </c>
      <c r="B512">
        <v>57240262</v>
      </c>
      <c r="C512" s="36" t="s">
        <v>998</v>
      </c>
      <c r="D512" s="37">
        <v>41981.776076388887</v>
      </c>
      <c r="E512" s="37">
        <v>41981.779675925929</v>
      </c>
      <c r="F512">
        <v>1</v>
      </c>
      <c r="G512">
        <v>2</v>
      </c>
      <c r="I512">
        <v>4</v>
      </c>
      <c r="N512">
        <v>9</v>
      </c>
      <c r="W512" s="47"/>
    </row>
    <row r="513" spans="1:23">
      <c r="A513">
        <v>3634939813</v>
      </c>
      <c r="B513">
        <v>57240262</v>
      </c>
      <c r="C513" s="36" t="s">
        <v>999</v>
      </c>
      <c r="D513" s="37">
        <v>41981.94568287037</v>
      </c>
      <c r="E513" s="37">
        <v>41981.954502314817</v>
      </c>
      <c r="O513">
        <v>10</v>
      </c>
      <c r="V513" s="42" t="s">
        <v>213</v>
      </c>
      <c r="W513" s="47">
        <v>10</v>
      </c>
    </row>
    <row r="514" spans="1:23" hidden="1">
      <c r="A514">
        <v>3635320177</v>
      </c>
      <c r="B514">
        <v>57240262</v>
      </c>
      <c r="C514" s="36" t="s">
        <v>1000</v>
      </c>
      <c r="D514" s="37">
        <v>41982.119421296295</v>
      </c>
      <c r="E514" s="37">
        <v>41982.132488425923</v>
      </c>
      <c r="G514">
        <v>2</v>
      </c>
      <c r="H514">
        <v>3</v>
      </c>
      <c r="O514">
        <v>10</v>
      </c>
      <c r="P514">
        <v>11</v>
      </c>
      <c r="Q514">
        <v>12</v>
      </c>
      <c r="W514" s="47"/>
    </row>
    <row r="515" spans="1:23" hidden="1">
      <c r="A515">
        <v>3635697659</v>
      </c>
      <c r="B515">
        <v>57240262</v>
      </c>
      <c r="C515" s="36" t="s">
        <v>1001</v>
      </c>
      <c r="D515" s="37">
        <v>41982.378622685188</v>
      </c>
      <c r="E515" s="37">
        <v>41982.382800925923</v>
      </c>
      <c r="U515">
        <v>16</v>
      </c>
      <c r="W515" s="47"/>
    </row>
    <row r="516" spans="1:23" hidden="1">
      <c r="A516">
        <v>3635764834</v>
      </c>
      <c r="B516">
        <v>57240262</v>
      </c>
      <c r="C516" s="36" t="s">
        <v>1002</v>
      </c>
      <c r="D516" s="37">
        <v>41982.416030092594</v>
      </c>
      <c r="E516" s="37">
        <v>41982.421412037038</v>
      </c>
      <c r="N516">
        <v>9</v>
      </c>
      <c r="W516" s="47"/>
    </row>
    <row r="517" spans="1:23">
      <c r="A517">
        <v>3635783221</v>
      </c>
      <c r="B517">
        <v>57240262</v>
      </c>
      <c r="C517" s="36" t="s">
        <v>1003</v>
      </c>
      <c r="D517" s="37">
        <v>41982.425324074073</v>
      </c>
      <c r="E517" s="37">
        <v>41982.433611111112</v>
      </c>
      <c r="G517">
        <v>2</v>
      </c>
      <c r="H517">
        <v>3</v>
      </c>
      <c r="O517">
        <v>10</v>
      </c>
      <c r="V517" s="42" t="s">
        <v>212</v>
      </c>
      <c r="W517" s="47">
        <v>3</v>
      </c>
    </row>
    <row r="518" spans="1:23" hidden="1">
      <c r="A518">
        <v>3635877087</v>
      </c>
      <c r="B518">
        <v>57240262</v>
      </c>
      <c r="C518" s="36" t="s">
        <v>1004</v>
      </c>
      <c r="D518" s="37">
        <v>41982.472708333335</v>
      </c>
      <c r="E518" s="37">
        <v>41982.481076388889</v>
      </c>
      <c r="G518">
        <v>2</v>
      </c>
      <c r="H518">
        <v>3</v>
      </c>
      <c r="K518">
        <v>6</v>
      </c>
      <c r="O518">
        <v>10</v>
      </c>
      <c r="W518" s="47"/>
    </row>
    <row r="519" spans="1:23" hidden="1">
      <c r="A519">
        <v>3635899553</v>
      </c>
      <c r="B519">
        <v>57240262</v>
      </c>
      <c r="C519" s="36" t="s">
        <v>1005</v>
      </c>
      <c r="D519" s="37">
        <v>41982.483541666668</v>
      </c>
      <c r="E519" s="37">
        <v>41982.490925925929</v>
      </c>
      <c r="U519">
        <v>16</v>
      </c>
      <c r="W519" s="47"/>
    </row>
    <row r="520" spans="1:23" hidden="1">
      <c r="A520">
        <v>3635938523</v>
      </c>
      <c r="B520">
        <v>57240262</v>
      </c>
      <c r="C520" s="36" t="s">
        <v>1006</v>
      </c>
      <c r="D520" s="37">
        <v>41982.501458333332</v>
      </c>
      <c r="E520" s="37">
        <v>41982.508217592593</v>
      </c>
      <c r="M520">
        <v>8</v>
      </c>
      <c r="W520" s="47"/>
    </row>
    <row r="521" spans="1:23" hidden="1">
      <c r="A521">
        <v>3635949736</v>
      </c>
      <c r="B521">
        <v>57240262</v>
      </c>
      <c r="C521" s="36" t="s">
        <v>1007</v>
      </c>
      <c r="D521" s="37">
        <v>41982.506562499999</v>
      </c>
      <c r="E521" s="37">
        <v>41982.510254629633</v>
      </c>
      <c r="N521">
        <v>9</v>
      </c>
      <c r="W521" s="47"/>
    </row>
    <row r="522" spans="1:23" hidden="1">
      <c r="A522">
        <v>3635960936</v>
      </c>
      <c r="B522">
        <v>57240262</v>
      </c>
      <c r="C522" s="36" t="s">
        <v>1008</v>
      </c>
      <c r="D522" s="37">
        <v>41982.506828703707</v>
      </c>
      <c r="E522" s="37">
        <v>41982.519594907404</v>
      </c>
      <c r="H522">
        <v>3</v>
      </c>
      <c r="W522" s="47"/>
    </row>
    <row r="523" spans="1:23" hidden="1">
      <c r="A523">
        <v>3635998257</v>
      </c>
      <c r="B523">
        <v>57240262</v>
      </c>
      <c r="C523" s="36" t="s">
        <v>1009</v>
      </c>
      <c r="D523" s="37">
        <v>41982.52783564815</v>
      </c>
      <c r="E523" s="37">
        <v>41982.535729166666</v>
      </c>
      <c r="M523">
        <v>8</v>
      </c>
      <c r="W523" s="47"/>
    </row>
    <row r="524" spans="1:23">
      <c r="A524">
        <v>3636009995</v>
      </c>
      <c r="B524">
        <v>57240262</v>
      </c>
      <c r="C524" s="36" t="s">
        <v>1010</v>
      </c>
      <c r="D524" s="37">
        <v>41982.533032407409</v>
      </c>
      <c r="E524" s="37">
        <v>41982.536597222221</v>
      </c>
      <c r="M524">
        <v>8</v>
      </c>
      <c r="Q524">
        <v>12</v>
      </c>
      <c r="V524" s="42" t="s">
        <v>211</v>
      </c>
      <c r="W524" s="47">
        <v>8</v>
      </c>
    </row>
    <row r="525" spans="1:23" hidden="1">
      <c r="A525">
        <v>3636032565</v>
      </c>
      <c r="B525">
        <v>57240262</v>
      </c>
      <c r="C525" s="36" t="s">
        <v>1011</v>
      </c>
      <c r="D525" s="37">
        <v>41982.541585648149</v>
      </c>
      <c r="E525" s="37">
        <v>41982.546481481484</v>
      </c>
      <c r="U525">
        <v>16</v>
      </c>
      <c r="W525" s="47"/>
    </row>
    <row r="526" spans="1:23" hidden="1">
      <c r="A526">
        <v>3636056664</v>
      </c>
      <c r="B526">
        <v>57240262</v>
      </c>
      <c r="C526" s="36" t="s">
        <v>1012</v>
      </c>
      <c r="D526" s="37">
        <v>41982.55060185185</v>
      </c>
      <c r="E526" s="37">
        <v>41982.554814814815</v>
      </c>
      <c r="U526">
        <v>16</v>
      </c>
      <c r="W526" s="47"/>
    </row>
    <row r="527" spans="1:23" hidden="1">
      <c r="A527">
        <v>3636183818</v>
      </c>
      <c r="B527">
        <v>57240262</v>
      </c>
      <c r="C527" s="36" t="s">
        <v>1013</v>
      </c>
      <c r="D527" s="37">
        <v>41982.575949074075</v>
      </c>
      <c r="E527" s="37">
        <v>41982.59579861111</v>
      </c>
      <c r="N527">
        <v>9</v>
      </c>
      <c r="W527" s="47"/>
    </row>
    <row r="528" spans="1:23" hidden="1">
      <c r="A528">
        <v>3636231788</v>
      </c>
      <c r="B528">
        <v>57240262</v>
      </c>
      <c r="C528" s="36" t="s">
        <v>1014</v>
      </c>
      <c r="D528" s="37">
        <v>41982.603784722225</v>
      </c>
      <c r="E528" s="37">
        <v>41982.605023148149</v>
      </c>
      <c r="U528">
        <v>16</v>
      </c>
      <c r="W528" s="47"/>
    </row>
    <row r="529" spans="1:23" hidden="1">
      <c r="A529">
        <v>3636248011</v>
      </c>
      <c r="B529">
        <v>57240262</v>
      </c>
      <c r="C529" s="36" t="s">
        <v>1015</v>
      </c>
      <c r="D529" s="37">
        <v>41982.607928240737</v>
      </c>
      <c r="E529" s="37">
        <v>41982.610868055555</v>
      </c>
      <c r="K529">
        <v>6</v>
      </c>
      <c r="W529" s="47"/>
    </row>
    <row r="530" spans="1:23">
      <c r="A530">
        <v>3636149671</v>
      </c>
      <c r="B530">
        <v>57240262</v>
      </c>
      <c r="C530" s="36" t="s">
        <v>557</v>
      </c>
      <c r="D530" s="37">
        <v>41982.58116898148</v>
      </c>
      <c r="E530" s="37">
        <v>41982.650590277779</v>
      </c>
      <c r="M530">
        <v>8</v>
      </c>
      <c r="N530">
        <v>9</v>
      </c>
      <c r="O530">
        <v>10</v>
      </c>
      <c r="Q530">
        <v>12</v>
      </c>
      <c r="R530">
        <v>13</v>
      </c>
      <c r="V530" s="42" t="s">
        <v>210</v>
      </c>
      <c r="W530" s="47">
        <v>15</v>
      </c>
    </row>
    <row r="531" spans="1:23" hidden="1">
      <c r="A531">
        <v>3636404187</v>
      </c>
      <c r="B531">
        <v>57240262</v>
      </c>
      <c r="C531" s="36" t="s">
        <v>1016</v>
      </c>
      <c r="D531" s="37">
        <v>41982.647141203706</v>
      </c>
      <c r="E531" s="37">
        <v>41982.65185185185</v>
      </c>
      <c r="F531">
        <v>1</v>
      </c>
      <c r="W531" s="47"/>
    </row>
    <row r="532" spans="1:23" hidden="1">
      <c r="A532">
        <v>3636426661</v>
      </c>
      <c r="B532">
        <v>57240262</v>
      </c>
      <c r="C532" s="36" t="s">
        <v>1017</v>
      </c>
      <c r="D532" s="37">
        <v>41982.652511574073</v>
      </c>
      <c r="E532" s="37">
        <v>41982.663518518515</v>
      </c>
      <c r="G532">
        <v>2</v>
      </c>
      <c r="W532" s="47"/>
    </row>
    <row r="533" spans="1:23" hidden="1">
      <c r="A533">
        <v>3636503669</v>
      </c>
      <c r="B533">
        <v>57240262</v>
      </c>
      <c r="C533" s="36" t="s">
        <v>1018</v>
      </c>
      <c r="D533" s="37">
        <v>41982.670567129629</v>
      </c>
      <c r="E533" s="37">
        <v>41982.675081018519</v>
      </c>
      <c r="F533">
        <v>1</v>
      </c>
      <c r="N533">
        <v>9</v>
      </c>
      <c r="W533" s="47"/>
    </row>
    <row r="534" spans="1:23" hidden="1">
      <c r="A534">
        <v>3636565947</v>
      </c>
      <c r="B534">
        <v>57240262</v>
      </c>
      <c r="C534" s="36" t="s">
        <v>1019</v>
      </c>
      <c r="D534" s="37">
        <v>41982.68540509259</v>
      </c>
      <c r="E534" s="37">
        <v>41982.693287037036</v>
      </c>
      <c r="F534">
        <v>1</v>
      </c>
      <c r="H534">
        <v>3</v>
      </c>
      <c r="O534">
        <v>10</v>
      </c>
      <c r="W534" s="47"/>
    </row>
    <row r="535" spans="1:23">
      <c r="A535">
        <v>3636585086</v>
      </c>
      <c r="B535">
        <v>57240262</v>
      </c>
      <c r="C535" s="36" t="s">
        <v>1020</v>
      </c>
      <c r="D535" s="37">
        <v>41982.689988425926</v>
      </c>
      <c r="E535" s="37">
        <v>41982.695092592592</v>
      </c>
      <c r="K535">
        <v>6</v>
      </c>
      <c r="S535">
        <v>14</v>
      </c>
      <c r="V535" s="42" t="s">
        <v>209</v>
      </c>
      <c r="W535" s="47">
        <v>14</v>
      </c>
    </row>
    <row r="536" spans="1:23" hidden="1">
      <c r="A536">
        <v>3636607113</v>
      </c>
      <c r="B536">
        <v>57240262</v>
      </c>
      <c r="C536" s="36" t="s">
        <v>1021</v>
      </c>
      <c r="D536" s="37">
        <v>41982.695162037038</v>
      </c>
      <c r="E536" s="37">
        <v>41982.697465277779</v>
      </c>
      <c r="U536">
        <v>16</v>
      </c>
      <c r="W536" s="47"/>
    </row>
    <row r="537" spans="1:23" hidden="1">
      <c r="A537">
        <v>3636628881</v>
      </c>
      <c r="B537">
        <v>57240262</v>
      </c>
      <c r="C537" s="36" t="s">
        <v>2325</v>
      </c>
      <c r="D537" s="37">
        <v>41982.700335648151</v>
      </c>
      <c r="E537" s="37">
        <v>41982.700821759259</v>
      </c>
      <c r="W537" s="47"/>
    </row>
    <row r="538" spans="1:23" hidden="1">
      <c r="A538">
        <v>3636633308</v>
      </c>
      <c r="B538">
        <v>57240262</v>
      </c>
      <c r="C538" s="36" t="s">
        <v>1022</v>
      </c>
      <c r="D538" s="37">
        <v>41982.701550925929</v>
      </c>
      <c r="E538" s="37">
        <v>41982.705011574071</v>
      </c>
      <c r="I538">
        <v>4</v>
      </c>
      <c r="W538" s="47"/>
    </row>
    <row r="539" spans="1:23">
      <c r="A539">
        <v>3636681428</v>
      </c>
      <c r="B539">
        <v>57240262</v>
      </c>
      <c r="C539" s="36" t="s">
        <v>1023</v>
      </c>
      <c r="D539" s="37">
        <v>41982.712488425925</v>
      </c>
      <c r="E539" s="37">
        <v>41982.718634259261</v>
      </c>
      <c r="H539">
        <v>3</v>
      </c>
      <c r="I539">
        <v>4</v>
      </c>
      <c r="V539" s="42" t="s">
        <v>208</v>
      </c>
      <c r="W539" s="47">
        <v>4</v>
      </c>
    </row>
    <row r="540" spans="1:23" hidden="1">
      <c r="A540">
        <v>3636731060</v>
      </c>
      <c r="B540">
        <v>57240262</v>
      </c>
      <c r="C540" s="36" t="s">
        <v>1024</v>
      </c>
      <c r="D540" s="37">
        <v>41982.722939814812</v>
      </c>
      <c r="E540" s="37">
        <v>41982.724895833337</v>
      </c>
      <c r="U540">
        <v>16</v>
      </c>
      <c r="W540" s="47"/>
    </row>
    <row r="541" spans="1:23" hidden="1">
      <c r="A541">
        <v>3636759596</v>
      </c>
      <c r="B541">
        <v>57240262</v>
      </c>
      <c r="C541" s="36" t="s">
        <v>1025</v>
      </c>
      <c r="D541" s="37">
        <v>41982.729097222225</v>
      </c>
      <c r="E541" s="37">
        <v>41982.739942129629</v>
      </c>
      <c r="U541">
        <v>16</v>
      </c>
      <c r="W541" s="47"/>
    </row>
    <row r="542" spans="1:23" hidden="1">
      <c r="A542">
        <v>3636788639</v>
      </c>
      <c r="B542">
        <v>57240262</v>
      </c>
      <c r="C542" s="36" t="s">
        <v>1026</v>
      </c>
      <c r="D542" s="37">
        <v>41982.735844907409</v>
      </c>
      <c r="E542" s="37">
        <v>41982.740833333337</v>
      </c>
      <c r="F542">
        <v>1</v>
      </c>
      <c r="H542">
        <v>3</v>
      </c>
      <c r="I542">
        <v>4</v>
      </c>
      <c r="M542">
        <v>8</v>
      </c>
      <c r="P542">
        <v>11</v>
      </c>
      <c r="W542" s="47"/>
    </row>
    <row r="543" spans="1:23">
      <c r="A543">
        <v>3637258198</v>
      </c>
      <c r="B543">
        <v>57240262</v>
      </c>
      <c r="C543" s="36" t="s">
        <v>1027</v>
      </c>
      <c r="D543" s="37">
        <v>41982.847662037035</v>
      </c>
      <c r="E543" s="37">
        <v>41982.854131944441</v>
      </c>
      <c r="F543">
        <v>1</v>
      </c>
      <c r="J543">
        <v>5</v>
      </c>
      <c r="K543">
        <v>6</v>
      </c>
      <c r="P543">
        <v>11</v>
      </c>
      <c r="V543" s="42" t="s">
        <v>76</v>
      </c>
      <c r="W543" s="47">
        <v>4</v>
      </c>
    </row>
    <row r="544" spans="1:23" hidden="1">
      <c r="A544">
        <v>3637311109</v>
      </c>
      <c r="B544">
        <v>57240262</v>
      </c>
      <c r="C544" s="36" t="s">
        <v>559</v>
      </c>
      <c r="D544" s="37">
        <v>41982.860844907409</v>
      </c>
      <c r="E544" s="37">
        <v>41982.864502314813</v>
      </c>
      <c r="H544">
        <v>3</v>
      </c>
      <c r="I544">
        <v>4</v>
      </c>
      <c r="K544">
        <v>6</v>
      </c>
      <c r="M544">
        <v>8</v>
      </c>
      <c r="W544" s="47"/>
    </row>
    <row r="545" spans="1:23">
      <c r="A545">
        <v>3637305110</v>
      </c>
      <c r="B545">
        <v>57240262</v>
      </c>
      <c r="C545" s="36" t="s">
        <v>1028</v>
      </c>
      <c r="D545" s="37">
        <v>41982.859409722223</v>
      </c>
      <c r="E545" s="37">
        <v>41982.867488425924</v>
      </c>
      <c r="F545">
        <v>1</v>
      </c>
      <c r="G545">
        <v>2</v>
      </c>
      <c r="V545" s="42" t="s">
        <v>207</v>
      </c>
      <c r="W545" s="47">
        <v>2</v>
      </c>
    </row>
    <row r="546" spans="1:23">
      <c r="A546">
        <v>3637351972</v>
      </c>
      <c r="B546">
        <v>57240262</v>
      </c>
      <c r="C546" s="36" t="s">
        <v>1029</v>
      </c>
      <c r="D546" s="37">
        <v>41982.870729166665</v>
      </c>
      <c r="E546" s="37">
        <v>41982.8825</v>
      </c>
      <c r="F546">
        <v>1</v>
      </c>
      <c r="G546">
        <v>2</v>
      </c>
      <c r="K546">
        <v>6</v>
      </c>
      <c r="V546" s="42" t="s">
        <v>206</v>
      </c>
      <c r="W546" s="47">
        <v>2</v>
      </c>
    </row>
    <row r="547" spans="1:23" ht="24">
      <c r="A547">
        <v>3637403030</v>
      </c>
      <c r="B547">
        <v>57240262</v>
      </c>
      <c r="C547" s="36" t="s">
        <v>1030</v>
      </c>
      <c r="D547" s="37">
        <v>41982.882847222223</v>
      </c>
      <c r="E547" s="37">
        <v>41982.899421296293</v>
      </c>
      <c r="I547">
        <v>4</v>
      </c>
      <c r="U547">
        <v>16</v>
      </c>
      <c r="V547" s="42" t="s">
        <v>205</v>
      </c>
      <c r="W547" s="47">
        <v>8</v>
      </c>
    </row>
    <row r="548" spans="1:23" hidden="1">
      <c r="A548">
        <v>3637603242</v>
      </c>
      <c r="B548">
        <v>57240262</v>
      </c>
      <c r="C548" s="36" t="s">
        <v>1031</v>
      </c>
      <c r="D548" s="37">
        <v>41982.938819444447</v>
      </c>
      <c r="E548" s="37">
        <v>41982.943831018521</v>
      </c>
      <c r="F548">
        <v>1</v>
      </c>
      <c r="K548">
        <v>6</v>
      </c>
      <c r="N548">
        <v>9</v>
      </c>
      <c r="R548">
        <v>13</v>
      </c>
      <c r="W548" s="47"/>
    </row>
    <row r="549" spans="1:23" hidden="1">
      <c r="A549">
        <v>3638387067</v>
      </c>
      <c r="B549">
        <v>57240262</v>
      </c>
      <c r="C549" s="36" t="s">
        <v>1032</v>
      </c>
      <c r="D549" s="37">
        <v>41983.34480324074</v>
      </c>
      <c r="E549" s="37">
        <v>41983.350381944445</v>
      </c>
      <c r="U549">
        <v>16</v>
      </c>
      <c r="W549" s="47"/>
    </row>
    <row r="550" spans="1:23" hidden="1">
      <c r="A550">
        <v>3638437365</v>
      </c>
      <c r="B550">
        <v>57240262</v>
      </c>
      <c r="C550" s="36" t="s">
        <v>1035</v>
      </c>
      <c r="D550" s="37">
        <v>41983.373692129629</v>
      </c>
      <c r="E550" s="37">
        <v>41983.375</v>
      </c>
      <c r="W550" s="47"/>
    </row>
    <row r="551" spans="1:23" hidden="1">
      <c r="A551">
        <v>3638440678</v>
      </c>
      <c r="B551">
        <v>57240262</v>
      </c>
      <c r="C551" s="36" t="s">
        <v>1033</v>
      </c>
      <c r="D551" s="37">
        <v>41983.375416666669</v>
      </c>
      <c r="E551" s="37">
        <v>41983.378125000003</v>
      </c>
      <c r="U551">
        <v>16</v>
      </c>
      <c r="W551" s="47"/>
    </row>
    <row r="552" spans="1:23" hidden="1">
      <c r="A552">
        <v>3638442156</v>
      </c>
      <c r="B552">
        <v>57240262</v>
      </c>
      <c r="C552" s="36" t="s">
        <v>1034</v>
      </c>
      <c r="D552" s="37">
        <v>41983.376087962963</v>
      </c>
      <c r="E552" s="37">
        <v>41983.381076388891</v>
      </c>
      <c r="M552">
        <v>8</v>
      </c>
      <c r="W552" s="47"/>
    </row>
    <row r="553" spans="1:23">
      <c r="A553">
        <v>3638438405</v>
      </c>
      <c r="B553">
        <v>57240262</v>
      </c>
      <c r="C553" s="36" t="s">
        <v>2326</v>
      </c>
      <c r="D553" s="37">
        <v>41983.374293981484</v>
      </c>
      <c r="E553" s="37">
        <v>41983.381261574075</v>
      </c>
      <c r="F553">
        <v>1</v>
      </c>
      <c r="G553">
        <v>2</v>
      </c>
      <c r="V553" s="42" t="s">
        <v>67</v>
      </c>
      <c r="W553" s="47">
        <v>2</v>
      </c>
    </row>
    <row r="554" spans="1:23" hidden="1">
      <c r="A554">
        <v>3638452387</v>
      </c>
      <c r="B554">
        <v>57240262</v>
      </c>
      <c r="C554" s="36" t="s">
        <v>1036</v>
      </c>
      <c r="D554" s="37">
        <v>41983.381678240738</v>
      </c>
      <c r="E554" s="37">
        <v>41983.383460648147</v>
      </c>
      <c r="U554">
        <v>16</v>
      </c>
      <c r="W554" s="47"/>
    </row>
    <row r="555" spans="1:23" hidden="1">
      <c r="A555">
        <v>3638468203</v>
      </c>
      <c r="B555">
        <v>57240262</v>
      </c>
      <c r="C555" s="36" t="s">
        <v>1037</v>
      </c>
      <c r="D555" s="37">
        <v>41983.389710648145</v>
      </c>
      <c r="E555" s="37">
        <v>41983.391446759262</v>
      </c>
      <c r="G555">
        <v>2</v>
      </c>
      <c r="H555">
        <v>3</v>
      </c>
      <c r="I555">
        <v>4</v>
      </c>
      <c r="K555">
        <v>6</v>
      </c>
      <c r="L555">
        <v>7</v>
      </c>
      <c r="M555">
        <v>8</v>
      </c>
      <c r="Q555">
        <v>12</v>
      </c>
      <c r="R555">
        <v>13</v>
      </c>
      <c r="W555" s="47"/>
    </row>
    <row r="556" spans="1:23" hidden="1">
      <c r="A556">
        <v>3638469101</v>
      </c>
      <c r="B556">
        <v>57240262</v>
      </c>
      <c r="C556" s="36" t="s">
        <v>1038</v>
      </c>
      <c r="D556" s="37">
        <v>41983.390370370369</v>
      </c>
      <c r="E556" s="37">
        <v>41983.393773148149</v>
      </c>
      <c r="U556">
        <v>16</v>
      </c>
      <c r="W556" s="47"/>
    </row>
    <row r="557" spans="1:23">
      <c r="A557">
        <v>3638480373</v>
      </c>
      <c r="B557">
        <v>57240262</v>
      </c>
      <c r="C557" s="36" t="s">
        <v>1039</v>
      </c>
      <c r="D557" s="37">
        <v>41983.396157407406</v>
      </c>
      <c r="E557" s="37">
        <v>41983.402743055558</v>
      </c>
      <c r="G557">
        <v>2</v>
      </c>
      <c r="K557">
        <v>6</v>
      </c>
      <c r="O557">
        <v>10</v>
      </c>
      <c r="V557" s="42" t="s">
        <v>204</v>
      </c>
      <c r="W557" s="47">
        <v>10</v>
      </c>
    </row>
    <row r="558" spans="1:23" hidden="1">
      <c r="A558">
        <v>3638473564</v>
      </c>
      <c r="B558">
        <v>57240262</v>
      </c>
      <c r="C558" s="36" t="s">
        <v>560</v>
      </c>
      <c r="D558" s="37">
        <v>41983.392731481479</v>
      </c>
      <c r="E558" s="37">
        <v>41983.405729166669</v>
      </c>
      <c r="G558">
        <v>2</v>
      </c>
      <c r="H558">
        <v>3</v>
      </c>
      <c r="I558">
        <v>4</v>
      </c>
      <c r="L558">
        <v>7</v>
      </c>
      <c r="M558">
        <v>8</v>
      </c>
      <c r="R558">
        <v>13</v>
      </c>
      <c r="W558" s="47"/>
    </row>
    <row r="559" spans="1:23" hidden="1">
      <c r="A559">
        <v>3638488245</v>
      </c>
      <c r="B559">
        <v>57240262</v>
      </c>
      <c r="C559" s="36" t="s">
        <v>1040</v>
      </c>
      <c r="D559" s="37">
        <v>41983.400243055556</v>
      </c>
      <c r="E559" s="37">
        <v>41983.405844907407</v>
      </c>
      <c r="F559">
        <v>1</v>
      </c>
      <c r="K559">
        <v>6</v>
      </c>
      <c r="P559">
        <v>11</v>
      </c>
      <c r="W559" s="47"/>
    </row>
    <row r="560" spans="1:23" hidden="1">
      <c r="A560">
        <v>3638481986</v>
      </c>
      <c r="B560">
        <v>57240262</v>
      </c>
      <c r="C560" s="36" t="s">
        <v>562</v>
      </c>
      <c r="D560" s="37">
        <v>41983.396944444445</v>
      </c>
      <c r="E560" s="37">
        <v>41983.408182870371</v>
      </c>
      <c r="I560">
        <v>4</v>
      </c>
      <c r="W560" s="47"/>
    </row>
    <row r="561" spans="1:23" hidden="1">
      <c r="A561">
        <v>3638504813</v>
      </c>
      <c r="B561">
        <v>57240262</v>
      </c>
      <c r="C561" s="36" t="s">
        <v>1041</v>
      </c>
      <c r="D561" s="37">
        <v>41983.408912037034</v>
      </c>
      <c r="E561" s="37">
        <v>41983.40929398148</v>
      </c>
      <c r="F561">
        <v>1</v>
      </c>
      <c r="W561" s="47"/>
    </row>
    <row r="562" spans="1:23">
      <c r="A562">
        <v>3638483522</v>
      </c>
      <c r="B562">
        <v>57240262</v>
      </c>
      <c r="C562" s="36" t="s">
        <v>561</v>
      </c>
      <c r="D562" s="37">
        <v>41983.397835648146</v>
      </c>
      <c r="E562" s="37">
        <v>41983.413344907407</v>
      </c>
      <c r="F562">
        <v>1</v>
      </c>
      <c r="I562">
        <v>4</v>
      </c>
      <c r="O562">
        <v>10</v>
      </c>
      <c r="V562" s="42" t="s">
        <v>38</v>
      </c>
      <c r="W562" s="47">
        <v>4</v>
      </c>
    </row>
    <row r="563" spans="1:23" hidden="1">
      <c r="A563">
        <v>3638518350</v>
      </c>
      <c r="B563">
        <v>57240262</v>
      </c>
      <c r="C563" s="36" t="s">
        <v>1042</v>
      </c>
      <c r="D563" s="37">
        <v>41983.416041666664</v>
      </c>
      <c r="E563" s="37">
        <v>41983.417199074072</v>
      </c>
      <c r="P563">
        <v>11</v>
      </c>
      <c r="W563" s="47"/>
    </row>
    <row r="564" spans="1:23" hidden="1">
      <c r="A564">
        <v>3638588754</v>
      </c>
      <c r="B564">
        <v>57240262</v>
      </c>
      <c r="C564" s="36" t="s">
        <v>1043</v>
      </c>
      <c r="D564" s="37">
        <v>41983.450775462959</v>
      </c>
      <c r="E564" s="37">
        <v>41983.455520833333</v>
      </c>
      <c r="U564">
        <v>16</v>
      </c>
      <c r="W564" s="47"/>
    </row>
    <row r="565" spans="1:23" hidden="1">
      <c r="A565">
        <v>3638600215</v>
      </c>
      <c r="B565">
        <v>57240262</v>
      </c>
      <c r="C565" s="36" t="s">
        <v>564</v>
      </c>
      <c r="D565" s="37">
        <v>41983.455949074072</v>
      </c>
      <c r="E565" s="37">
        <v>41983.461030092592</v>
      </c>
      <c r="G565">
        <v>2</v>
      </c>
      <c r="M565">
        <v>8</v>
      </c>
      <c r="W565" s="47"/>
    </row>
    <row r="566" spans="1:23" hidden="1">
      <c r="A566">
        <v>3638598199</v>
      </c>
      <c r="B566">
        <v>57240262</v>
      </c>
      <c r="C566" s="36" t="s">
        <v>1044</v>
      </c>
      <c r="D566" s="37">
        <v>41983.454675925925</v>
      </c>
      <c r="E566" s="37">
        <v>41983.469548611109</v>
      </c>
      <c r="L566">
        <v>7</v>
      </c>
      <c r="Q566">
        <v>12</v>
      </c>
      <c r="W566" s="47"/>
    </row>
    <row r="567" spans="1:23">
      <c r="A567">
        <v>3638616115</v>
      </c>
      <c r="B567">
        <v>57240262</v>
      </c>
      <c r="C567" s="36" t="s">
        <v>1045</v>
      </c>
      <c r="D567" s="37">
        <v>41983.464143518519</v>
      </c>
      <c r="E567" s="37">
        <v>41983.474999999999</v>
      </c>
      <c r="F567">
        <v>1</v>
      </c>
      <c r="N567">
        <v>9</v>
      </c>
      <c r="V567" s="42" t="s">
        <v>25</v>
      </c>
      <c r="W567" s="47">
        <v>1</v>
      </c>
    </row>
    <row r="568" spans="1:23" hidden="1">
      <c r="A568">
        <v>3638664679</v>
      </c>
      <c r="B568">
        <v>57240262</v>
      </c>
      <c r="C568" s="36" t="s">
        <v>1046</v>
      </c>
      <c r="D568" s="37">
        <v>41983.488437499997</v>
      </c>
      <c r="E568" s="37">
        <v>41983.492696759262</v>
      </c>
      <c r="F568">
        <v>1</v>
      </c>
      <c r="J568">
        <v>5</v>
      </c>
      <c r="W568" s="47"/>
    </row>
    <row r="569" spans="1:23" hidden="1">
      <c r="A569">
        <v>3638674218</v>
      </c>
      <c r="B569">
        <v>57240262</v>
      </c>
      <c r="C569" s="36" t="s">
        <v>1047</v>
      </c>
      <c r="D569" s="37">
        <v>41983.492743055554</v>
      </c>
      <c r="E569" s="37">
        <v>41983.497731481482</v>
      </c>
      <c r="U569">
        <v>16</v>
      </c>
      <c r="W569" s="47"/>
    </row>
    <row r="570" spans="1:23" hidden="1">
      <c r="A570">
        <v>3638678697</v>
      </c>
      <c r="B570">
        <v>57240262</v>
      </c>
      <c r="C570" s="36" t="s">
        <v>569</v>
      </c>
      <c r="D570" s="37">
        <v>41983.495057870372</v>
      </c>
      <c r="E570" s="37">
        <v>41983.500011574077</v>
      </c>
      <c r="S570">
        <v>14</v>
      </c>
      <c r="W570" s="47"/>
    </row>
    <row r="571" spans="1:23" hidden="1">
      <c r="A571">
        <v>3638696314</v>
      </c>
      <c r="B571">
        <v>57240262</v>
      </c>
      <c r="C571" s="36" t="s">
        <v>568</v>
      </c>
      <c r="D571" s="37">
        <v>41983.503240740742</v>
      </c>
      <c r="E571" s="37">
        <v>41983.504189814812</v>
      </c>
      <c r="G571">
        <v>2</v>
      </c>
      <c r="W571" s="47"/>
    </row>
    <row r="572" spans="1:23" hidden="1">
      <c r="A572">
        <v>3638701889</v>
      </c>
      <c r="B572">
        <v>57240262</v>
      </c>
      <c r="C572" s="36" t="s">
        <v>2327</v>
      </c>
      <c r="D572" s="37">
        <v>41983.505636574075</v>
      </c>
      <c r="E572" s="37">
        <v>41983.506562499999</v>
      </c>
      <c r="W572" s="47"/>
    </row>
    <row r="573" spans="1:23" hidden="1">
      <c r="A573">
        <v>3638724540</v>
      </c>
      <c r="B573">
        <v>57240262</v>
      </c>
      <c r="C573" s="36" t="s">
        <v>567</v>
      </c>
      <c r="D573" s="37">
        <v>41983.515613425923</v>
      </c>
      <c r="E573" s="37">
        <v>41983.521145833336</v>
      </c>
      <c r="F573">
        <v>1</v>
      </c>
      <c r="H573">
        <v>3</v>
      </c>
      <c r="L573">
        <v>7</v>
      </c>
      <c r="M573">
        <v>8</v>
      </c>
      <c r="W573" s="47"/>
    </row>
    <row r="574" spans="1:23" hidden="1">
      <c r="A574">
        <v>3638674769</v>
      </c>
      <c r="B574">
        <v>57240262</v>
      </c>
      <c r="C574" s="36" t="s">
        <v>1048</v>
      </c>
      <c r="D574" s="37">
        <v>41983.49322916667</v>
      </c>
      <c r="E574" s="37">
        <v>41983.53392361111</v>
      </c>
      <c r="U574">
        <v>16</v>
      </c>
      <c r="W574" s="47"/>
    </row>
    <row r="575" spans="1:23">
      <c r="A575">
        <v>3638757545</v>
      </c>
      <c r="B575">
        <v>57240262</v>
      </c>
      <c r="C575" s="36" t="s">
        <v>570</v>
      </c>
      <c r="D575" s="37">
        <v>41983.527372685188</v>
      </c>
      <c r="E575" s="37">
        <v>41983.541203703702</v>
      </c>
      <c r="H575">
        <v>3</v>
      </c>
      <c r="I575">
        <v>4</v>
      </c>
      <c r="Q575">
        <v>12</v>
      </c>
      <c r="V575" s="42" t="s">
        <v>38</v>
      </c>
      <c r="W575" s="47">
        <v>4</v>
      </c>
    </row>
    <row r="576" spans="1:23">
      <c r="A576">
        <v>3638728227</v>
      </c>
      <c r="B576">
        <v>57240262</v>
      </c>
      <c r="C576" s="36" t="s">
        <v>1049</v>
      </c>
      <c r="D576" s="37">
        <v>41983.517094907409</v>
      </c>
      <c r="E576" s="37">
        <v>41983.54828703704</v>
      </c>
      <c r="I576">
        <v>4</v>
      </c>
      <c r="K576">
        <v>6</v>
      </c>
      <c r="N576">
        <v>9</v>
      </c>
      <c r="O576">
        <v>10</v>
      </c>
      <c r="P576">
        <v>11</v>
      </c>
      <c r="V576" s="42" t="s">
        <v>9</v>
      </c>
      <c r="W576" s="47">
        <v>6</v>
      </c>
    </row>
    <row r="577" spans="1:23" hidden="1">
      <c r="A577">
        <v>3638767633</v>
      </c>
      <c r="B577">
        <v>57240262</v>
      </c>
      <c r="C577" s="36" t="s">
        <v>1050</v>
      </c>
      <c r="D577" s="37">
        <v>41983.532962962963</v>
      </c>
      <c r="E577" s="37">
        <v>41983.55568287037</v>
      </c>
      <c r="M577">
        <v>8</v>
      </c>
      <c r="W577" s="47"/>
    </row>
    <row r="578" spans="1:23">
      <c r="A578">
        <v>3638857860</v>
      </c>
      <c r="B578">
        <v>57240262</v>
      </c>
      <c r="C578" s="36" t="s">
        <v>1051</v>
      </c>
      <c r="D578" s="37">
        <v>41983.562893518516</v>
      </c>
      <c r="E578" s="37">
        <v>41983.57775462963</v>
      </c>
      <c r="F578">
        <v>1</v>
      </c>
      <c r="G578">
        <v>2</v>
      </c>
      <c r="H578">
        <v>3</v>
      </c>
      <c r="N578">
        <v>9</v>
      </c>
      <c r="V578" s="42" t="s">
        <v>203</v>
      </c>
      <c r="W578" s="47">
        <v>3</v>
      </c>
    </row>
    <row r="579" spans="1:23" hidden="1">
      <c r="A579">
        <v>3638905938</v>
      </c>
      <c r="B579">
        <v>57240262</v>
      </c>
      <c r="C579" s="36" t="s">
        <v>1052</v>
      </c>
      <c r="D579" s="37">
        <v>41983.579930555556</v>
      </c>
      <c r="E579" s="37">
        <v>41983.584826388891</v>
      </c>
      <c r="U579">
        <v>16</v>
      </c>
      <c r="W579" s="47"/>
    </row>
    <row r="580" spans="1:23" hidden="1">
      <c r="A580">
        <v>3638915832</v>
      </c>
      <c r="B580">
        <v>57240262</v>
      </c>
      <c r="C580" s="36" t="s">
        <v>2328</v>
      </c>
      <c r="D580" s="37">
        <v>41983.582962962966</v>
      </c>
      <c r="E580" s="37">
        <v>41983.584953703707</v>
      </c>
      <c r="W580" s="47"/>
    </row>
    <row r="581" spans="1:23">
      <c r="A581">
        <v>3638908488</v>
      </c>
      <c r="B581">
        <v>57240262</v>
      </c>
      <c r="C581" s="36" t="s">
        <v>572</v>
      </c>
      <c r="D581" s="37">
        <v>41983.580763888887</v>
      </c>
      <c r="E581" s="37">
        <v>41983.585798611108</v>
      </c>
      <c r="K581">
        <v>6</v>
      </c>
      <c r="Q581">
        <v>12</v>
      </c>
      <c r="V581" s="42" t="s">
        <v>202</v>
      </c>
      <c r="W581" s="47">
        <v>12</v>
      </c>
    </row>
    <row r="582" spans="1:23" hidden="1">
      <c r="A582">
        <v>3638945041</v>
      </c>
      <c r="B582">
        <v>57240262</v>
      </c>
      <c r="C582" s="36" t="s">
        <v>1053</v>
      </c>
      <c r="D582" s="37">
        <v>41983.59101851852</v>
      </c>
      <c r="E582" s="37">
        <v>41983.59579861111</v>
      </c>
      <c r="U582">
        <v>16</v>
      </c>
      <c r="W582" s="47"/>
    </row>
    <row r="583" spans="1:23" hidden="1">
      <c r="A583">
        <v>3638945926</v>
      </c>
      <c r="B583">
        <v>57240262</v>
      </c>
      <c r="C583" s="36" t="s">
        <v>1054</v>
      </c>
      <c r="D583" s="37">
        <v>41983.591192129628</v>
      </c>
      <c r="E583" s="37">
        <v>41983.598738425928</v>
      </c>
      <c r="P583">
        <v>11</v>
      </c>
      <c r="W583" s="47"/>
    </row>
    <row r="584" spans="1:23">
      <c r="A584">
        <v>3638981188</v>
      </c>
      <c r="B584">
        <v>57240262</v>
      </c>
      <c r="C584" s="36" t="s">
        <v>603</v>
      </c>
      <c r="D584" s="37">
        <v>41983.596562500003</v>
      </c>
      <c r="E584" s="37">
        <v>41983.604733796295</v>
      </c>
      <c r="G584">
        <v>2</v>
      </c>
      <c r="J584">
        <v>5</v>
      </c>
      <c r="M584">
        <v>8</v>
      </c>
      <c r="N584">
        <v>9</v>
      </c>
      <c r="V584" s="42" t="s">
        <v>91</v>
      </c>
      <c r="W584" s="47">
        <v>9</v>
      </c>
    </row>
    <row r="585" spans="1:23" hidden="1">
      <c r="A585">
        <v>3638820107</v>
      </c>
      <c r="B585">
        <v>57240262</v>
      </c>
      <c r="C585" s="36" t="s">
        <v>571</v>
      </c>
      <c r="D585" s="37">
        <v>41983.552291666667</v>
      </c>
      <c r="E585" s="37">
        <v>41983.61824074074</v>
      </c>
      <c r="U585">
        <v>16</v>
      </c>
      <c r="W585" s="47"/>
    </row>
    <row r="586" spans="1:23" hidden="1">
      <c r="A586">
        <v>3639011268</v>
      </c>
      <c r="B586">
        <v>57240262</v>
      </c>
      <c r="C586" s="36" t="s">
        <v>1055</v>
      </c>
      <c r="D586" s="37">
        <v>41983.608101851853</v>
      </c>
      <c r="E586" s="37">
        <v>41983.619039351855</v>
      </c>
      <c r="F586">
        <v>1</v>
      </c>
      <c r="G586">
        <v>2</v>
      </c>
      <c r="H586">
        <v>3</v>
      </c>
      <c r="K586">
        <v>6</v>
      </c>
      <c r="P586">
        <v>11</v>
      </c>
      <c r="R586">
        <v>13</v>
      </c>
      <c r="W586" s="47"/>
    </row>
    <row r="587" spans="1:23" hidden="1">
      <c r="A587">
        <v>3639306238</v>
      </c>
      <c r="B587">
        <v>57240262</v>
      </c>
      <c r="C587" s="36" t="s">
        <v>1056</v>
      </c>
      <c r="D587" s="37">
        <v>41983.678773148145</v>
      </c>
      <c r="E587" s="37">
        <v>41983.685474537036</v>
      </c>
      <c r="U587">
        <v>16</v>
      </c>
      <c r="W587" s="47"/>
    </row>
    <row r="588" spans="1:23" hidden="1">
      <c r="A588">
        <v>3639317858</v>
      </c>
      <c r="B588">
        <v>57240262</v>
      </c>
      <c r="C588" s="36" t="s">
        <v>1057</v>
      </c>
      <c r="D588" s="37">
        <v>41983.681226851855</v>
      </c>
      <c r="E588" s="37">
        <v>41983.689085648148</v>
      </c>
      <c r="U588">
        <v>16</v>
      </c>
      <c r="W588" s="47"/>
    </row>
    <row r="589" spans="1:23" hidden="1">
      <c r="A589">
        <v>3639701054</v>
      </c>
      <c r="B589">
        <v>57240262</v>
      </c>
      <c r="C589" s="36" t="s">
        <v>1058</v>
      </c>
      <c r="D589" s="37">
        <v>41983.769675925927</v>
      </c>
      <c r="E589" s="37">
        <v>41983.775636574072</v>
      </c>
      <c r="G589">
        <v>2</v>
      </c>
      <c r="W589" s="47"/>
    </row>
    <row r="590" spans="1:23" hidden="1">
      <c r="A590">
        <v>3639928841</v>
      </c>
      <c r="B590">
        <v>57240262</v>
      </c>
      <c r="C590" s="36" t="s">
        <v>1059</v>
      </c>
      <c r="D590" s="37">
        <v>41983.827349537038</v>
      </c>
      <c r="E590" s="37">
        <v>41983.832372685189</v>
      </c>
      <c r="U590">
        <v>16</v>
      </c>
      <c r="W590" s="47"/>
    </row>
    <row r="591" spans="1:23" hidden="1">
      <c r="A591">
        <v>3641094809</v>
      </c>
      <c r="B591">
        <v>57240262</v>
      </c>
      <c r="C591" s="36" t="s">
        <v>1060</v>
      </c>
      <c r="D591" s="37">
        <v>41984.354050925926</v>
      </c>
      <c r="E591" s="37">
        <v>41984.371689814812</v>
      </c>
      <c r="U591">
        <v>16</v>
      </c>
      <c r="W591" s="47"/>
    </row>
    <row r="592" spans="1:23" hidden="1">
      <c r="A592">
        <v>3641159077</v>
      </c>
      <c r="B592">
        <v>57240262</v>
      </c>
      <c r="C592" s="36" t="s">
        <v>1061</v>
      </c>
      <c r="D592" s="37">
        <v>41984.392523148148</v>
      </c>
      <c r="E592" s="37">
        <v>41984.396608796298</v>
      </c>
      <c r="U592">
        <v>16</v>
      </c>
      <c r="W592" s="47"/>
    </row>
    <row r="593" spans="1:23" hidden="1">
      <c r="A593">
        <v>3641159598</v>
      </c>
      <c r="B593">
        <v>57240262</v>
      </c>
      <c r="C593" s="36" t="s">
        <v>1062</v>
      </c>
      <c r="D593" s="37">
        <v>41984.393368055556</v>
      </c>
      <c r="E593" s="37">
        <v>41984.400370370371</v>
      </c>
      <c r="I593">
        <v>4</v>
      </c>
      <c r="W593" s="47"/>
    </row>
    <row r="594" spans="1:23" hidden="1">
      <c r="A594">
        <v>3641175866</v>
      </c>
      <c r="B594">
        <v>57240262</v>
      </c>
      <c r="C594" s="36" t="s">
        <v>1063</v>
      </c>
      <c r="D594" s="37">
        <v>41984.40252314815</v>
      </c>
      <c r="E594" s="37">
        <v>41984.403310185182</v>
      </c>
      <c r="F594">
        <v>1</v>
      </c>
      <c r="G594">
        <v>2</v>
      </c>
      <c r="W594" s="47"/>
    </row>
    <row r="595" spans="1:23" hidden="1">
      <c r="A595">
        <v>3641205061</v>
      </c>
      <c r="B595">
        <v>57240262</v>
      </c>
      <c r="C595" s="36" t="s">
        <v>1064</v>
      </c>
      <c r="D595" s="37">
        <v>41984.418981481482</v>
      </c>
      <c r="E595" s="37">
        <v>41984.422280092593</v>
      </c>
      <c r="F595">
        <v>1</v>
      </c>
      <c r="W595" s="47"/>
    </row>
    <row r="596" spans="1:23" hidden="1">
      <c r="A596">
        <v>3641226091</v>
      </c>
      <c r="B596">
        <v>57240262</v>
      </c>
      <c r="C596" s="36" t="s">
        <v>1065</v>
      </c>
      <c r="D596" s="37">
        <v>41984.430277777778</v>
      </c>
      <c r="E596" s="37">
        <v>41984.433425925927</v>
      </c>
      <c r="U596">
        <v>16</v>
      </c>
      <c r="W596" s="47"/>
    </row>
    <row r="597" spans="1:23" hidden="1">
      <c r="A597">
        <v>3641229755</v>
      </c>
      <c r="B597">
        <v>57240262</v>
      </c>
      <c r="C597" s="36" t="s">
        <v>1066</v>
      </c>
      <c r="D597" s="37">
        <v>41984.432627314818</v>
      </c>
      <c r="E597" s="37">
        <v>41984.433692129627</v>
      </c>
      <c r="F597">
        <v>1</v>
      </c>
      <c r="G597">
        <v>2</v>
      </c>
      <c r="H597">
        <v>3</v>
      </c>
      <c r="W597" s="47"/>
    </row>
    <row r="598" spans="1:23" hidden="1">
      <c r="A598">
        <v>3641239863</v>
      </c>
      <c r="B598">
        <v>57240262</v>
      </c>
      <c r="C598" s="36" t="s">
        <v>573</v>
      </c>
      <c r="D598" s="37">
        <v>41984.438159722224</v>
      </c>
      <c r="E598" s="37">
        <v>41984.442442129628</v>
      </c>
      <c r="U598">
        <v>16</v>
      </c>
      <c r="W598" s="47"/>
    </row>
    <row r="599" spans="1:23" hidden="1">
      <c r="A599">
        <v>3641236314</v>
      </c>
      <c r="B599">
        <v>57240262</v>
      </c>
      <c r="C599" s="36" t="s">
        <v>1067</v>
      </c>
      <c r="D599" s="37">
        <v>41984.436145833337</v>
      </c>
      <c r="E599" s="37">
        <v>41984.445277777777</v>
      </c>
      <c r="U599">
        <v>16</v>
      </c>
      <c r="W599" s="47"/>
    </row>
    <row r="600" spans="1:23" ht="24">
      <c r="A600">
        <v>3641276425</v>
      </c>
      <c r="B600">
        <v>57240262</v>
      </c>
      <c r="C600" s="36" t="s">
        <v>1068</v>
      </c>
      <c r="D600" s="37">
        <v>41984.458078703705</v>
      </c>
      <c r="E600" s="37">
        <v>41984.465208333335</v>
      </c>
      <c r="I600">
        <v>4</v>
      </c>
      <c r="K600">
        <v>6</v>
      </c>
      <c r="V600" s="42" t="s">
        <v>201</v>
      </c>
      <c r="W600" s="47">
        <v>6</v>
      </c>
    </row>
    <row r="601" spans="1:23" hidden="1">
      <c r="A601">
        <v>3641293926</v>
      </c>
      <c r="B601">
        <v>57240262</v>
      </c>
      <c r="C601" s="36" t="s">
        <v>1069</v>
      </c>
      <c r="D601" s="37">
        <v>41984.467650462961</v>
      </c>
      <c r="E601" s="37">
        <v>41984.472141203703</v>
      </c>
      <c r="U601">
        <v>16</v>
      </c>
      <c r="W601" s="47"/>
    </row>
    <row r="602" spans="1:23" hidden="1">
      <c r="A602">
        <v>3641316819</v>
      </c>
      <c r="B602">
        <v>57240262</v>
      </c>
      <c r="C602" s="36" t="s">
        <v>1070</v>
      </c>
      <c r="D602" s="37">
        <v>41984.479270833333</v>
      </c>
      <c r="E602" s="37">
        <v>41984.486875000002</v>
      </c>
      <c r="U602">
        <v>16</v>
      </c>
      <c r="W602" s="47"/>
    </row>
    <row r="603" spans="1:23" hidden="1">
      <c r="A603">
        <v>3641396802</v>
      </c>
      <c r="B603">
        <v>57240262</v>
      </c>
      <c r="C603" s="36" t="s">
        <v>1071</v>
      </c>
      <c r="D603" s="37">
        <v>41984.517210648148</v>
      </c>
      <c r="E603" s="37">
        <v>41984.521215277775</v>
      </c>
      <c r="U603">
        <v>16</v>
      </c>
      <c r="W603" s="47"/>
    </row>
    <row r="604" spans="1:23" hidden="1">
      <c r="A604">
        <v>3641746912</v>
      </c>
      <c r="B604">
        <v>57240262</v>
      </c>
      <c r="C604" s="36" t="s">
        <v>1072</v>
      </c>
      <c r="D604" s="37">
        <v>41984.626944444448</v>
      </c>
      <c r="E604" s="37">
        <v>41984.629652777781</v>
      </c>
      <c r="H604">
        <v>3</v>
      </c>
      <c r="K604">
        <v>6</v>
      </c>
      <c r="W604" s="47"/>
    </row>
    <row r="605" spans="1:23" hidden="1">
      <c r="A605">
        <v>3641836468</v>
      </c>
      <c r="B605">
        <v>57240262</v>
      </c>
      <c r="C605" s="36" t="s">
        <v>1073</v>
      </c>
      <c r="D605" s="37">
        <v>41984.645127314812</v>
      </c>
      <c r="E605" s="37">
        <v>41984.651319444441</v>
      </c>
      <c r="U605">
        <v>16</v>
      </c>
      <c r="W605" s="47"/>
    </row>
    <row r="606" spans="1:23" hidden="1">
      <c r="A606">
        <v>3642118096</v>
      </c>
      <c r="B606">
        <v>57240262</v>
      </c>
      <c r="C606" s="36" t="s">
        <v>1074</v>
      </c>
      <c r="D606" s="37">
        <v>41984.707465277781</v>
      </c>
      <c r="E606" s="37">
        <v>41984.707986111112</v>
      </c>
      <c r="U606">
        <v>16</v>
      </c>
      <c r="W606" s="47"/>
    </row>
    <row r="607" spans="1:23" hidden="1">
      <c r="A607">
        <v>3642161500</v>
      </c>
      <c r="B607">
        <v>57240262</v>
      </c>
      <c r="C607" s="36" t="s">
        <v>1075</v>
      </c>
      <c r="D607" s="37">
        <v>41984.717719907407</v>
      </c>
      <c r="E607" s="37">
        <v>41984.720208333332</v>
      </c>
      <c r="U607">
        <v>16</v>
      </c>
      <c r="W607" s="47"/>
    </row>
    <row r="608" spans="1:23" hidden="1">
      <c r="A608">
        <v>3642182109</v>
      </c>
      <c r="B608">
        <v>57240262</v>
      </c>
      <c r="C608" s="36" t="s">
        <v>1076</v>
      </c>
      <c r="D608" s="37">
        <v>41984.72278935185</v>
      </c>
      <c r="E608" s="37">
        <v>41984.726400462961</v>
      </c>
      <c r="I608">
        <v>4</v>
      </c>
      <c r="W608" s="47"/>
    </row>
    <row r="609" spans="1:23" hidden="1">
      <c r="A609">
        <v>3642199079</v>
      </c>
      <c r="B609">
        <v>57240262</v>
      </c>
      <c r="C609" s="36" t="s">
        <v>1077</v>
      </c>
      <c r="D609" s="37">
        <v>41984.726979166669</v>
      </c>
      <c r="E609" s="37">
        <v>41984.73060185185</v>
      </c>
      <c r="U609">
        <v>16</v>
      </c>
      <c r="W609" s="47"/>
    </row>
    <row r="610" spans="1:23" ht="24">
      <c r="A610">
        <v>3642209091</v>
      </c>
      <c r="B610">
        <v>57240262</v>
      </c>
      <c r="C610" s="36" t="s">
        <v>1078</v>
      </c>
      <c r="D610" s="37">
        <v>41984.729490740741</v>
      </c>
      <c r="E610" s="37">
        <v>41984.736388888887</v>
      </c>
      <c r="F610">
        <v>1</v>
      </c>
      <c r="G610">
        <v>2</v>
      </c>
      <c r="H610">
        <v>3</v>
      </c>
      <c r="V610" s="42" t="s">
        <v>200</v>
      </c>
      <c r="W610" s="47">
        <v>2</v>
      </c>
    </row>
    <row r="611" spans="1:23" hidden="1">
      <c r="A611">
        <v>3642217468</v>
      </c>
      <c r="B611">
        <v>57240262</v>
      </c>
      <c r="C611" s="36" t="s">
        <v>1079</v>
      </c>
      <c r="D611" s="37">
        <v>41984.731562499997</v>
      </c>
      <c r="E611" s="37">
        <v>41984.739756944444</v>
      </c>
      <c r="U611">
        <v>16</v>
      </c>
      <c r="W611" s="47"/>
    </row>
    <row r="612" spans="1:23" hidden="1">
      <c r="A612">
        <v>3642375824</v>
      </c>
      <c r="B612">
        <v>57240262</v>
      </c>
      <c r="C612" s="36" t="s">
        <v>1080</v>
      </c>
      <c r="D612" s="37">
        <v>41984.771944444445</v>
      </c>
      <c r="E612" s="37">
        <v>41984.772743055553</v>
      </c>
      <c r="M612">
        <v>8</v>
      </c>
      <c r="O612">
        <v>10</v>
      </c>
      <c r="W612" s="47"/>
    </row>
    <row r="613" spans="1:23" hidden="1">
      <c r="A613">
        <v>3642544437</v>
      </c>
      <c r="B613">
        <v>57240262</v>
      </c>
      <c r="C613" s="36" t="s">
        <v>1081</v>
      </c>
      <c r="D613" s="37">
        <v>41984.814768518518</v>
      </c>
      <c r="E613" s="37">
        <v>41984.819386574076</v>
      </c>
      <c r="U613">
        <v>16</v>
      </c>
      <c r="W613" s="47"/>
    </row>
    <row r="614" spans="1:23" hidden="1">
      <c r="A614">
        <v>3642586117</v>
      </c>
      <c r="B614">
        <v>57240262</v>
      </c>
      <c r="C614" s="36" t="s">
        <v>1082</v>
      </c>
      <c r="D614" s="37">
        <v>41984.825312499997</v>
      </c>
      <c r="E614" s="37">
        <v>41984.834282407406</v>
      </c>
      <c r="F614">
        <v>1</v>
      </c>
      <c r="H614">
        <v>3</v>
      </c>
      <c r="K614">
        <v>6</v>
      </c>
      <c r="L614">
        <v>7</v>
      </c>
      <c r="R614">
        <v>13</v>
      </c>
      <c r="W614" s="47"/>
    </row>
    <row r="615" spans="1:23">
      <c r="A615">
        <v>3642678919</v>
      </c>
      <c r="B615">
        <v>57240262</v>
      </c>
      <c r="C615" s="36" t="s">
        <v>1083</v>
      </c>
      <c r="D615" s="37">
        <v>41984.849270833336</v>
      </c>
      <c r="E615" s="37">
        <v>41984.851527777777</v>
      </c>
      <c r="K615">
        <v>6</v>
      </c>
      <c r="Q615">
        <v>12</v>
      </c>
      <c r="V615" s="42" t="s">
        <v>199</v>
      </c>
      <c r="W615" s="47">
        <v>12</v>
      </c>
    </row>
    <row r="616" spans="1:23" hidden="1">
      <c r="A616">
        <v>3642751762</v>
      </c>
      <c r="B616">
        <v>57240262</v>
      </c>
      <c r="C616" s="36" t="s">
        <v>1084</v>
      </c>
      <c r="D616" s="37">
        <v>41984.86859953704</v>
      </c>
      <c r="E616" s="37">
        <v>41984.882384259261</v>
      </c>
      <c r="U616">
        <v>16</v>
      </c>
      <c r="W616" s="47"/>
    </row>
    <row r="617" spans="1:23" hidden="1">
      <c r="A617">
        <v>3643041776</v>
      </c>
      <c r="B617">
        <v>57240262</v>
      </c>
      <c r="C617" s="36" t="s">
        <v>1085</v>
      </c>
      <c r="D617" s="37">
        <v>41984.955196759256</v>
      </c>
      <c r="E617" s="37">
        <v>41984.960081018522</v>
      </c>
      <c r="U617">
        <v>16</v>
      </c>
      <c r="W617" s="47"/>
    </row>
    <row r="618" spans="1:23" hidden="1">
      <c r="A618">
        <v>3643067618</v>
      </c>
      <c r="B618">
        <v>57240262</v>
      </c>
      <c r="C618" s="36" t="s">
        <v>1086</v>
      </c>
      <c r="D618" s="37">
        <v>41984.964895833335</v>
      </c>
      <c r="E618" s="37">
        <v>41984.972939814812</v>
      </c>
      <c r="U618">
        <v>16</v>
      </c>
      <c r="W618" s="47"/>
    </row>
    <row r="619" spans="1:23" hidden="1">
      <c r="A619">
        <v>3643635250</v>
      </c>
      <c r="B619">
        <v>57240262</v>
      </c>
      <c r="C619" s="36" t="s">
        <v>1087</v>
      </c>
      <c r="D619" s="37">
        <v>41985.315416666665</v>
      </c>
      <c r="E619" s="37">
        <v>41985.316979166666</v>
      </c>
      <c r="U619">
        <v>16</v>
      </c>
      <c r="W619" s="47"/>
    </row>
    <row r="620" spans="1:23" hidden="1">
      <c r="A620">
        <v>3643673000</v>
      </c>
      <c r="B620">
        <v>57240262</v>
      </c>
      <c r="C620" s="36" t="s">
        <v>1088</v>
      </c>
      <c r="D620" s="37">
        <v>41985.346817129626</v>
      </c>
      <c r="E620" s="37">
        <v>41985.350011574075</v>
      </c>
      <c r="I620">
        <v>4</v>
      </c>
      <c r="M620">
        <v>8</v>
      </c>
      <c r="O620">
        <v>10</v>
      </c>
      <c r="P620">
        <v>11</v>
      </c>
      <c r="W620" s="47"/>
    </row>
    <row r="621" spans="1:23">
      <c r="A621">
        <v>3643665334</v>
      </c>
      <c r="B621">
        <v>57240262</v>
      </c>
      <c r="C621" s="36" t="s">
        <v>574</v>
      </c>
      <c r="D621" s="37">
        <v>41985.340648148151</v>
      </c>
      <c r="E621" s="37">
        <v>41985.354143518518</v>
      </c>
      <c r="I621">
        <v>4</v>
      </c>
      <c r="P621">
        <v>11</v>
      </c>
      <c r="V621" s="42" t="s">
        <v>198</v>
      </c>
      <c r="W621" s="47">
        <v>11</v>
      </c>
    </row>
    <row r="622" spans="1:23" hidden="1">
      <c r="A622">
        <v>3643696417</v>
      </c>
      <c r="B622">
        <v>57240262</v>
      </c>
      <c r="C622" s="36" t="s">
        <v>1089</v>
      </c>
      <c r="D622" s="37">
        <v>41985.363564814812</v>
      </c>
      <c r="E622" s="37">
        <v>41985.37290509259</v>
      </c>
      <c r="U622">
        <v>16</v>
      </c>
      <c r="W622" s="47"/>
    </row>
    <row r="623" spans="1:23" ht="24">
      <c r="A623">
        <v>3643697722</v>
      </c>
      <c r="B623">
        <v>57240262</v>
      </c>
      <c r="C623" s="36" t="s">
        <v>1090</v>
      </c>
      <c r="D623" s="37">
        <v>41985.364432870374</v>
      </c>
      <c r="E623" s="37">
        <v>41985.380752314813</v>
      </c>
      <c r="F623">
        <v>1</v>
      </c>
      <c r="I623">
        <v>4</v>
      </c>
      <c r="K623">
        <v>6</v>
      </c>
      <c r="M623">
        <v>8</v>
      </c>
      <c r="N623">
        <v>9</v>
      </c>
      <c r="O623">
        <v>10</v>
      </c>
      <c r="V623" s="42" t="s">
        <v>197</v>
      </c>
      <c r="W623" s="47">
        <v>8</v>
      </c>
    </row>
    <row r="624" spans="1:23">
      <c r="A624">
        <v>3643708308</v>
      </c>
      <c r="B624">
        <v>57240262</v>
      </c>
      <c r="C624" s="36" t="s">
        <v>1091</v>
      </c>
      <c r="D624" s="37">
        <v>41985.370925925927</v>
      </c>
      <c r="E624" s="37">
        <v>41985.389710648145</v>
      </c>
      <c r="M624">
        <v>8</v>
      </c>
      <c r="Q624">
        <v>12</v>
      </c>
      <c r="V624" s="42" t="s">
        <v>196</v>
      </c>
      <c r="W624" s="47">
        <v>12</v>
      </c>
    </row>
    <row r="625" spans="1:23" hidden="1">
      <c r="A625">
        <v>3643740641</v>
      </c>
      <c r="B625">
        <v>57240262</v>
      </c>
      <c r="C625" s="36" t="s">
        <v>1092</v>
      </c>
      <c r="D625" s="37">
        <v>41985.391215277778</v>
      </c>
      <c r="E625" s="37">
        <v>41985.398518518516</v>
      </c>
      <c r="J625">
        <v>5</v>
      </c>
      <c r="W625" s="47"/>
    </row>
    <row r="626" spans="1:23">
      <c r="A626">
        <v>3643743118</v>
      </c>
      <c r="B626">
        <v>57240262</v>
      </c>
      <c r="C626" s="36" t="s">
        <v>1093</v>
      </c>
      <c r="D626" s="37">
        <v>41985.393240740741</v>
      </c>
      <c r="E626" s="37">
        <v>41985.401828703703</v>
      </c>
      <c r="J626">
        <v>5</v>
      </c>
      <c r="Q626">
        <v>12</v>
      </c>
      <c r="V626" s="42" t="s">
        <v>62</v>
      </c>
      <c r="W626" s="47">
        <v>5</v>
      </c>
    </row>
    <row r="627" spans="1:23" hidden="1">
      <c r="A627">
        <v>3643761843</v>
      </c>
      <c r="B627">
        <v>57240262</v>
      </c>
      <c r="C627" s="36" t="s">
        <v>576</v>
      </c>
      <c r="D627" s="37">
        <v>41985.405266203707</v>
      </c>
      <c r="E627" s="37">
        <v>41985.41064814815</v>
      </c>
      <c r="M627">
        <v>8</v>
      </c>
      <c r="W627" s="47"/>
    </row>
    <row r="628" spans="1:23" hidden="1">
      <c r="A628">
        <v>3643788864</v>
      </c>
      <c r="B628">
        <v>57240262</v>
      </c>
      <c r="C628" s="36" t="s">
        <v>1094</v>
      </c>
      <c r="D628" s="37">
        <v>41985.422291666669</v>
      </c>
      <c r="E628" s="37">
        <v>41985.430439814816</v>
      </c>
      <c r="U628">
        <v>16</v>
      </c>
      <c r="W628" s="47"/>
    </row>
    <row r="629" spans="1:23">
      <c r="A629">
        <v>3643819593</v>
      </c>
      <c r="B629">
        <v>57240262</v>
      </c>
      <c r="C629" s="36" t="s">
        <v>1095</v>
      </c>
      <c r="D629" s="37">
        <v>41985.441307870373</v>
      </c>
      <c r="E629" s="37">
        <v>41985.446608796294</v>
      </c>
      <c r="F629">
        <v>1</v>
      </c>
      <c r="I629">
        <v>4</v>
      </c>
      <c r="V629" s="42" t="s">
        <v>26</v>
      </c>
      <c r="W629" s="47">
        <v>4</v>
      </c>
    </row>
    <row r="630" spans="1:23" hidden="1">
      <c r="A630">
        <v>3643834596</v>
      </c>
      <c r="B630">
        <v>57240262</v>
      </c>
      <c r="C630" s="36" t="s">
        <v>1096</v>
      </c>
      <c r="D630" s="37">
        <v>41985.450057870374</v>
      </c>
      <c r="E630" s="37">
        <v>41985.451192129629</v>
      </c>
      <c r="U630">
        <v>16</v>
      </c>
      <c r="W630" s="47"/>
    </row>
    <row r="631" spans="1:23">
      <c r="A631">
        <v>3643854666</v>
      </c>
      <c r="B631">
        <v>57240262</v>
      </c>
      <c r="C631" s="36" t="s">
        <v>579</v>
      </c>
      <c r="D631" s="37">
        <v>41985.461550925924</v>
      </c>
      <c r="E631" s="37">
        <v>41985.467118055552</v>
      </c>
      <c r="I631">
        <v>4</v>
      </c>
      <c r="K631">
        <v>6</v>
      </c>
      <c r="V631" s="42" t="s">
        <v>26</v>
      </c>
      <c r="W631" s="47">
        <v>4</v>
      </c>
    </row>
    <row r="632" spans="1:23" hidden="1">
      <c r="A632">
        <v>3643853886</v>
      </c>
      <c r="B632">
        <v>57240262</v>
      </c>
      <c r="C632" s="36" t="s">
        <v>1097</v>
      </c>
      <c r="D632" s="37">
        <v>41985.461215277777</v>
      </c>
      <c r="E632" s="37">
        <v>41985.468668981484</v>
      </c>
      <c r="G632">
        <v>2</v>
      </c>
      <c r="W632" s="47"/>
    </row>
    <row r="633" spans="1:23">
      <c r="A633">
        <v>3643778796</v>
      </c>
      <c r="B633">
        <v>57240262</v>
      </c>
      <c r="C633" s="36" t="s">
        <v>575</v>
      </c>
      <c r="D633" s="37">
        <v>41985.416076388887</v>
      </c>
      <c r="E633" s="37">
        <v>41985.470277777778</v>
      </c>
      <c r="K633">
        <v>6</v>
      </c>
      <c r="S633">
        <v>14</v>
      </c>
      <c r="V633" s="42" t="s">
        <v>195</v>
      </c>
      <c r="W633" s="47">
        <v>14</v>
      </c>
    </row>
    <row r="634" spans="1:23" hidden="1">
      <c r="A634">
        <v>3643873492</v>
      </c>
      <c r="B634">
        <v>57240262</v>
      </c>
      <c r="C634" s="36" t="s">
        <v>1098</v>
      </c>
      <c r="D634" s="37">
        <v>41985.471979166665</v>
      </c>
      <c r="E634" s="37">
        <v>41985.474756944444</v>
      </c>
      <c r="U634">
        <v>16</v>
      </c>
      <c r="W634" s="47"/>
    </row>
    <row r="635" spans="1:23" hidden="1">
      <c r="A635">
        <v>3643865209</v>
      </c>
      <c r="B635">
        <v>57240262</v>
      </c>
      <c r="C635" s="36" t="s">
        <v>577</v>
      </c>
      <c r="D635" s="37">
        <v>41985.467418981483</v>
      </c>
      <c r="E635" s="37">
        <v>41985.47515046296</v>
      </c>
      <c r="G635">
        <v>2</v>
      </c>
      <c r="M635">
        <v>8</v>
      </c>
      <c r="W635" s="47"/>
    </row>
    <row r="636" spans="1:23">
      <c r="A636">
        <v>3643855739</v>
      </c>
      <c r="B636">
        <v>57240262</v>
      </c>
      <c r="C636" s="36" t="s">
        <v>578</v>
      </c>
      <c r="D636" s="37">
        <v>41985.46234953704</v>
      </c>
      <c r="E636" s="37">
        <v>41985.478437500002</v>
      </c>
      <c r="F636">
        <v>1</v>
      </c>
      <c r="J636">
        <v>5</v>
      </c>
      <c r="Q636">
        <v>12</v>
      </c>
      <c r="V636" s="42" t="s">
        <v>194</v>
      </c>
      <c r="W636" s="47">
        <v>5</v>
      </c>
    </row>
    <row r="637" spans="1:23" hidden="1">
      <c r="A637">
        <v>3643876944</v>
      </c>
      <c r="B637">
        <v>57240262</v>
      </c>
      <c r="C637" s="36" t="s">
        <v>1099</v>
      </c>
      <c r="D637" s="37">
        <v>41985.473449074074</v>
      </c>
      <c r="E637" s="37">
        <v>41985.483113425929</v>
      </c>
      <c r="F637">
        <v>1</v>
      </c>
      <c r="G637">
        <v>2</v>
      </c>
      <c r="H637">
        <v>3</v>
      </c>
      <c r="S637">
        <v>14</v>
      </c>
      <c r="W637" s="47"/>
    </row>
    <row r="638" spans="1:23" hidden="1">
      <c r="A638">
        <v>3643917266</v>
      </c>
      <c r="B638">
        <v>57240262</v>
      </c>
      <c r="C638" s="36" t="s">
        <v>2329</v>
      </c>
      <c r="D638" s="37">
        <v>41985.495173611111</v>
      </c>
      <c r="E638" s="37">
        <v>41985.495625000003</v>
      </c>
      <c r="W638" s="47"/>
    </row>
    <row r="639" spans="1:23" ht="24">
      <c r="A639">
        <v>3643941543</v>
      </c>
      <c r="B639">
        <v>57240262</v>
      </c>
      <c r="C639" s="36" t="s">
        <v>1100</v>
      </c>
      <c r="D639" s="37">
        <v>41985.5075</v>
      </c>
      <c r="E639" s="37">
        <v>41985.523668981485</v>
      </c>
      <c r="M639">
        <v>8</v>
      </c>
      <c r="V639" s="42" t="s">
        <v>193</v>
      </c>
      <c r="W639" s="47">
        <v>3</v>
      </c>
    </row>
    <row r="640" spans="1:23" hidden="1">
      <c r="A640">
        <v>3643991573</v>
      </c>
      <c r="B640">
        <v>57240262</v>
      </c>
      <c r="C640" s="36" t="s">
        <v>1101</v>
      </c>
      <c r="D640" s="37">
        <v>41985.531504629631</v>
      </c>
      <c r="E640" s="37">
        <v>41985.538310185184</v>
      </c>
      <c r="U640">
        <v>16</v>
      </c>
      <c r="W640" s="47"/>
    </row>
    <row r="641" spans="1:23">
      <c r="A641">
        <v>3644041769</v>
      </c>
      <c r="B641">
        <v>57240262</v>
      </c>
      <c r="C641" s="36" t="s">
        <v>1102</v>
      </c>
      <c r="D641" s="37">
        <v>41985.553078703706</v>
      </c>
      <c r="E641" s="37">
        <v>41985.558483796296</v>
      </c>
      <c r="I641">
        <v>4</v>
      </c>
      <c r="K641">
        <v>6</v>
      </c>
      <c r="Q641">
        <v>12</v>
      </c>
      <c r="V641" s="42" t="s">
        <v>51</v>
      </c>
      <c r="W641" s="47">
        <v>6</v>
      </c>
    </row>
    <row r="642" spans="1:23" hidden="1">
      <c r="A642">
        <v>3644043195</v>
      </c>
      <c r="B642">
        <v>57240262</v>
      </c>
      <c r="C642" s="36" t="s">
        <v>1103</v>
      </c>
      <c r="D642" s="37">
        <v>41985.553553240738</v>
      </c>
      <c r="E642" s="37">
        <v>41985.558807870373</v>
      </c>
      <c r="U642">
        <v>16</v>
      </c>
      <c r="W642" s="47"/>
    </row>
    <row r="643" spans="1:23" hidden="1">
      <c r="A643">
        <v>3644069857</v>
      </c>
      <c r="B643">
        <v>57240262</v>
      </c>
      <c r="C643" s="36" t="s">
        <v>1104</v>
      </c>
      <c r="D643" s="37">
        <v>41985.563298611109</v>
      </c>
      <c r="E643" s="37">
        <v>41985.566180555557</v>
      </c>
      <c r="U643">
        <v>16</v>
      </c>
      <c r="W643" s="47"/>
    </row>
    <row r="644" spans="1:23" hidden="1">
      <c r="A644">
        <v>3644092309</v>
      </c>
      <c r="B644">
        <v>57240262</v>
      </c>
      <c r="C644" s="36" t="s">
        <v>1105</v>
      </c>
      <c r="D644" s="37">
        <v>41985.571134259262</v>
      </c>
      <c r="E644" s="37">
        <v>41985.573842592596</v>
      </c>
      <c r="U644">
        <v>16</v>
      </c>
      <c r="W644" s="47"/>
    </row>
    <row r="645" spans="1:23" hidden="1">
      <c r="A645">
        <v>3644097921</v>
      </c>
      <c r="B645">
        <v>57240262</v>
      </c>
      <c r="C645" s="36" t="s">
        <v>2330</v>
      </c>
      <c r="D645" s="37">
        <v>41985.572974537034</v>
      </c>
      <c r="E645" s="37">
        <v>41985.574641203704</v>
      </c>
      <c r="W645" s="47"/>
    </row>
    <row r="646" spans="1:23" hidden="1">
      <c r="A646">
        <v>3644247900</v>
      </c>
      <c r="B646">
        <v>57240262</v>
      </c>
      <c r="C646" s="36" t="s">
        <v>1106</v>
      </c>
      <c r="D646" s="37">
        <v>41985.616701388892</v>
      </c>
      <c r="E646" s="37">
        <v>41985.617696759262</v>
      </c>
      <c r="O646">
        <v>10</v>
      </c>
      <c r="W646" s="47"/>
    </row>
    <row r="647" spans="1:23" hidden="1">
      <c r="A647">
        <v>3644251741</v>
      </c>
      <c r="B647">
        <v>57240262</v>
      </c>
      <c r="C647" s="36" t="s">
        <v>1107</v>
      </c>
      <c r="D647" s="37">
        <v>41985.617696759262</v>
      </c>
      <c r="E647" s="37">
        <v>41985.62091435185</v>
      </c>
      <c r="K647">
        <v>6</v>
      </c>
      <c r="W647" s="47"/>
    </row>
    <row r="648" spans="1:23" hidden="1">
      <c r="A648">
        <v>3644260962</v>
      </c>
      <c r="B648">
        <v>57240262</v>
      </c>
      <c r="C648" s="36" t="s">
        <v>1108</v>
      </c>
      <c r="D648" s="37">
        <v>41985.620405092595</v>
      </c>
      <c r="E648" s="37">
        <v>41985.62572916667</v>
      </c>
      <c r="H648">
        <v>3</v>
      </c>
      <c r="K648">
        <v>6</v>
      </c>
      <c r="O648">
        <v>10</v>
      </c>
      <c r="Q648">
        <v>12</v>
      </c>
      <c r="W648" s="47"/>
    </row>
    <row r="649" spans="1:23" hidden="1">
      <c r="A649">
        <v>3644279184</v>
      </c>
      <c r="B649">
        <v>57240262</v>
      </c>
      <c r="C649" s="36" t="s">
        <v>580</v>
      </c>
      <c r="D649" s="37">
        <v>41985.625162037039</v>
      </c>
      <c r="E649" s="37">
        <v>41985.628587962965</v>
      </c>
      <c r="U649">
        <v>16</v>
      </c>
      <c r="W649" s="47"/>
    </row>
    <row r="650" spans="1:23" ht="24">
      <c r="A650">
        <v>3644277790</v>
      </c>
      <c r="B650">
        <v>57240262</v>
      </c>
      <c r="C650" s="36" t="s">
        <v>1109</v>
      </c>
      <c r="D650" s="37">
        <v>41985.625034722223</v>
      </c>
      <c r="E650" s="37">
        <v>41985.629340277781</v>
      </c>
      <c r="F650">
        <v>1</v>
      </c>
      <c r="H650">
        <v>3</v>
      </c>
      <c r="I650">
        <v>4</v>
      </c>
      <c r="K650">
        <v>6</v>
      </c>
      <c r="P650">
        <v>11</v>
      </c>
      <c r="V650" s="42" t="s">
        <v>192</v>
      </c>
      <c r="W650" s="47">
        <v>4</v>
      </c>
    </row>
    <row r="651" spans="1:23" hidden="1">
      <c r="A651">
        <v>3644310014</v>
      </c>
      <c r="B651">
        <v>57240262</v>
      </c>
      <c r="C651" s="36" t="s">
        <v>1110</v>
      </c>
      <c r="D651" s="37">
        <v>41985.633576388886</v>
      </c>
      <c r="E651" s="37">
        <v>41985.638912037037</v>
      </c>
      <c r="I651">
        <v>4</v>
      </c>
      <c r="W651" s="47"/>
    </row>
    <row r="652" spans="1:23" hidden="1">
      <c r="A652">
        <v>3644365716</v>
      </c>
      <c r="B652">
        <v>57240262</v>
      </c>
      <c r="C652" s="36" t="s">
        <v>1111</v>
      </c>
      <c r="D652" s="37">
        <v>41985.648668981485</v>
      </c>
      <c r="E652" s="37">
        <v>41985.65216435185</v>
      </c>
      <c r="U652">
        <v>16</v>
      </c>
      <c r="W652" s="47"/>
    </row>
    <row r="653" spans="1:23" hidden="1">
      <c r="A653">
        <v>3644398174</v>
      </c>
      <c r="B653">
        <v>57240262</v>
      </c>
      <c r="C653" s="36" t="s">
        <v>1112</v>
      </c>
      <c r="D653" s="37">
        <v>41985.657395833332</v>
      </c>
      <c r="E653" s="37">
        <v>41985.662233796298</v>
      </c>
      <c r="F653">
        <v>1</v>
      </c>
      <c r="G653">
        <v>2</v>
      </c>
      <c r="I653">
        <v>4</v>
      </c>
      <c r="O653">
        <v>10</v>
      </c>
      <c r="W653" s="47"/>
    </row>
    <row r="654" spans="1:23">
      <c r="A654">
        <v>3644431868</v>
      </c>
      <c r="B654">
        <v>57240262</v>
      </c>
      <c r="C654" s="36" t="s">
        <v>1113</v>
      </c>
      <c r="D654" s="37">
        <v>41985.66646990741</v>
      </c>
      <c r="E654" s="37">
        <v>41985.67114583333</v>
      </c>
      <c r="F654">
        <v>1</v>
      </c>
      <c r="H654">
        <v>3</v>
      </c>
      <c r="V654" s="42" t="s">
        <v>109</v>
      </c>
      <c r="W654" s="47">
        <v>3</v>
      </c>
    </row>
    <row r="655" spans="1:23" hidden="1">
      <c r="A655">
        <v>3644554550</v>
      </c>
      <c r="B655">
        <v>57240262</v>
      </c>
      <c r="C655" s="36" t="s">
        <v>1114</v>
      </c>
      <c r="D655" s="37">
        <v>41985.697743055556</v>
      </c>
      <c r="E655" s="37">
        <v>41985.703668981485</v>
      </c>
      <c r="K655">
        <v>6</v>
      </c>
      <c r="W655" s="47"/>
    </row>
    <row r="656" spans="1:23" hidden="1">
      <c r="A656">
        <v>3644579967</v>
      </c>
      <c r="B656">
        <v>57240262</v>
      </c>
      <c r="C656" s="36" t="s">
        <v>1115</v>
      </c>
      <c r="D656" s="37">
        <v>41985.704513888886</v>
      </c>
      <c r="E656" s="37">
        <v>41985.705196759256</v>
      </c>
      <c r="I656">
        <v>4</v>
      </c>
      <c r="W656" s="47"/>
    </row>
    <row r="657" spans="1:23" hidden="1">
      <c r="A657">
        <v>3644602853</v>
      </c>
      <c r="B657">
        <v>57240262</v>
      </c>
      <c r="C657" s="36" t="s">
        <v>2331</v>
      </c>
      <c r="D657" s="37">
        <v>41985.710752314815</v>
      </c>
      <c r="E657" s="37">
        <v>41985.711747685185</v>
      </c>
      <c r="W657" s="47"/>
    </row>
    <row r="658" spans="1:23">
      <c r="A658">
        <v>3644698527</v>
      </c>
      <c r="B658">
        <v>57240262</v>
      </c>
      <c r="C658" s="36" t="s">
        <v>1116</v>
      </c>
      <c r="D658" s="37">
        <v>41985.664884259262</v>
      </c>
      <c r="E658" s="37">
        <v>41985.740115740744</v>
      </c>
      <c r="F658">
        <v>1</v>
      </c>
      <c r="G658">
        <v>2</v>
      </c>
      <c r="H658">
        <v>3</v>
      </c>
      <c r="O658">
        <v>10</v>
      </c>
      <c r="V658" s="42" t="s">
        <v>25</v>
      </c>
      <c r="W658" s="47">
        <v>1</v>
      </c>
    </row>
    <row r="659" spans="1:23">
      <c r="A659">
        <v>3645023071</v>
      </c>
      <c r="B659">
        <v>57240262</v>
      </c>
      <c r="C659" s="36" t="s">
        <v>1117</v>
      </c>
      <c r="D659" s="37">
        <v>41985.829988425925</v>
      </c>
      <c r="E659" s="37">
        <v>41985.837581018517</v>
      </c>
      <c r="F659">
        <v>1</v>
      </c>
      <c r="K659">
        <v>6</v>
      </c>
      <c r="N659">
        <v>9</v>
      </c>
      <c r="V659" s="42" t="s">
        <v>160</v>
      </c>
      <c r="W659" s="47">
        <v>1</v>
      </c>
    </row>
    <row r="660" spans="1:23" hidden="1">
      <c r="A660">
        <v>3645040801</v>
      </c>
      <c r="B660">
        <v>57240262</v>
      </c>
      <c r="C660" s="36" t="s">
        <v>1118</v>
      </c>
      <c r="D660" s="37">
        <v>41985.835578703707</v>
      </c>
      <c r="E660" s="37">
        <v>41985.84516203704</v>
      </c>
      <c r="G660">
        <v>2</v>
      </c>
      <c r="K660">
        <v>6</v>
      </c>
      <c r="W660" s="47"/>
    </row>
    <row r="661" spans="1:23" hidden="1">
      <c r="A661">
        <v>3645202922</v>
      </c>
      <c r="B661">
        <v>57240262</v>
      </c>
      <c r="C661" s="36" t="s">
        <v>2332</v>
      </c>
      <c r="D661" s="37">
        <v>41985.889143518521</v>
      </c>
      <c r="E661" s="37">
        <v>41985.889780092592</v>
      </c>
      <c r="W661" s="47"/>
    </row>
    <row r="662" spans="1:23" hidden="1">
      <c r="A662">
        <v>3645200344</v>
      </c>
      <c r="B662">
        <v>57240262</v>
      </c>
      <c r="C662" s="36" t="s">
        <v>1119</v>
      </c>
      <c r="D662" s="37">
        <v>41985.888182870367</v>
      </c>
      <c r="E662" s="37">
        <v>41985.893784722219</v>
      </c>
      <c r="U662">
        <v>16</v>
      </c>
      <c r="W662" s="47"/>
    </row>
    <row r="663" spans="1:23" hidden="1">
      <c r="A663">
        <v>3645203378</v>
      </c>
      <c r="B663">
        <v>57240262</v>
      </c>
      <c r="C663" s="36" t="s">
        <v>1120</v>
      </c>
      <c r="D663" s="37">
        <v>41985.888969907406</v>
      </c>
      <c r="E663" s="37">
        <v>41985.894409722219</v>
      </c>
      <c r="N663">
        <v>9</v>
      </c>
      <c r="W663" s="47"/>
    </row>
    <row r="664" spans="1:23" hidden="1">
      <c r="A664">
        <v>3645208661</v>
      </c>
      <c r="B664">
        <v>57240262</v>
      </c>
      <c r="C664" s="36" t="s">
        <v>1121</v>
      </c>
      <c r="D664" s="37">
        <v>41985.890925925924</v>
      </c>
      <c r="E664" s="37">
        <v>41985.895266203705</v>
      </c>
      <c r="U664">
        <v>16</v>
      </c>
      <c r="W664" s="47"/>
    </row>
    <row r="665" spans="1:23">
      <c r="A665">
        <v>3645213212</v>
      </c>
      <c r="B665">
        <v>57240262</v>
      </c>
      <c r="C665" s="36" t="s">
        <v>1122</v>
      </c>
      <c r="D665" s="37">
        <v>41985.89261574074</v>
      </c>
      <c r="E665" s="37">
        <v>41985.897314814814</v>
      </c>
      <c r="K665">
        <v>6</v>
      </c>
      <c r="O665">
        <v>10</v>
      </c>
      <c r="V665" s="42" t="s">
        <v>164</v>
      </c>
      <c r="W665" s="47">
        <v>10</v>
      </c>
    </row>
    <row r="666" spans="1:23" hidden="1">
      <c r="A666">
        <v>3645214658</v>
      </c>
      <c r="B666">
        <v>57240262</v>
      </c>
      <c r="C666" s="36" t="s">
        <v>1123</v>
      </c>
      <c r="D666" s="37">
        <v>41985.893194444441</v>
      </c>
      <c r="E666" s="37">
        <v>41985.897766203707</v>
      </c>
      <c r="J666">
        <v>5</v>
      </c>
      <c r="W666" s="47"/>
    </row>
    <row r="667" spans="1:23" hidden="1">
      <c r="A667">
        <v>3645215232</v>
      </c>
      <c r="B667">
        <v>57240262</v>
      </c>
      <c r="C667" s="36" t="s">
        <v>1124</v>
      </c>
      <c r="D667" s="37">
        <v>41985.893414351849</v>
      </c>
      <c r="E667" s="37">
        <v>41985.897881944446</v>
      </c>
      <c r="G667">
        <v>2</v>
      </c>
      <c r="O667">
        <v>10</v>
      </c>
      <c r="W667" s="47"/>
    </row>
    <row r="668" spans="1:23" ht="24">
      <c r="A668">
        <v>3645199928</v>
      </c>
      <c r="B668">
        <v>57240262</v>
      </c>
      <c r="C668" s="36" t="s">
        <v>581</v>
      </c>
      <c r="D668" s="37">
        <v>41985.888090277775</v>
      </c>
      <c r="E668" s="37">
        <v>41985.898032407407</v>
      </c>
      <c r="F668">
        <v>1</v>
      </c>
      <c r="I668">
        <v>4</v>
      </c>
      <c r="V668" s="42" t="s">
        <v>191</v>
      </c>
      <c r="W668" s="47">
        <v>1</v>
      </c>
    </row>
    <row r="669" spans="1:23" hidden="1">
      <c r="A669">
        <v>3645233641</v>
      </c>
      <c r="B669">
        <v>57240262</v>
      </c>
      <c r="C669" s="36" t="s">
        <v>1125</v>
      </c>
      <c r="D669" s="37">
        <v>41985.900266203702</v>
      </c>
      <c r="E669" s="37">
        <v>41985.902106481481</v>
      </c>
      <c r="I669">
        <v>4</v>
      </c>
      <c r="P669">
        <v>11</v>
      </c>
      <c r="W669" s="47"/>
    </row>
    <row r="670" spans="1:23" hidden="1">
      <c r="A670">
        <v>3645228904</v>
      </c>
      <c r="B670">
        <v>57240262</v>
      </c>
      <c r="C670" s="36" t="s">
        <v>605</v>
      </c>
      <c r="D670" s="37">
        <v>41985.898379629631</v>
      </c>
      <c r="E670" s="37">
        <v>41985.902662037035</v>
      </c>
      <c r="P670">
        <v>11</v>
      </c>
      <c r="W670" s="47"/>
    </row>
    <row r="671" spans="1:23" hidden="1">
      <c r="A671">
        <v>3645254849</v>
      </c>
      <c r="B671">
        <v>57240262</v>
      </c>
      <c r="C671" s="36" t="s">
        <v>1126</v>
      </c>
      <c r="D671" s="37">
        <v>41985.908043981479</v>
      </c>
      <c r="E671" s="37">
        <v>41985.913483796299</v>
      </c>
      <c r="U671">
        <v>16</v>
      </c>
      <c r="W671" s="47"/>
    </row>
    <row r="672" spans="1:23">
      <c r="A672">
        <v>3645343885</v>
      </c>
      <c r="B672">
        <v>57240262</v>
      </c>
      <c r="C672" s="36" t="s">
        <v>1127</v>
      </c>
      <c r="D672" s="37">
        <v>41985.943842592591</v>
      </c>
      <c r="E672" s="37">
        <v>41985.947662037041</v>
      </c>
      <c r="I672">
        <v>4</v>
      </c>
      <c r="Q672">
        <v>12</v>
      </c>
      <c r="R672">
        <v>13</v>
      </c>
      <c r="V672" s="42" t="s">
        <v>40</v>
      </c>
      <c r="W672" s="47">
        <v>12</v>
      </c>
    </row>
    <row r="673" spans="1:23" hidden="1">
      <c r="A673">
        <v>3645464234</v>
      </c>
      <c r="B673">
        <v>57240262</v>
      </c>
      <c r="C673" s="36" t="s">
        <v>1128</v>
      </c>
      <c r="D673" s="37">
        <v>41986.008668981478</v>
      </c>
      <c r="E673" s="37">
        <v>41986.013425925928</v>
      </c>
      <c r="F673">
        <v>1</v>
      </c>
      <c r="G673">
        <v>2</v>
      </c>
      <c r="W673" s="47"/>
    </row>
    <row r="674" spans="1:23" hidden="1">
      <c r="A674">
        <v>3645489171</v>
      </c>
      <c r="B674">
        <v>57240262</v>
      </c>
      <c r="C674" s="36" t="s">
        <v>1129</v>
      </c>
      <c r="D674" s="37">
        <v>41986.024629629632</v>
      </c>
      <c r="E674" s="37">
        <v>41986.031342592592</v>
      </c>
      <c r="K674">
        <v>6</v>
      </c>
      <c r="W674" s="47"/>
    </row>
    <row r="675" spans="1:23" ht="24">
      <c r="A675">
        <v>3645607863</v>
      </c>
      <c r="B675">
        <v>57240262</v>
      </c>
      <c r="C675" s="36" t="s">
        <v>1130</v>
      </c>
      <c r="D675" s="37">
        <v>41986.116354166668</v>
      </c>
      <c r="E675" s="37">
        <v>41986.131076388891</v>
      </c>
      <c r="F675">
        <v>1</v>
      </c>
      <c r="I675">
        <v>4</v>
      </c>
      <c r="K675">
        <v>6</v>
      </c>
      <c r="N675">
        <v>9</v>
      </c>
      <c r="O675">
        <v>10</v>
      </c>
      <c r="R675">
        <v>13</v>
      </c>
      <c r="V675" s="42" t="s">
        <v>190</v>
      </c>
      <c r="W675" s="47">
        <v>6</v>
      </c>
    </row>
    <row r="676" spans="1:23" hidden="1">
      <c r="A676">
        <v>3645733119</v>
      </c>
      <c r="B676">
        <v>57240262</v>
      </c>
      <c r="C676" s="36" t="s">
        <v>1131</v>
      </c>
      <c r="D676" s="37">
        <v>41986.254537037035</v>
      </c>
      <c r="E676" s="37">
        <v>41986.258506944447</v>
      </c>
      <c r="U676">
        <v>16</v>
      </c>
      <c r="W676" s="47"/>
    </row>
    <row r="677" spans="1:23" hidden="1">
      <c r="A677">
        <v>3645762964</v>
      </c>
      <c r="B677">
        <v>57240262</v>
      </c>
      <c r="C677" s="36" t="s">
        <v>1132</v>
      </c>
      <c r="D677" s="37">
        <v>41986.296111111114</v>
      </c>
      <c r="E677" s="37">
        <v>41986.298020833332</v>
      </c>
      <c r="U677">
        <v>16</v>
      </c>
      <c r="W677" s="47"/>
    </row>
    <row r="678" spans="1:23">
      <c r="A678">
        <v>3645800612</v>
      </c>
      <c r="B678">
        <v>57240262</v>
      </c>
      <c r="C678" s="36" t="s">
        <v>1133</v>
      </c>
      <c r="D678" s="37">
        <v>41986.343773148146</v>
      </c>
      <c r="E678" s="37">
        <v>41986.345416666663</v>
      </c>
      <c r="J678">
        <v>5</v>
      </c>
      <c r="K678">
        <v>6</v>
      </c>
      <c r="V678" s="42" t="s">
        <v>189</v>
      </c>
      <c r="W678" s="47">
        <v>5</v>
      </c>
    </row>
    <row r="679" spans="1:23" hidden="1">
      <c r="A679">
        <v>3645814907</v>
      </c>
      <c r="B679">
        <v>57240262</v>
      </c>
      <c r="C679" s="36" t="s">
        <v>583</v>
      </c>
      <c r="D679" s="37">
        <v>41986.360034722224</v>
      </c>
      <c r="E679" s="37">
        <v>41986.365277777775</v>
      </c>
      <c r="M679">
        <v>8</v>
      </c>
      <c r="O679">
        <v>10</v>
      </c>
      <c r="Q679">
        <v>12</v>
      </c>
      <c r="W679" s="47"/>
    </row>
    <row r="680" spans="1:23" hidden="1">
      <c r="A680">
        <v>3645813942</v>
      </c>
      <c r="B680">
        <v>57240262</v>
      </c>
      <c r="C680" s="36" t="s">
        <v>1134</v>
      </c>
      <c r="D680" s="37">
        <v>41986.358483796299</v>
      </c>
      <c r="E680" s="37">
        <v>41986.367152777777</v>
      </c>
      <c r="U680">
        <v>16</v>
      </c>
      <c r="W680" s="47"/>
    </row>
    <row r="681" spans="1:23" hidden="1">
      <c r="A681">
        <v>3645842508</v>
      </c>
      <c r="B681">
        <v>57240262</v>
      </c>
      <c r="C681" s="36" t="s">
        <v>1135</v>
      </c>
      <c r="D681" s="37">
        <v>41986.390798611108</v>
      </c>
      <c r="E681" s="37">
        <v>41986.394745370373</v>
      </c>
      <c r="U681">
        <v>16</v>
      </c>
      <c r="W681" s="47"/>
    </row>
    <row r="682" spans="1:23">
      <c r="A682">
        <v>3645878440</v>
      </c>
      <c r="B682">
        <v>57240262</v>
      </c>
      <c r="C682" s="36" t="s">
        <v>1136</v>
      </c>
      <c r="D682" s="37">
        <v>41986.428449074076</v>
      </c>
      <c r="E682" s="37">
        <v>41986.442372685182</v>
      </c>
      <c r="F682">
        <v>1</v>
      </c>
      <c r="I682">
        <v>4</v>
      </c>
      <c r="K682">
        <v>6</v>
      </c>
      <c r="P682">
        <v>11</v>
      </c>
      <c r="V682" s="42" t="s">
        <v>26</v>
      </c>
      <c r="W682" s="47">
        <v>4</v>
      </c>
    </row>
    <row r="683" spans="1:23">
      <c r="A683">
        <v>3645906089</v>
      </c>
      <c r="B683">
        <v>57240262</v>
      </c>
      <c r="C683" s="36" t="s">
        <v>1137</v>
      </c>
      <c r="D683" s="37">
        <v>41986.456180555557</v>
      </c>
      <c r="E683" s="37">
        <v>41986.465046296296</v>
      </c>
      <c r="F683">
        <v>1</v>
      </c>
      <c r="G683">
        <v>2</v>
      </c>
      <c r="I683">
        <v>4</v>
      </c>
      <c r="K683">
        <v>6</v>
      </c>
      <c r="P683">
        <v>11</v>
      </c>
      <c r="V683" s="42" t="s">
        <v>188</v>
      </c>
      <c r="W683" s="47">
        <v>2</v>
      </c>
    </row>
    <row r="684" spans="1:23" hidden="1">
      <c r="A684">
        <v>3645949147</v>
      </c>
      <c r="B684">
        <v>57240262</v>
      </c>
      <c r="C684" s="36" t="s">
        <v>1138</v>
      </c>
      <c r="D684" s="37">
        <v>41986.497210648151</v>
      </c>
      <c r="E684" s="37">
        <v>41986.504444444443</v>
      </c>
      <c r="U684">
        <v>16</v>
      </c>
      <c r="W684" s="47"/>
    </row>
    <row r="685" spans="1:23" hidden="1">
      <c r="A685">
        <v>3645991773</v>
      </c>
      <c r="B685">
        <v>57240262</v>
      </c>
      <c r="C685" s="36" t="s">
        <v>1139</v>
      </c>
      <c r="D685" s="37">
        <v>41986.533333333333</v>
      </c>
      <c r="E685" s="37">
        <v>41986.53765046296</v>
      </c>
      <c r="F685">
        <v>1</v>
      </c>
      <c r="K685">
        <v>6</v>
      </c>
      <c r="N685">
        <v>9</v>
      </c>
      <c r="W685" s="47"/>
    </row>
    <row r="686" spans="1:23" hidden="1">
      <c r="A686">
        <v>3646136361</v>
      </c>
      <c r="B686">
        <v>57240262</v>
      </c>
      <c r="C686" s="36" t="s">
        <v>1140</v>
      </c>
      <c r="D686" s="37">
        <v>41986.640486111108</v>
      </c>
      <c r="E686" s="37">
        <v>41986.647731481484</v>
      </c>
      <c r="G686">
        <v>2</v>
      </c>
      <c r="W686" s="47"/>
    </row>
    <row r="687" spans="1:23" hidden="1">
      <c r="A687">
        <v>3646223755</v>
      </c>
      <c r="B687">
        <v>57240262</v>
      </c>
      <c r="C687" s="36" t="s">
        <v>1141</v>
      </c>
      <c r="D687" s="37">
        <v>41986.70113425926</v>
      </c>
      <c r="E687" s="37">
        <v>41986.708171296297</v>
      </c>
      <c r="U687">
        <v>16</v>
      </c>
      <c r="W687" s="47"/>
    </row>
    <row r="688" spans="1:23" hidden="1">
      <c r="A688">
        <v>3646352538</v>
      </c>
      <c r="B688">
        <v>57240262</v>
      </c>
      <c r="C688" s="36" t="s">
        <v>1142</v>
      </c>
      <c r="D688" s="37">
        <v>41986.790520833332</v>
      </c>
      <c r="E688" s="37">
        <v>41986.792719907404</v>
      </c>
      <c r="U688">
        <v>16</v>
      </c>
      <c r="W688" s="47"/>
    </row>
    <row r="689" spans="1:23" hidden="1">
      <c r="A689">
        <v>3646357671</v>
      </c>
      <c r="B689">
        <v>57240262</v>
      </c>
      <c r="C689" s="36" t="s">
        <v>2333</v>
      </c>
      <c r="D689" s="37">
        <v>41986.79483796296</v>
      </c>
      <c r="E689" s="37">
        <v>41986.795289351852</v>
      </c>
      <c r="W689" s="47"/>
    </row>
    <row r="690" spans="1:23" hidden="1">
      <c r="A690">
        <v>3646352279</v>
      </c>
      <c r="B690">
        <v>57240262</v>
      </c>
      <c r="C690" s="36" t="s">
        <v>584</v>
      </c>
      <c r="D690" s="37">
        <v>41986.790520833332</v>
      </c>
      <c r="E690" s="37">
        <v>41986.801111111112</v>
      </c>
      <c r="U690">
        <v>16</v>
      </c>
      <c r="W690" s="47"/>
    </row>
    <row r="691" spans="1:23">
      <c r="A691">
        <v>3646402220</v>
      </c>
      <c r="B691">
        <v>57240262</v>
      </c>
      <c r="C691" s="36" t="s">
        <v>1143</v>
      </c>
      <c r="D691" s="37">
        <v>41986.823796296296</v>
      </c>
      <c r="E691" s="37">
        <v>41986.829201388886</v>
      </c>
      <c r="F691">
        <v>1</v>
      </c>
      <c r="G691">
        <v>2</v>
      </c>
      <c r="V691" s="42" t="s">
        <v>31</v>
      </c>
      <c r="W691" s="47">
        <v>2</v>
      </c>
    </row>
    <row r="692" spans="1:23" hidden="1">
      <c r="A692">
        <v>3646448113</v>
      </c>
      <c r="B692">
        <v>57240262</v>
      </c>
      <c r="C692" s="36" t="s">
        <v>1144</v>
      </c>
      <c r="D692" s="37">
        <v>41986.864236111112</v>
      </c>
      <c r="E692" s="37">
        <v>41986.868981481479</v>
      </c>
      <c r="U692">
        <v>16</v>
      </c>
      <c r="W692" s="47"/>
    </row>
    <row r="693" spans="1:23" hidden="1">
      <c r="A693">
        <v>3646448767</v>
      </c>
      <c r="B693">
        <v>57240262</v>
      </c>
      <c r="C693" s="36" t="s">
        <v>1145</v>
      </c>
      <c r="D693" s="37">
        <v>41986.864699074074</v>
      </c>
      <c r="E693" s="37">
        <v>41986.875914351855</v>
      </c>
      <c r="N693">
        <v>9</v>
      </c>
      <c r="W693" s="47"/>
    </row>
    <row r="694" spans="1:23">
      <c r="A694">
        <v>3646464883</v>
      </c>
      <c r="B694">
        <v>57240262</v>
      </c>
      <c r="C694" s="36" t="s">
        <v>1146</v>
      </c>
      <c r="D694" s="37">
        <v>41986.879537037035</v>
      </c>
      <c r="E694" s="37">
        <v>41986.889074074075</v>
      </c>
      <c r="F694">
        <v>1</v>
      </c>
      <c r="G694">
        <v>2</v>
      </c>
      <c r="M694">
        <v>8</v>
      </c>
      <c r="O694">
        <v>10</v>
      </c>
      <c r="Q694">
        <v>12</v>
      </c>
      <c r="V694" s="42" t="s">
        <v>187</v>
      </c>
      <c r="W694" s="47">
        <v>2</v>
      </c>
    </row>
    <row r="695" spans="1:23" ht="14">
      <c r="A695">
        <v>3646880637</v>
      </c>
      <c r="B695">
        <v>57240262</v>
      </c>
      <c r="C695" s="36" t="s">
        <v>1147</v>
      </c>
      <c r="D695" s="37">
        <v>41987.407789351855</v>
      </c>
      <c r="E695" s="37">
        <v>41987.412476851852</v>
      </c>
      <c r="F695">
        <v>1</v>
      </c>
      <c r="G695">
        <v>2</v>
      </c>
      <c r="H695">
        <v>3</v>
      </c>
      <c r="M695">
        <v>8</v>
      </c>
      <c r="O695">
        <v>10</v>
      </c>
      <c r="P695">
        <v>11</v>
      </c>
      <c r="Q695">
        <v>12</v>
      </c>
      <c r="S695">
        <v>14</v>
      </c>
      <c r="V695" s="73" t="s">
        <v>3563</v>
      </c>
      <c r="W695" s="47">
        <v>3</v>
      </c>
    </row>
    <row r="696" spans="1:23" hidden="1">
      <c r="A696">
        <v>3646898344</v>
      </c>
      <c r="B696">
        <v>57240262</v>
      </c>
      <c r="C696" s="36" t="s">
        <v>1148</v>
      </c>
      <c r="D696" s="37">
        <v>41987.428437499999</v>
      </c>
      <c r="E696" s="37">
        <v>41987.442557870374</v>
      </c>
      <c r="F696">
        <v>1</v>
      </c>
      <c r="H696">
        <v>3</v>
      </c>
      <c r="K696">
        <v>6</v>
      </c>
      <c r="N696">
        <v>9</v>
      </c>
      <c r="O696">
        <v>10</v>
      </c>
      <c r="P696">
        <v>11</v>
      </c>
      <c r="W696" s="47"/>
    </row>
    <row r="697" spans="1:23" hidden="1">
      <c r="A697">
        <v>3646975077</v>
      </c>
      <c r="B697">
        <v>57240262</v>
      </c>
      <c r="C697" s="36" t="s">
        <v>1149</v>
      </c>
      <c r="D697" s="37">
        <v>41987.513495370367</v>
      </c>
      <c r="E697" s="37">
        <v>41987.51761574074</v>
      </c>
      <c r="H697">
        <v>3</v>
      </c>
      <c r="I697">
        <v>4</v>
      </c>
      <c r="J697">
        <v>5</v>
      </c>
      <c r="W697" s="47"/>
    </row>
    <row r="698" spans="1:23" hidden="1">
      <c r="A698">
        <v>3647000824</v>
      </c>
      <c r="B698">
        <v>57240262</v>
      </c>
      <c r="C698" s="36" t="s">
        <v>1150</v>
      </c>
      <c r="D698" s="37">
        <v>41987.540138888886</v>
      </c>
      <c r="E698" s="37">
        <v>41987.545868055553</v>
      </c>
      <c r="O698">
        <v>10</v>
      </c>
      <c r="W698" s="47"/>
    </row>
    <row r="699" spans="1:23" ht="24">
      <c r="A699">
        <v>3647095101</v>
      </c>
      <c r="B699">
        <v>57240262</v>
      </c>
      <c r="C699" s="36" t="s">
        <v>1151</v>
      </c>
      <c r="D699" s="37">
        <v>41987.629421296297</v>
      </c>
      <c r="E699" s="37">
        <v>41987.647986111115</v>
      </c>
      <c r="O699">
        <v>10</v>
      </c>
      <c r="V699" s="42" t="s">
        <v>186</v>
      </c>
      <c r="W699" s="47">
        <v>10</v>
      </c>
    </row>
    <row r="700" spans="1:23" hidden="1">
      <c r="A700">
        <v>3647129231</v>
      </c>
      <c r="B700">
        <v>57240262</v>
      </c>
      <c r="C700" s="36" t="s">
        <v>1152</v>
      </c>
      <c r="D700" s="37">
        <v>41987.659317129626</v>
      </c>
      <c r="E700" s="37">
        <v>41987.664583333331</v>
      </c>
      <c r="F700">
        <v>1</v>
      </c>
      <c r="G700">
        <v>2</v>
      </c>
      <c r="W700" s="47"/>
    </row>
    <row r="701" spans="1:23" hidden="1">
      <c r="A701">
        <v>3647143866</v>
      </c>
      <c r="B701">
        <v>57240262</v>
      </c>
      <c r="C701" s="36" t="s">
        <v>1153</v>
      </c>
      <c r="D701" s="37">
        <v>41987.671990740739</v>
      </c>
      <c r="E701" s="37">
        <v>41987.689351851855</v>
      </c>
      <c r="U701">
        <v>16</v>
      </c>
      <c r="W701" s="47"/>
    </row>
    <row r="702" spans="1:23" hidden="1">
      <c r="A702">
        <v>3647188421</v>
      </c>
      <c r="B702">
        <v>57240262</v>
      </c>
      <c r="C702" s="36" t="s">
        <v>1154</v>
      </c>
      <c r="D702" s="37">
        <v>41987.710578703707</v>
      </c>
      <c r="E702" s="37">
        <v>41987.715254629627</v>
      </c>
      <c r="U702">
        <v>16</v>
      </c>
      <c r="W702" s="47"/>
    </row>
    <row r="703" spans="1:23" hidden="1">
      <c r="A703">
        <v>3647420351</v>
      </c>
      <c r="B703">
        <v>57240262</v>
      </c>
      <c r="C703" s="36" t="s">
        <v>1155</v>
      </c>
      <c r="D703" s="37">
        <v>41987.903622685182</v>
      </c>
      <c r="E703" s="37">
        <v>41987.908900462964</v>
      </c>
      <c r="F703">
        <v>1</v>
      </c>
      <c r="M703">
        <v>8</v>
      </c>
      <c r="N703">
        <v>9</v>
      </c>
      <c r="O703">
        <v>10</v>
      </c>
      <c r="Q703">
        <v>12</v>
      </c>
      <c r="W703" s="47"/>
    </row>
    <row r="704" spans="1:23" hidden="1">
      <c r="A704">
        <v>3647562174</v>
      </c>
      <c r="B704">
        <v>57240262</v>
      </c>
      <c r="C704" s="36" t="s">
        <v>1156</v>
      </c>
      <c r="D704" s="37">
        <v>41988.030034722222</v>
      </c>
      <c r="E704" s="37">
        <v>41988.033055555556</v>
      </c>
      <c r="U704">
        <v>16</v>
      </c>
      <c r="W704" s="47"/>
    </row>
    <row r="705" spans="1:23" ht="24">
      <c r="A705">
        <v>3647888542</v>
      </c>
      <c r="B705">
        <v>57240262</v>
      </c>
      <c r="C705" s="36" t="s">
        <v>1157</v>
      </c>
      <c r="D705" s="37">
        <v>41988.330057870371</v>
      </c>
      <c r="E705" s="37">
        <v>41988.33934027778</v>
      </c>
      <c r="K705">
        <v>6</v>
      </c>
      <c r="O705">
        <v>10</v>
      </c>
      <c r="V705" s="42" t="s">
        <v>13</v>
      </c>
      <c r="W705" s="47">
        <v>10</v>
      </c>
    </row>
    <row r="706" spans="1:23" hidden="1">
      <c r="A706">
        <v>3647960124</v>
      </c>
      <c r="B706">
        <v>57240262</v>
      </c>
      <c r="C706" s="36" t="s">
        <v>1158</v>
      </c>
      <c r="D706" s="37">
        <v>41988.380150462966</v>
      </c>
      <c r="E706" s="37">
        <v>41988.385868055557</v>
      </c>
      <c r="I706">
        <v>4</v>
      </c>
      <c r="P706">
        <v>11</v>
      </c>
      <c r="W706" s="47"/>
    </row>
    <row r="707" spans="1:23" hidden="1">
      <c r="A707">
        <v>3647970372</v>
      </c>
      <c r="B707">
        <v>57240262</v>
      </c>
      <c r="C707" s="36" t="s">
        <v>1159</v>
      </c>
      <c r="D707" s="37">
        <v>41988.386956018519</v>
      </c>
      <c r="E707" s="37">
        <v>41988.390625</v>
      </c>
      <c r="I707">
        <v>4</v>
      </c>
      <c r="J707">
        <v>5</v>
      </c>
      <c r="P707">
        <v>11</v>
      </c>
      <c r="Q707">
        <v>12</v>
      </c>
      <c r="W707" s="47"/>
    </row>
    <row r="708" spans="1:23" hidden="1">
      <c r="A708">
        <v>3647992957</v>
      </c>
      <c r="B708">
        <v>57240262</v>
      </c>
      <c r="C708" s="36" t="s">
        <v>1160</v>
      </c>
      <c r="D708" s="37">
        <v>41988.401030092595</v>
      </c>
      <c r="E708" s="37">
        <v>41988.409699074073</v>
      </c>
      <c r="I708">
        <v>4</v>
      </c>
      <c r="W708" s="47"/>
    </row>
    <row r="709" spans="1:23" hidden="1">
      <c r="A709">
        <v>3647983644</v>
      </c>
      <c r="B709">
        <v>57240262</v>
      </c>
      <c r="C709" s="36" t="s">
        <v>586</v>
      </c>
      <c r="D709" s="37">
        <v>41988.395497685182</v>
      </c>
      <c r="E709" s="37">
        <v>41988.428912037038</v>
      </c>
      <c r="F709">
        <v>1</v>
      </c>
      <c r="G709">
        <v>2</v>
      </c>
      <c r="H709">
        <v>3</v>
      </c>
      <c r="O709">
        <v>10</v>
      </c>
      <c r="W709" s="47"/>
    </row>
    <row r="710" spans="1:23" hidden="1">
      <c r="A710">
        <v>3648031508</v>
      </c>
      <c r="B710">
        <v>57240262</v>
      </c>
      <c r="C710" s="36" t="s">
        <v>1161</v>
      </c>
      <c r="D710" s="37">
        <v>41988.423773148148</v>
      </c>
      <c r="E710" s="37">
        <v>41988.43550925926</v>
      </c>
      <c r="U710">
        <v>16</v>
      </c>
      <c r="W710" s="47"/>
    </row>
    <row r="711" spans="1:23" hidden="1">
      <c r="A711">
        <v>3648045037</v>
      </c>
      <c r="B711">
        <v>57240262</v>
      </c>
      <c r="C711" s="36" t="s">
        <v>1162</v>
      </c>
      <c r="D711" s="37">
        <v>41988.431493055556</v>
      </c>
      <c r="E711" s="37">
        <v>41988.4372337963</v>
      </c>
      <c r="F711">
        <v>1</v>
      </c>
      <c r="W711" s="47"/>
    </row>
    <row r="712" spans="1:23">
      <c r="A712">
        <v>3648044188</v>
      </c>
      <c r="B712">
        <v>57240262</v>
      </c>
      <c r="C712" s="36" t="s">
        <v>587</v>
      </c>
      <c r="D712" s="37">
        <v>41988.431030092594</v>
      </c>
      <c r="E712" s="37">
        <v>41988.438773148147</v>
      </c>
      <c r="F712">
        <v>1</v>
      </c>
      <c r="K712">
        <v>6</v>
      </c>
      <c r="O712">
        <v>10</v>
      </c>
      <c r="V712" s="42" t="s">
        <v>35</v>
      </c>
      <c r="W712" s="47">
        <v>10</v>
      </c>
    </row>
    <row r="713" spans="1:23" hidden="1">
      <c r="A713">
        <v>3648091175</v>
      </c>
      <c r="B713">
        <v>57240262</v>
      </c>
      <c r="C713" s="36" t="s">
        <v>1163</v>
      </c>
      <c r="D713" s="37">
        <v>41988.45721064815</v>
      </c>
      <c r="E713" s="37">
        <v>41988.462094907409</v>
      </c>
      <c r="U713">
        <v>16</v>
      </c>
      <c r="W713" s="47"/>
    </row>
    <row r="714" spans="1:23" hidden="1">
      <c r="A714">
        <v>3648120889</v>
      </c>
      <c r="B714">
        <v>57240262</v>
      </c>
      <c r="C714" s="36" t="s">
        <v>588</v>
      </c>
      <c r="D714" s="37">
        <v>41988.473865740743</v>
      </c>
      <c r="E714" s="37">
        <v>41988.47483796296</v>
      </c>
      <c r="U714">
        <v>16</v>
      </c>
      <c r="W714" s="47"/>
    </row>
    <row r="715" spans="1:23" hidden="1">
      <c r="A715">
        <v>3648113638</v>
      </c>
      <c r="B715">
        <v>57240262</v>
      </c>
      <c r="C715" s="36" t="s">
        <v>1164</v>
      </c>
      <c r="D715" s="37">
        <v>41988.469675925924</v>
      </c>
      <c r="E715" s="37">
        <v>41988.475104166668</v>
      </c>
      <c r="I715">
        <v>4</v>
      </c>
      <c r="N715">
        <v>9</v>
      </c>
      <c r="W715" s="47"/>
    </row>
    <row r="716" spans="1:23" hidden="1">
      <c r="A716">
        <v>3648144940</v>
      </c>
      <c r="B716">
        <v>57240262</v>
      </c>
      <c r="C716" s="36" t="s">
        <v>1165</v>
      </c>
      <c r="D716" s="37">
        <v>41988.486296296294</v>
      </c>
      <c r="E716" s="37">
        <v>41988.490289351852</v>
      </c>
      <c r="I716">
        <v>4</v>
      </c>
      <c r="W716" s="47"/>
    </row>
    <row r="717" spans="1:23" hidden="1">
      <c r="A717">
        <v>3648184197</v>
      </c>
      <c r="B717">
        <v>57240262</v>
      </c>
      <c r="C717" s="36" t="s">
        <v>1166</v>
      </c>
      <c r="D717" s="37">
        <v>41988.506261574075</v>
      </c>
      <c r="E717" s="37">
        <v>41988.50986111111</v>
      </c>
      <c r="J717">
        <v>5</v>
      </c>
      <c r="W717" s="47"/>
    </row>
    <row r="718" spans="1:23">
      <c r="A718">
        <v>3648413695</v>
      </c>
      <c r="B718">
        <v>57240262</v>
      </c>
      <c r="C718" s="36" t="s">
        <v>1167</v>
      </c>
      <c r="D718" s="37">
        <v>41988.593877314815</v>
      </c>
      <c r="E718" s="37">
        <v>41988.597071759257</v>
      </c>
      <c r="M718">
        <v>8</v>
      </c>
      <c r="O718">
        <v>10</v>
      </c>
      <c r="V718" s="42" t="s">
        <v>127</v>
      </c>
      <c r="W718" s="47">
        <v>10</v>
      </c>
    </row>
    <row r="719" spans="1:23" hidden="1">
      <c r="A719">
        <v>3648430171</v>
      </c>
      <c r="B719">
        <v>57240262</v>
      </c>
      <c r="C719" s="36" t="s">
        <v>1168</v>
      </c>
      <c r="D719" s="37">
        <v>41988.598645833335</v>
      </c>
      <c r="E719" s="37">
        <v>41988.604062500002</v>
      </c>
      <c r="S719">
        <v>14</v>
      </c>
      <c r="W719" s="47"/>
    </row>
    <row r="720" spans="1:23" hidden="1">
      <c r="A720">
        <v>3648457279</v>
      </c>
      <c r="B720">
        <v>57240262</v>
      </c>
      <c r="C720" s="36" t="s">
        <v>1169</v>
      </c>
      <c r="D720" s="37">
        <v>41988.606377314813</v>
      </c>
      <c r="E720" s="37">
        <v>41988.611354166664</v>
      </c>
      <c r="F720">
        <v>1</v>
      </c>
      <c r="K720">
        <v>6</v>
      </c>
      <c r="W720" s="47"/>
    </row>
    <row r="721" spans="1:23" hidden="1">
      <c r="A721">
        <v>3648512381</v>
      </c>
      <c r="B721">
        <v>57240262</v>
      </c>
      <c r="C721" s="36" t="s">
        <v>1170</v>
      </c>
      <c r="D721" s="37">
        <v>41988.620567129627</v>
      </c>
      <c r="E721" s="37">
        <v>41988.627465277779</v>
      </c>
      <c r="S721">
        <v>14</v>
      </c>
      <c r="W721" s="47"/>
    </row>
    <row r="722" spans="1:23" hidden="1">
      <c r="A722">
        <v>3648658401</v>
      </c>
      <c r="B722">
        <v>57240262</v>
      </c>
      <c r="C722" s="36" t="s">
        <v>1171</v>
      </c>
      <c r="D722" s="37">
        <v>41988.658009259256</v>
      </c>
      <c r="E722" s="37">
        <v>41988.662581018521</v>
      </c>
      <c r="I722">
        <v>4</v>
      </c>
      <c r="W722" s="47"/>
    </row>
    <row r="723" spans="1:23">
      <c r="A723">
        <v>3648749961</v>
      </c>
      <c r="B723">
        <v>57240262</v>
      </c>
      <c r="C723" s="36" t="s">
        <v>1172</v>
      </c>
      <c r="D723" s="37">
        <v>41988.68005787037</v>
      </c>
      <c r="E723" s="37">
        <v>41988.689050925925</v>
      </c>
      <c r="F723">
        <v>1</v>
      </c>
      <c r="G723">
        <v>2</v>
      </c>
      <c r="V723" s="42" t="s">
        <v>118</v>
      </c>
      <c r="W723" s="47">
        <v>2</v>
      </c>
    </row>
    <row r="724" spans="1:23" hidden="1">
      <c r="A724">
        <v>3649189531</v>
      </c>
      <c r="B724">
        <v>57240262</v>
      </c>
      <c r="C724" s="36" t="s">
        <v>1173</v>
      </c>
      <c r="D724" s="37">
        <v>41988.796099537038</v>
      </c>
      <c r="E724" s="37">
        <v>41988.80195601852</v>
      </c>
      <c r="I724">
        <v>4</v>
      </c>
      <c r="W724" s="47"/>
    </row>
    <row r="725" spans="1:23" hidden="1">
      <c r="A725">
        <v>3649268500</v>
      </c>
      <c r="B725">
        <v>57240262</v>
      </c>
      <c r="C725" s="36" t="s">
        <v>1174</v>
      </c>
      <c r="D725" s="37">
        <v>41988.820243055554</v>
      </c>
      <c r="E725" s="37">
        <v>41988.825185185182</v>
      </c>
      <c r="U725">
        <v>16</v>
      </c>
      <c r="W725" s="47"/>
    </row>
    <row r="726" spans="1:23" hidden="1">
      <c r="A726">
        <v>3649539649</v>
      </c>
      <c r="B726">
        <v>57240262</v>
      </c>
      <c r="C726" s="36" t="s">
        <v>1175</v>
      </c>
      <c r="D726" s="37">
        <v>41988.899583333332</v>
      </c>
      <c r="E726" s="37">
        <v>41988.902557870373</v>
      </c>
      <c r="U726">
        <v>16</v>
      </c>
      <c r="W726" s="47"/>
    </row>
    <row r="727" spans="1:23" ht="24">
      <c r="A727">
        <v>3649563511</v>
      </c>
      <c r="B727">
        <v>57240262</v>
      </c>
      <c r="C727" s="36" t="s">
        <v>1176</v>
      </c>
      <c r="D727" s="37">
        <v>41988.907060185185</v>
      </c>
      <c r="E727" s="37">
        <v>41988.918749999997</v>
      </c>
      <c r="K727">
        <v>6</v>
      </c>
      <c r="M727">
        <v>8</v>
      </c>
      <c r="O727">
        <v>10</v>
      </c>
      <c r="V727" s="42" t="s">
        <v>13</v>
      </c>
      <c r="W727" s="47">
        <v>10</v>
      </c>
    </row>
    <row r="728" spans="1:23" hidden="1">
      <c r="A728">
        <v>3649629078</v>
      </c>
      <c r="B728">
        <v>57240262</v>
      </c>
      <c r="C728" s="36" t="s">
        <v>1177</v>
      </c>
      <c r="D728" s="37">
        <v>41988.928923611114</v>
      </c>
      <c r="E728" s="37">
        <v>41988.934965277775</v>
      </c>
      <c r="O728">
        <v>10</v>
      </c>
      <c r="W728" s="47"/>
    </row>
    <row r="729" spans="1:23" hidden="1">
      <c r="A729">
        <v>3649642373</v>
      </c>
      <c r="B729">
        <v>57240262</v>
      </c>
      <c r="C729" s="36" t="s">
        <v>1178</v>
      </c>
      <c r="D729" s="37">
        <v>41988.933668981481</v>
      </c>
      <c r="E729" s="37">
        <v>41988.938842592594</v>
      </c>
      <c r="N729">
        <v>9</v>
      </c>
      <c r="W729" s="47"/>
    </row>
    <row r="730" spans="1:23" hidden="1">
      <c r="A730">
        <v>3649617821</v>
      </c>
      <c r="B730">
        <v>57240262</v>
      </c>
      <c r="C730" s="36" t="s">
        <v>589</v>
      </c>
      <c r="D730" s="37">
        <v>41988.925023148149</v>
      </c>
      <c r="E730" s="37">
        <v>41988.94121527778</v>
      </c>
      <c r="K730">
        <v>6</v>
      </c>
      <c r="W730" s="47"/>
    </row>
    <row r="731" spans="1:23">
      <c r="A731">
        <v>3649663181</v>
      </c>
      <c r="B731">
        <v>57240262</v>
      </c>
      <c r="C731" s="36" t="s">
        <v>1179</v>
      </c>
      <c r="D731" s="37">
        <v>41988.94122685185</v>
      </c>
      <c r="E731" s="37">
        <v>41988.944398148145</v>
      </c>
      <c r="K731">
        <v>6</v>
      </c>
      <c r="Q731">
        <v>12</v>
      </c>
      <c r="V731" s="42" t="s">
        <v>51</v>
      </c>
      <c r="W731" s="47">
        <v>6</v>
      </c>
    </row>
    <row r="732" spans="1:23" hidden="1">
      <c r="A732">
        <v>3650301885</v>
      </c>
      <c r="B732">
        <v>57240262</v>
      </c>
      <c r="C732" s="36" t="s">
        <v>1180</v>
      </c>
      <c r="D732" s="37">
        <v>41989.310601851852</v>
      </c>
      <c r="E732" s="37">
        <v>41989.317719907405</v>
      </c>
      <c r="K732">
        <v>6</v>
      </c>
      <c r="W732" s="47"/>
    </row>
    <row r="733" spans="1:23">
      <c r="A733">
        <v>3650347120</v>
      </c>
      <c r="B733">
        <v>57240262</v>
      </c>
      <c r="C733" s="36" t="s">
        <v>1181</v>
      </c>
      <c r="D733" s="37">
        <v>41989.342361111114</v>
      </c>
      <c r="E733" s="37">
        <v>41989.349270833336</v>
      </c>
      <c r="F733">
        <v>1</v>
      </c>
      <c r="K733">
        <v>6</v>
      </c>
      <c r="O733">
        <v>10</v>
      </c>
      <c r="Q733">
        <v>12</v>
      </c>
      <c r="V733" s="42" t="s">
        <v>185</v>
      </c>
      <c r="W733" s="47">
        <v>6</v>
      </c>
    </row>
    <row r="734" spans="1:23" hidden="1">
      <c r="A734">
        <v>3650432613</v>
      </c>
      <c r="B734">
        <v>57240262</v>
      </c>
      <c r="C734" s="36" t="s">
        <v>592</v>
      </c>
      <c r="D734" s="37">
        <v>41989.389745370368</v>
      </c>
      <c r="E734" s="37">
        <v>41989.392881944441</v>
      </c>
      <c r="F734">
        <v>1</v>
      </c>
      <c r="G734">
        <v>2</v>
      </c>
      <c r="H734">
        <v>3</v>
      </c>
      <c r="I734">
        <v>4</v>
      </c>
      <c r="J734">
        <v>5</v>
      </c>
      <c r="K734">
        <v>6</v>
      </c>
      <c r="L734">
        <v>7</v>
      </c>
      <c r="M734">
        <v>8</v>
      </c>
      <c r="N734">
        <v>9</v>
      </c>
      <c r="O734">
        <v>10</v>
      </c>
      <c r="P734">
        <v>11</v>
      </c>
      <c r="Q734">
        <v>12</v>
      </c>
      <c r="R734">
        <v>13</v>
      </c>
      <c r="W734" s="47"/>
    </row>
    <row r="735" spans="1:23" hidden="1">
      <c r="A735">
        <v>3650424927</v>
      </c>
      <c r="B735">
        <v>57240262</v>
      </c>
      <c r="C735" s="36" t="s">
        <v>591</v>
      </c>
      <c r="D735" s="37">
        <v>41989.387824074074</v>
      </c>
      <c r="E735" s="37">
        <v>41989.394814814812</v>
      </c>
      <c r="G735">
        <v>2</v>
      </c>
      <c r="W735" s="47"/>
    </row>
    <row r="736" spans="1:23" hidden="1">
      <c r="A736">
        <v>3650431760</v>
      </c>
      <c r="B736">
        <v>57240262</v>
      </c>
      <c r="C736" s="36" t="s">
        <v>1182</v>
      </c>
      <c r="D736" s="37">
        <v>41989.389641203707</v>
      </c>
      <c r="E736" s="37">
        <v>41989.395428240743</v>
      </c>
      <c r="I736">
        <v>4</v>
      </c>
      <c r="W736" s="47"/>
    </row>
    <row r="737" spans="1:23" hidden="1">
      <c r="A737">
        <v>3650542022</v>
      </c>
      <c r="B737">
        <v>57240262</v>
      </c>
      <c r="C737" s="36" t="s">
        <v>1183</v>
      </c>
      <c r="D737" s="37">
        <v>41989.414409722223</v>
      </c>
      <c r="E737" s="37">
        <v>41989.424467592595</v>
      </c>
      <c r="M737">
        <v>8</v>
      </c>
      <c r="W737" s="47"/>
    </row>
    <row r="738" spans="1:23" hidden="1">
      <c r="A738">
        <v>3650585381</v>
      </c>
      <c r="B738">
        <v>57240262</v>
      </c>
      <c r="C738" s="36" t="s">
        <v>1184</v>
      </c>
      <c r="D738" s="37">
        <v>41989.425011574072</v>
      </c>
      <c r="E738" s="37">
        <v>41989.432326388887</v>
      </c>
      <c r="U738">
        <v>16</v>
      </c>
      <c r="W738" s="47"/>
    </row>
    <row r="739" spans="1:23" hidden="1">
      <c r="A739">
        <v>3650626357</v>
      </c>
      <c r="B739">
        <v>57240262</v>
      </c>
      <c r="C739" s="36" t="s">
        <v>1185</v>
      </c>
      <c r="D739" s="37">
        <v>41989.434930555559</v>
      </c>
      <c r="E739" s="37">
        <v>41989.437361111108</v>
      </c>
      <c r="U739">
        <v>16</v>
      </c>
      <c r="W739" s="47"/>
    </row>
    <row r="740" spans="1:23" hidden="1">
      <c r="A740">
        <v>3650624316</v>
      </c>
      <c r="B740">
        <v>57240262</v>
      </c>
      <c r="C740" s="36" t="s">
        <v>593</v>
      </c>
      <c r="D740" s="37">
        <v>41989.434432870374</v>
      </c>
      <c r="E740" s="37">
        <v>41989.460659722223</v>
      </c>
      <c r="F740">
        <v>1</v>
      </c>
      <c r="W740" s="47"/>
    </row>
    <row r="741" spans="1:23" hidden="1">
      <c r="A741">
        <v>3650717689</v>
      </c>
      <c r="B741">
        <v>57240262</v>
      </c>
      <c r="C741" s="36" t="s">
        <v>1186</v>
      </c>
      <c r="D741" s="37">
        <v>41989.458194444444</v>
      </c>
      <c r="E741" s="37">
        <v>41989.462569444448</v>
      </c>
      <c r="U741">
        <v>16</v>
      </c>
      <c r="W741" s="47"/>
    </row>
    <row r="742" spans="1:23" hidden="1">
      <c r="A742">
        <v>3650850365</v>
      </c>
      <c r="B742">
        <v>57240262</v>
      </c>
      <c r="C742" s="36" t="s">
        <v>1187</v>
      </c>
      <c r="D742" s="37">
        <v>41989.490601851852</v>
      </c>
      <c r="E742" s="37">
        <v>41989.498599537037</v>
      </c>
      <c r="G742">
        <v>2</v>
      </c>
      <c r="O742">
        <v>10</v>
      </c>
      <c r="P742">
        <v>11</v>
      </c>
      <c r="W742" s="47"/>
    </row>
    <row r="743" spans="1:23" hidden="1">
      <c r="A743">
        <v>3650937182</v>
      </c>
      <c r="B743">
        <v>57240262</v>
      </c>
      <c r="C743" s="36" t="s">
        <v>1188</v>
      </c>
      <c r="D743" s="37">
        <v>41989.507152777776</v>
      </c>
      <c r="E743" s="37">
        <v>41989.517222222225</v>
      </c>
      <c r="H743">
        <v>3</v>
      </c>
      <c r="I743">
        <v>4</v>
      </c>
      <c r="W743" s="47"/>
    </row>
    <row r="744" spans="1:23" hidden="1">
      <c r="A744">
        <v>3650939967</v>
      </c>
      <c r="B744">
        <v>57240262</v>
      </c>
      <c r="C744" s="36" t="s">
        <v>1189</v>
      </c>
      <c r="D744" s="37">
        <v>41989.513333333336</v>
      </c>
      <c r="E744" s="37">
        <v>41989.52447916667</v>
      </c>
      <c r="F744">
        <v>1</v>
      </c>
      <c r="G744">
        <v>2</v>
      </c>
      <c r="H744">
        <v>3</v>
      </c>
      <c r="I744">
        <v>4</v>
      </c>
      <c r="J744">
        <v>5</v>
      </c>
      <c r="M744">
        <v>8</v>
      </c>
      <c r="Q744">
        <v>12</v>
      </c>
      <c r="R744">
        <v>13</v>
      </c>
      <c r="W744" s="47"/>
    </row>
    <row r="745" spans="1:23" hidden="1">
      <c r="A745">
        <v>3650976212</v>
      </c>
      <c r="B745">
        <v>57240262</v>
      </c>
      <c r="C745" s="36" t="s">
        <v>1190</v>
      </c>
      <c r="D745" s="37">
        <v>41989.521967592591</v>
      </c>
      <c r="E745" s="37">
        <v>41989.525312500002</v>
      </c>
      <c r="U745">
        <v>16</v>
      </c>
      <c r="W745" s="47"/>
    </row>
    <row r="746" spans="1:23" hidden="1">
      <c r="A746">
        <v>3650968801</v>
      </c>
      <c r="B746">
        <v>57240262</v>
      </c>
      <c r="C746" s="36" t="s">
        <v>594</v>
      </c>
      <c r="D746" s="37">
        <v>41989.520370370374</v>
      </c>
      <c r="E746" s="37">
        <v>41989.52952546296</v>
      </c>
      <c r="F746">
        <v>1</v>
      </c>
      <c r="H746">
        <v>3</v>
      </c>
      <c r="O746">
        <v>10</v>
      </c>
      <c r="Q746">
        <v>12</v>
      </c>
      <c r="W746" s="47"/>
    </row>
    <row r="747" spans="1:23" hidden="1">
      <c r="A747">
        <v>3651028636</v>
      </c>
      <c r="B747">
        <v>57240262</v>
      </c>
      <c r="C747" s="36" t="s">
        <v>1191</v>
      </c>
      <c r="D747" s="37">
        <v>41989.535231481481</v>
      </c>
      <c r="E747" s="37">
        <v>41989.539398148147</v>
      </c>
      <c r="K747">
        <v>6</v>
      </c>
      <c r="W747" s="47"/>
    </row>
    <row r="748" spans="1:23" hidden="1">
      <c r="A748">
        <v>3651045511</v>
      </c>
      <c r="B748">
        <v>57240262</v>
      </c>
      <c r="C748" s="36" t="s">
        <v>1192</v>
      </c>
      <c r="D748" s="37">
        <v>41989.539212962962</v>
      </c>
      <c r="E748" s="37">
        <v>41989.543124999997</v>
      </c>
      <c r="U748">
        <v>16</v>
      </c>
      <c r="W748" s="47"/>
    </row>
    <row r="749" spans="1:23">
      <c r="A749">
        <v>3651052059</v>
      </c>
      <c r="B749">
        <v>57240262</v>
      </c>
      <c r="C749" s="36" t="s">
        <v>1193</v>
      </c>
      <c r="D749" s="37">
        <v>41989.540879629632</v>
      </c>
      <c r="E749" s="37">
        <v>41989.553854166668</v>
      </c>
      <c r="I749">
        <v>4</v>
      </c>
      <c r="O749">
        <v>10</v>
      </c>
      <c r="V749" s="42" t="s">
        <v>184</v>
      </c>
      <c r="W749" s="47">
        <v>4</v>
      </c>
    </row>
    <row r="750" spans="1:23" hidden="1">
      <c r="A750">
        <v>3651086287</v>
      </c>
      <c r="B750">
        <v>57240262</v>
      </c>
      <c r="C750" s="36" t="s">
        <v>1194</v>
      </c>
      <c r="D750" s="37">
        <v>41989.548761574071</v>
      </c>
      <c r="E750" s="37">
        <v>41989.555555555555</v>
      </c>
      <c r="U750">
        <v>16</v>
      </c>
      <c r="W750" s="47"/>
    </row>
    <row r="751" spans="1:23" hidden="1">
      <c r="A751">
        <v>3651121662</v>
      </c>
      <c r="B751">
        <v>57240262</v>
      </c>
      <c r="C751" s="36" t="s">
        <v>1195</v>
      </c>
      <c r="D751" s="37">
        <v>41989.557210648149</v>
      </c>
      <c r="E751" s="37">
        <v>41989.560127314813</v>
      </c>
      <c r="Q751">
        <v>12</v>
      </c>
      <c r="W751" s="47"/>
    </row>
    <row r="752" spans="1:23" hidden="1">
      <c r="A752">
        <v>3651280217</v>
      </c>
      <c r="B752">
        <v>57240262</v>
      </c>
      <c r="C752" s="36" t="s">
        <v>1196</v>
      </c>
      <c r="D752" s="37">
        <v>41989.592187499999</v>
      </c>
      <c r="E752" s="37">
        <v>41989.595833333333</v>
      </c>
      <c r="U752">
        <v>16</v>
      </c>
      <c r="W752" s="47"/>
    </row>
    <row r="753" spans="1:23" hidden="1">
      <c r="A753">
        <v>3651285049</v>
      </c>
      <c r="B753">
        <v>57240262</v>
      </c>
      <c r="C753" s="36" t="s">
        <v>1197</v>
      </c>
      <c r="D753" s="37">
        <v>41989.593287037038</v>
      </c>
      <c r="E753" s="37">
        <v>41989.597291666665</v>
      </c>
      <c r="U753">
        <v>16</v>
      </c>
      <c r="W753" s="47"/>
    </row>
    <row r="754" spans="1:23" hidden="1">
      <c r="A754">
        <v>3651302039</v>
      </c>
      <c r="B754">
        <v>57240262</v>
      </c>
      <c r="C754" s="36" t="s">
        <v>1198</v>
      </c>
      <c r="D754" s="37">
        <v>41989.596828703703</v>
      </c>
      <c r="E754" s="37">
        <v>41989.605497685188</v>
      </c>
      <c r="N754">
        <v>9</v>
      </c>
      <c r="W754" s="47"/>
    </row>
    <row r="755" spans="1:23" hidden="1">
      <c r="A755">
        <v>3651284883</v>
      </c>
      <c r="B755">
        <v>57240262</v>
      </c>
      <c r="C755" s="36" t="s">
        <v>597</v>
      </c>
      <c r="D755" s="37">
        <v>41989.593229166669</v>
      </c>
      <c r="E755" s="37">
        <v>41989.608587962961</v>
      </c>
      <c r="K755">
        <v>6</v>
      </c>
      <c r="W755" s="47"/>
    </row>
    <row r="756" spans="1:23" hidden="1">
      <c r="A756">
        <v>3651362896</v>
      </c>
      <c r="B756">
        <v>57240262</v>
      </c>
      <c r="C756" s="36" t="s">
        <v>1199</v>
      </c>
      <c r="D756" s="37">
        <v>41989.599537037036</v>
      </c>
      <c r="E756" s="37">
        <v>41989.612974537034</v>
      </c>
      <c r="M756">
        <v>8</v>
      </c>
      <c r="W756" s="47"/>
    </row>
    <row r="757" spans="1:23" hidden="1">
      <c r="A757">
        <v>3651500685</v>
      </c>
      <c r="B757">
        <v>57240262</v>
      </c>
      <c r="C757" s="36" t="s">
        <v>1200</v>
      </c>
      <c r="D757" s="37">
        <v>41989.639270833337</v>
      </c>
      <c r="E757" s="37">
        <v>41989.646851851852</v>
      </c>
      <c r="F757">
        <v>1</v>
      </c>
      <c r="H757">
        <v>3</v>
      </c>
      <c r="O757">
        <v>10</v>
      </c>
      <c r="P757">
        <v>11</v>
      </c>
      <c r="W757" s="47"/>
    </row>
    <row r="758" spans="1:23">
      <c r="A758">
        <v>3651500134</v>
      </c>
      <c r="B758">
        <v>57240262</v>
      </c>
      <c r="C758" s="36" t="s">
        <v>598</v>
      </c>
      <c r="D758" s="37">
        <v>41989.638738425929</v>
      </c>
      <c r="E758" s="37">
        <v>41989.649884259263</v>
      </c>
      <c r="I758">
        <v>4</v>
      </c>
      <c r="K758">
        <v>6</v>
      </c>
      <c r="P758">
        <v>11</v>
      </c>
      <c r="R758">
        <v>13</v>
      </c>
      <c r="V758" s="42" t="s">
        <v>34</v>
      </c>
      <c r="W758" s="47">
        <v>6</v>
      </c>
    </row>
    <row r="759" spans="1:23" hidden="1">
      <c r="A759">
        <v>3651631345</v>
      </c>
      <c r="B759">
        <v>57240262</v>
      </c>
      <c r="C759" s="36" t="s">
        <v>1201</v>
      </c>
      <c r="D759" s="37">
        <v>41989.668541666666</v>
      </c>
      <c r="E759" s="37">
        <v>41989.673518518517</v>
      </c>
      <c r="K759">
        <v>6</v>
      </c>
      <c r="W759" s="47"/>
    </row>
    <row r="760" spans="1:23" hidden="1">
      <c r="A760">
        <v>3651688082</v>
      </c>
      <c r="B760">
        <v>57240262</v>
      </c>
      <c r="C760" s="36" t="s">
        <v>1202</v>
      </c>
      <c r="D760" s="37">
        <v>41989.681689814817</v>
      </c>
      <c r="E760" s="37">
        <v>41989.686782407407</v>
      </c>
      <c r="U760">
        <v>16</v>
      </c>
      <c r="W760" s="47"/>
    </row>
    <row r="761" spans="1:23" hidden="1">
      <c r="A761">
        <v>3651764855</v>
      </c>
      <c r="B761">
        <v>57240262</v>
      </c>
      <c r="C761" s="36" t="s">
        <v>1203</v>
      </c>
      <c r="D761" s="37">
        <v>41989.699953703705</v>
      </c>
      <c r="E761" s="37">
        <v>41989.705520833333</v>
      </c>
      <c r="N761">
        <v>9</v>
      </c>
      <c r="W761" s="47"/>
    </row>
    <row r="762" spans="1:23" hidden="1">
      <c r="A762">
        <v>3651803970</v>
      </c>
      <c r="B762">
        <v>57240262</v>
      </c>
      <c r="C762" s="36" t="s">
        <v>1204</v>
      </c>
      <c r="D762" s="37">
        <v>41989.709629629629</v>
      </c>
      <c r="E762" s="37">
        <v>41989.713842592595</v>
      </c>
      <c r="F762">
        <v>1</v>
      </c>
      <c r="W762" s="47"/>
    </row>
    <row r="763" spans="1:23" hidden="1">
      <c r="A763">
        <v>3651915485</v>
      </c>
      <c r="B763">
        <v>57240262</v>
      </c>
      <c r="C763" s="36" t="s">
        <v>1205</v>
      </c>
      <c r="D763" s="37">
        <v>41989.739594907405</v>
      </c>
      <c r="E763" s="37">
        <v>41989.751261574071</v>
      </c>
      <c r="H763">
        <v>3</v>
      </c>
      <c r="W763" s="47"/>
    </row>
    <row r="764" spans="1:23">
      <c r="A764">
        <v>3651981997</v>
      </c>
      <c r="B764">
        <v>57240262</v>
      </c>
      <c r="C764" s="36" t="s">
        <v>1206</v>
      </c>
      <c r="D764" s="37">
        <v>41989.758414351854</v>
      </c>
      <c r="E764" s="37">
        <v>41989.763379629629</v>
      </c>
      <c r="M764">
        <v>8</v>
      </c>
      <c r="O764">
        <v>10</v>
      </c>
      <c r="V764" s="42" t="s">
        <v>127</v>
      </c>
      <c r="W764" s="47">
        <v>10</v>
      </c>
    </row>
    <row r="765" spans="1:23" hidden="1">
      <c r="A765">
        <v>3652132035</v>
      </c>
      <c r="B765">
        <v>57240262</v>
      </c>
      <c r="C765" s="36" t="s">
        <v>2334</v>
      </c>
      <c r="D765" s="37">
        <v>41989.800069444442</v>
      </c>
      <c r="E765" s="37">
        <v>41989.800532407404</v>
      </c>
      <c r="W765" s="47"/>
    </row>
    <row r="766" spans="1:23" hidden="1">
      <c r="A766">
        <v>3652161323</v>
      </c>
      <c r="B766">
        <v>57240262</v>
      </c>
      <c r="C766" s="36" t="s">
        <v>1207</v>
      </c>
      <c r="D766" s="37">
        <v>41989.807719907411</v>
      </c>
      <c r="E766" s="37">
        <v>41989.811296296299</v>
      </c>
      <c r="O766">
        <v>10</v>
      </c>
      <c r="Q766">
        <v>12</v>
      </c>
      <c r="W766" s="47"/>
    </row>
    <row r="767" spans="1:23">
      <c r="A767">
        <v>3652178237</v>
      </c>
      <c r="B767">
        <v>57240262</v>
      </c>
      <c r="C767" s="36" t="s">
        <v>1208</v>
      </c>
      <c r="D767" s="37">
        <v>41989.812384259261</v>
      </c>
      <c r="E767" s="37">
        <v>41989.815185185187</v>
      </c>
      <c r="F767">
        <v>1</v>
      </c>
      <c r="G767">
        <v>2</v>
      </c>
      <c r="H767">
        <v>3</v>
      </c>
      <c r="O767">
        <v>10</v>
      </c>
      <c r="R767">
        <v>13</v>
      </c>
      <c r="V767" s="42" t="s">
        <v>31</v>
      </c>
      <c r="W767" s="47">
        <v>2</v>
      </c>
    </row>
    <row r="768" spans="1:23" hidden="1">
      <c r="A768">
        <v>3652189559</v>
      </c>
      <c r="B768">
        <v>57240262</v>
      </c>
      <c r="C768" s="36" t="s">
        <v>2335</v>
      </c>
      <c r="D768" s="37">
        <v>41989.81527777778</v>
      </c>
      <c r="E768" s="37">
        <v>41989.816365740742</v>
      </c>
      <c r="W768" s="47"/>
    </row>
    <row r="769" spans="1:23" hidden="1">
      <c r="A769">
        <v>3652196337</v>
      </c>
      <c r="B769">
        <v>57240262</v>
      </c>
      <c r="C769" s="36" t="s">
        <v>599</v>
      </c>
      <c r="D769" s="37">
        <v>41989.817175925928</v>
      </c>
      <c r="E769" s="37">
        <v>41989.818692129629</v>
      </c>
      <c r="G769">
        <v>2</v>
      </c>
      <c r="H769">
        <v>3</v>
      </c>
      <c r="O769">
        <v>10</v>
      </c>
      <c r="W769" s="47"/>
    </row>
    <row r="770" spans="1:23" hidden="1">
      <c r="A770">
        <v>3652190894</v>
      </c>
      <c r="B770">
        <v>57240262</v>
      </c>
      <c r="C770" s="36" t="s">
        <v>1209</v>
      </c>
      <c r="D770" s="37">
        <v>41989.815798611111</v>
      </c>
      <c r="E770" s="37">
        <v>41989.821122685185</v>
      </c>
      <c r="F770">
        <v>1</v>
      </c>
      <c r="G770">
        <v>2</v>
      </c>
      <c r="H770">
        <v>3</v>
      </c>
      <c r="L770">
        <v>7</v>
      </c>
      <c r="W770" s="47"/>
    </row>
    <row r="771" spans="1:23" hidden="1">
      <c r="A771">
        <v>3652210502</v>
      </c>
      <c r="B771">
        <v>57240262</v>
      </c>
      <c r="C771" s="36" t="s">
        <v>1210</v>
      </c>
      <c r="D771" s="37">
        <v>41989.820868055554</v>
      </c>
      <c r="E771" s="37">
        <v>41989.824976851851</v>
      </c>
      <c r="U771">
        <v>16</v>
      </c>
      <c r="W771" s="47"/>
    </row>
    <row r="772" spans="1:23" hidden="1">
      <c r="A772">
        <v>3652221848</v>
      </c>
      <c r="B772">
        <v>57240262</v>
      </c>
      <c r="C772" s="36" t="s">
        <v>1211</v>
      </c>
      <c r="D772" s="37">
        <v>41989.82440972222</v>
      </c>
      <c r="E772" s="37">
        <v>41989.830983796295</v>
      </c>
      <c r="O772">
        <v>10</v>
      </c>
      <c r="W772" s="47"/>
    </row>
    <row r="773" spans="1:23">
      <c r="A773">
        <v>3652238440</v>
      </c>
      <c r="B773">
        <v>57240262</v>
      </c>
      <c r="C773" s="36" t="s">
        <v>1212</v>
      </c>
      <c r="D773" s="37">
        <v>41989.828946759262</v>
      </c>
      <c r="E773" s="37">
        <v>41989.831921296296</v>
      </c>
      <c r="F773">
        <v>1</v>
      </c>
      <c r="G773">
        <v>2</v>
      </c>
      <c r="I773">
        <v>4</v>
      </c>
      <c r="J773">
        <v>5</v>
      </c>
      <c r="O773">
        <v>10</v>
      </c>
      <c r="Q773">
        <v>12</v>
      </c>
      <c r="V773" s="42" t="s">
        <v>183</v>
      </c>
      <c r="W773" s="47">
        <v>5</v>
      </c>
    </row>
    <row r="774" spans="1:23">
      <c r="A774">
        <v>3652257802</v>
      </c>
      <c r="B774">
        <v>57240262</v>
      </c>
      <c r="C774" s="36" t="s">
        <v>1213</v>
      </c>
      <c r="D774" s="37">
        <v>41989.833865740744</v>
      </c>
      <c r="E774" s="37">
        <v>41989.835798611108</v>
      </c>
      <c r="F774">
        <v>1</v>
      </c>
      <c r="G774">
        <v>2</v>
      </c>
      <c r="V774" s="42" t="s">
        <v>100</v>
      </c>
      <c r="W774" s="47">
        <v>1</v>
      </c>
    </row>
    <row r="775" spans="1:23" hidden="1">
      <c r="A775">
        <v>3652282221</v>
      </c>
      <c r="B775">
        <v>57240262</v>
      </c>
      <c r="C775" s="36" t="s">
        <v>1214</v>
      </c>
      <c r="D775" s="37">
        <v>41989.840671296297</v>
      </c>
      <c r="E775" s="37">
        <v>41989.845381944448</v>
      </c>
      <c r="U775">
        <v>16</v>
      </c>
      <c r="W775" s="47"/>
    </row>
    <row r="776" spans="1:23">
      <c r="A776">
        <v>3652328080</v>
      </c>
      <c r="B776">
        <v>57240262</v>
      </c>
      <c r="C776" s="36" t="s">
        <v>1215</v>
      </c>
      <c r="D776" s="37">
        <v>41989.853506944448</v>
      </c>
      <c r="E776" s="37">
        <v>41989.860509259262</v>
      </c>
      <c r="G776">
        <v>2</v>
      </c>
      <c r="K776">
        <v>6</v>
      </c>
      <c r="N776">
        <v>9</v>
      </c>
      <c r="O776">
        <v>10</v>
      </c>
      <c r="R776">
        <v>13</v>
      </c>
      <c r="V776" s="42" t="s">
        <v>182</v>
      </c>
      <c r="W776" s="47">
        <v>10</v>
      </c>
    </row>
    <row r="777" spans="1:23">
      <c r="A777">
        <v>3652373859</v>
      </c>
      <c r="B777">
        <v>57240262</v>
      </c>
      <c r="C777" s="36" t="s">
        <v>1216</v>
      </c>
      <c r="D777" s="37">
        <v>41989.866469907407</v>
      </c>
      <c r="E777" s="37">
        <v>41989.870729166665</v>
      </c>
      <c r="G777">
        <v>2</v>
      </c>
      <c r="K777">
        <v>6</v>
      </c>
      <c r="O777">
        <v>10</v>
      </c>
      <c r="V777" s="42" t="s">
        <v>181</v>
      </c>
      <c r="W777" s="47">
        <v>2</v>
      </c>
    </row>
    <row r="778" spans="1:23" hidden="1">
      <c r="A778">
        <v>3652388142</v>
      </c>
      <c r="B778">
        <v>57240262</v>
      </c>
      <c r="C778" s="36" t="s">
        <v>1217</v>
      </c>
      <c r="D778" s="37">
        <v>41989.870393518519</v>
      </c>
      <c r="E778" s="37">
        <v>41989.875324074077</v>
      </c>
      <c r="O778">
        <v>10</v>
      </c>
      <c r="R778">
        <v>13</v>
      </c>
      <c r="W778" s="47"/>
    </row>
    <row r="779" spans="1:23" ht="24">
      <c r="A779">
        <v>3652388850</v>
      </c>
      <c r="B779">
        <v>57240262</v>
      </c>
      <c r="C779" s="36" t="s">
        <v>606</v>
      </c>
      <c r="D779" s="37">
        <v>41989.870613425926</v>
      </c>
      <c r="E779" s="37">
        <v>41989.878969907404</v>
      </c>
      <c r="F779">
        <v>1</v>
      </c>
      <c r="G779">
        <v>2</v>
      </c>
      <c r="H779">
        <v>3</v>
      </c>
      <c r="K779">
        <v>6</v>
      </c>
      <c r="O779">
        <v>10</v>
      </c>
      <c r="V779" s="42" t="s">
        <v>179</v>
      </c>
      <c r="W779" s="47">
        <v>2</v>
      </c>
    </row>
    <row r="780" spans="1:23">
      <c r="A780">
        <v>3652383911</v>
      </c>
      <c r="B780">
        <v>57240262</v>
      </c>
      <c r="C780" s="36" t="s">
        <v>600</v>
      </c>
      <c r="D780" s="37">
        <v>41989.869108796294</v>
      </c>
      <c r="E780" s="37">
        <v>41989.885185185187</v>
      </c>
      <c r="F780">
        <v>1</v>
      </c>
      <c r="G780">
        <v>2</v>
      </c>
      <c r="K780">
        <v>6</v>
      </c>
      <c r="P780">
        <v>11</v>
      </c>
      <c r="R780">
        <v>13</v>
      </c>
      <c r="V780" s="42" t="s">
        <v>180</v>
      </c>
      <c r="W780" s="47">
        <v>13</v>
      </c>
    </row>
    <row r="781" spans="1:23">
      <c r="A781">
        <v>3652452016</v>
      </c>
      <c r="B781">
        <v>57240262</v>
      </c>
      <c r="C781" s="36" t="s">
        <v>1218</v>
      </c>
      <c r="D781" s="37">
        <v>41989.887650462966</v>
      </c>
      <c r="E781" s="37">
        <v>41989.891296296293</v>
      </c>
      <c r="F781">
        <v>1</v>
      </c>
      <c r="G781">
        <v>2</v>
      </c>
      <c r="H781">
        <v>3</v>
      </c>
      <c r="I781">
        <v>4</v>
      </c>
      <c r="J781">
        <v>5</v>
      </c>
      <c r="N781">
        <v>9</v>
      </c>
      <c r="O781">
        <v>10</v>
      </c>
      <c r="P781">
        <v>11</v>
      </c>
      <c r="Q781">
        <v>12</v>
      </c>
      <c r="R781">
        <v>13</v>
      </c>
      <c r="S781">
        <v>14</v>
      </c>
      <c r="V781" s="42" t="s">
        <v>178</v>
      </c>
      <c r="W781" s="47">
        <v>9</v>
      </c>
    </row>
    <row r="782" spans="1:23" hidden="1">
      <c r="A782">
        <v>3652461808</v>
      </c>
      <c r="B782">
        <v>57240262</v>
      </c>
      <c r="C782" s="36" t="s">
        <v>1219</v>
      </c>
      <c r="D782" s="37">
        <v>41989.88994212963</v>
      </c>
      <c r="E782" s="37">
        <v>41989.895555555559</v>
      </c>
      <c r="F782">
        <v>1</v>
      </c>
      <c r="I782">
        <v>4</v>
      </c>
      <c r="O782">
        <v>10</v>
      </c>
      <c r="P782">
        <v>11</v>
      </c>
      <c r="W782" s="47"/>
    </row>
    <row r="783" spans="1:23" hidden="1">
      <c r="A783">
        <v>3652464571</v>
      </c>
      <c r="B783">
        <v>57240262</v>
      </c>
      <c r="C783" s="36" t="s">
        <v>1220</v>
      </c>
      <c r="D783" s="37">
        <v>41989.890983796293</v>
      </c>
      <c r="E783" s="37">
        <v>41989.897592592592</v>
      </c>
      <c r="I783">
        <v>4</v>
      </c>
      <c r="O783">
        <v>10</v>
      </c>
      <c r="Q783">
        <v>12</v>
      </c>
      <c r="W783" s="47"/>
    </row>
    <row r="784" spans="1:23" hidden="1">
      <c r="A784">
        <v>3652588055</v>
      </c>
      <c r="B784">
        <v>57240262</v>
      </c>
      <c r="C784" s="36" t="s">
        <v>2336</v>
      </c>
      <c r="D784" s="37">
        <v>41989.924050925925</v>
      </c>
      <c r="E784" s="37">
        <v>41989.924768518518</v>
      </c>
      <c r="W784" s="47"/>
    </row>
    <row r="785" spans="1:23" hidden="1">
      <c r="A785">
        <v>3652552418</v>
      </c>
      <c r="B785">
        <v>57240262</v>
      </c>
      <c r="C785" s="36" t="s">
        <v>607</v>
      </c>
      <c r="D785" s="37">
        <v>41989.914120370369</v>
      </c>
      <c r="E785" s="37">
        <v>41989.93346064815</v>
      </c>
      <c r="U785">
        <v>16</v>
      </c>
      <c r="W785" s="47"/>
    </row>
    <row r="786" spans="1:23" hidden="1">
      <c r="A786">
        <v>3652623952</v>
      </c>
      <c r="B786">
        <v>57240262</v>
      </c>
      <c r="C786" s="36" t="s">
        <v>1221</v>
      </c>
      <c r="D786" s="37">
        <v>41989.934212962966</v>
      </c>
      <c r="E786" s="37">
        <v>41989.936296296299</v>
      </c>
      <c r="U786">
        <v>16</v>
      </c>
      <c r="W786" s="47"/>
    </row>
    <row r="787" spans="1:23" hidden="1">
      <c r="A787">
        <v>3652645605</v>
      </c>
      <c r="B787">
        <v>57240262</v>
      </c>
      <c r="C787" s="36" t="s">
        <v>2337</v>
      </c>
      <c r="D787" s="37">
        <v>41989.940462962964</v>
      </c>
      <c r="E787" s="37">
        <v>41989.94127314815</v>
      </c>
      <c r="W787" s="47"/>
    </row>
    <row r="788" spans="1:23" hidden="1">
      <c r="A788">
        <v>3652649321</v>
      </c>
      <c r="B788">
        <v>57240262</v>
      </c>
      <c r="C788" s="36" t="s">
        <v>610</v>
      </c>
      <c r="D788" s="37">
        <v>41989.935879629629</v>
      </c>
      <c r="E788" s="37">
        <v>41989.942893518521</v>
      </c>
      <c r="J788">
        <v>5</v>
      </c>
      <c r="W788" s="47"/>
    </row>
    <row r="789" spans="1:23" hidden="1">
      <c r="A789">
        <v>3652632408</v>
      </c>
      <c r="B789">
        <v>57240262</v>
      </c>
      <c r="C789" s="36" t="s">
        <v>608</v>
      </c>
      <c r="D789" s="37">
        <v>41989.936423611114</v>
      </c>
      <c r="E789" s="37">
        <v>41989.944351851853</v>
      </c>
      <c r="U789">
        <v>16</v>
      </c>
      <c r="W789" s="47"/>
    </row>
    <row r="790" spans="1:23">
      <c r="A790">
        <v>3652645633</v>
      </c>
      <c r="B790">
        <v>57240262</v>
      </c>
      <c r="C790" s="36" t="s">
        <v>1222</v>
      </c>
      <c r="D790" s="37">
        <v>41989.940428240741</v>
      </c>
      <c r="E790" s="37">
        <v>41989.948171296295</v>
      </c>
      <c r="G790">
        <v>2</v>
      </c>
      <c r="H790">
        <v>3</v>
      </c>
      <c r="K790">
        <v>6</v>
      </c>
      <c r="O790">
        <v>10</v>
      </c>
      <c r="P790">
        <v>11</v>
      </c>
      <c r="Q790">
        <v>12</v>
      </c>
      <c r="V790" s="42" t="s">
        <v>31</v>
      </c>
      <c r="W790" s="47">
        <v>2</v>
      </c>
    </row>
    <row r="791" spans="1:23" hidden="1">
      <c r="A791">
        <v>3652705538</v>
      </c>
      <c r="B791">
        <v>57240262</v>
      </c>
      <c r="C791" s="36" t="s">
        <v>1223</v>
      </c>
      <c r="D791" s="37">
        <v>41989.959131944444</v>
      </c>
      <c r="E791" s="37">
        <v>41989.959699074076</v>
      </c>
      <c r="F791">
        <v>1</v>
      </c>
      <c r="K791">
        <v>6</v>
      </c>
      <c r="O791">
        <v>10</v>
      </c>
      <c r="W791" s="47"/>
    </row>
    <row r="792" spans="1:23" hidden="1">
      <c r="A792">
        <v>3652695780</v>
      </c>
      <c r="B792">
        <v>57240262</v>
      </c>
      <c r="C792" s="36" t="s">
        <v>609</v>
      </c>
      <c r="D792" s="37">
        <v>41989.955740740741</v>
      </c>
      <c r="E792" s="37">
        <v>41989.961018518516</v>
      </c>
      <c r="U792">
        <v>16</v>
      </c>
      <c r="W792" s="47"/>
    </row>
    <row r="793" spans="1:23" hidden="1">
      <c r="A793">
        <v>3652744843</v>
      </c>
      <c r="B793">
        <v>57240262</v>
      </c>
      <c r="C793" s="36" t="s">
        <v>1224</v>
      </c>
      <c r="D793" s="37">
        <v>41989.972418981481</v>
      </c>
      <c r="E793" s="37">
        <v>41989.977118055554</v>
      </c>
      <c r="U793">
        <v>16</v>
      </c>
      <c r="W793" s="47"/>
    </row>
    <row r="794" spans="1:23" hidden="1">
      <c r="A794">
        <v>3652734550</v>
      </c>
      <c r="B794">
        <v>57240262</v>
      </c>
      <c r="C794" s="36" t="s">
        <v>651</v>
      </c>
      <c r="D794" s="37">
        <v>41989.968611111108</v>
      </c>
      <c r="E794" s="37">
        <v>41989.982581018521</v>
      </c>
      <c r="U794">
        <v>16</v>
      </c>
      <c r="W794" s="47"/>
    </row>
    <row r="795" spans="1:23">
      <c r="A795">
        <v>3652765140</v>
      </c>
      <c r="B795">
        <v>57240262</v>
      </c>
      <c r="C795" s="36" t="s">
        <v>1225</v>
      </c>
      <c r="D795" s="37">
        <v>41989.979803240742</v>
      </c>
      <c r="E795" s="37">
        <v>41989.984178240738</v>
      </c>
      <c r="F795">
        <v>1</v>
      </c>
      <c r="G795">
        <v>2</v>
      </c>
      <c r="I795">
        <v>4</v>
      </c>
      <c r="N795">
        <v>9</v>
      </c>
      <c r="O795">
        <v>10</v>
      </c>
      <c r="P795">
        <v>11</v>
      </c>
      <c r="V795" s="42" t="s">
        <v>91</v>
      </c>
      <c r="W795" s="47">
        <v>9</v>
      </c>
    </row>
    <row r="796" spans="1:23">
      <c r="A796">
        <v>3652780700</v>
      </c>
      <c r="B796">
        <v>57240262</v>
      </c>
      <c r="C796" s="36" t="s">
        <v>1226</v>
      </c>
      <c r="D796" s="37">
        <v>41989.984837962962</v>
      </c>
      <c r="E796" s="37">
        <v>41989.990613425929</v>
      </c>
      <c r="K796">
        <v>6</v>
      </c>
      <c r="O796">
        <v>10</v>
      </c>
      <c r="V796" s="42" t="s">
        <v>34</v>
      </c>
      <c r="W796" s="47">
        <v>6</v>
      </c>
    </row>
    <row r="797" spans="1:23" hidden="1">
      <c r="A797">
        <v>3652792482</v>
      </c>
      <c r="B797">
        <v>57240262</v>
      </c>
      <c r="C797" s="36" t="s">
        <v>611</v>
      </c>
      <c r="D797" s="37">
        <v>41989.99009259259</v>
      </c>
      <c r="E797" s="37">
        <v>41989.994606481479</v>
      </c>
      <c r="I797">
        <v>4</v>
      </c>
      <c r="K797">
        <v>6</v>
      </c>
      <c r="Q797">
        <v>12</v>
      </c>
      <c r="W797" s="47"/>
    </row>
    <row r="798" spans="1:23" hidden="1">
      <c r="A798">
        <v>3652791979</v>
      </c>
      <c r="B798">
        <v>57240262</v>
      </c>
      <c r="C798" s="36" t="s">
        <v>1227</v>
      </c>
      <c r="D798" s="37">
        <v>41989.989745370367</v>
      </c>
      <c r="E798" s="37">
        <v>41989.996192129627</v>
      </c>
      <c r="F798">
        <v>1</v>
      </c>
      <c r="I798">
        <v>4</v>
      </c>
      <c r="K798">
        <v>6</v>
      </c>
      <c r="M798">
        <v>8</v>
      </c>
      <c r="O798">
        <v>10</v>
      </c>
      <c r="W798" s="47"/>
    </row>
    <row r="799" spans="1:23" hidden="1">
      <c r="A799">
        <v>3652810653</v>
      </c>
      <c r="B799">
        <v>57240262</v>
      </c>
      <c r="C799" s="36" t="s">
        <v>1228</v>
      </c>
      <c r="D799" s="37">
        <v>41989.997187499997</v>
      </c>
      <c r="E799" s="37">
        <v>41990.021469907406</v>
      </c>
      <c r="G799">
        <v>2</v>
      </c>
      <c r="W799" s="47"/>
    </row>
    <row r="800" spans="1:23" hidden="1">
      <c r="A800">
        <v>3652864522</v>
      </c>
      <c r="B800">
        <v>57240262</v>
      </c>
      <c r="C800" s="36" t="s">
        <v>1229</v>
      </c>
      <c r="D800" s="37">
        <v>41990.02002314815</v>
      </c>
      <c r="E800" s="37">
        <v>41990.023032407407</v>
      </c>
      <c r="F800">
        <v>1</v>
      </c>
      <c r="G800">
        <v>2</v>
      </c>
      <c r="Q800">
        <v>12</v>
      </c>
      <c r="W800" s="47"/>
    </row>
    <row r="801" spans="1:23" hidden="1">
      <c r="A801">
        <v>3652886090</v>
      </c>
      <c r="B801">
        <v>57240262</v>
      </c>
      <c r="C801" s="36" t="s">
        <v>1230</v>
      </c>
      <c r="D801" s="37">
        <v>41990.030624999999</v>
      </c>
      <c r="E801" s="37">
        <v>41990.057592592595</v>
      </c>
      <c r="G801">
        <v>2</v>
      </c>
      <c r="I801">
        <v>4</v>
      </c>
      <c r="O801">
        <v>10</v>
      </c>
      <c r="P801">
        <v>11</v>
      </c>
      <c r="Q801">
        <v>12</v>
      </c>
      <c r="R801">
        <v>13</v>
      </c>
      <c r="W801" s="47"/>
    </row>
    <row r="802" spans="1:23" hidden="1">
      <c r="A802">
        <v>3653294261</v>
      </c>
      <c r="B802">
        <v>57240262</v>
      </c>
      <c r="C802" s="36" t="s">
        <v>1231</v>
      </c>
      <c r="D802" s="37">
        <v>41990.255324074074</v>
      </c>
      <c r="E802" s="37">
        <v>41990.26635416667</v>
      </c>
      <c r="G802">
        <v>2</v>
      </c>
      <c r="W802" s="47"/>
    </row>
    <row r="803" spans="1:23" hidden="1">
      <c r="A803">
        <v>3653348349</v>
      </c>
      <c r="B803">
        <v>57240262</v>
      </c>
      <c r="C803" s="36" t="s">
        <v>1232</v>
      </c>
      <c r="D803" s="37">
        <v>41990.291354166664</v>
      </c>
      <c r="E803" s="37">
        <v>41990.295358796298</v>
      </c>
      <c r="U803">
        <v>16</v>
      </c>
      <c r="W803" s="47"/>
    </row>
    <row r="804" spans="1:23" hidden="1">
      <c r="A804">
        <v>3653392820</v>
      </c>
      <c r="B804">
        <v>57240262</v>
      </c>
      <c r="C804" s="36" t="s">
        <v>1233</v>
      </c>
      <c r="D804" s="37">
        <v>41990.319513888891</v>
      </c>
      <c r="E804" s="37">
        <v>41990.323483796295</v>
      </c>
      <c r="N804">
        <v>9</v>
      </c>
      <c r="W804" s="47"/>
    </row>
    <row r="805" spans="1:23" hidden="1">
      <c r="A805">
        <v>3653394082</v>
      </c>
      <c r="B805">
        <v>57240262</v>
      </c>
      <c r="C805" s="36" t="s">
        <v>1234</v>
      </c>
      <c r="D805" s="37">
        <v>41990.320451388892</v>
      </c>
      <c r="E805" s="37">
        <v>41990.329050925924</v>
      </c>
      <c r="L805">
        <v>7</v>
      </c>
      <c r="W805" s="47"/>
    </row>
    <row r="806" spans="1:23">
      <c r="A806">
        <v>3653391322</v>
      </c>
      <c r="B806">
        <v>57240262</v>
      </c>
      <c r="C806" s="36" t="s">
        <v>613</v>
      </c>
      <c r="D806" s="37">
        <v>41990.318229166667</v>
      </c>
      <c r="E806" s="37">
        <v>41990.329930555556</v>
      </c>
      <c r="G806">
        <v>2</v>
      </c>
      <c r="O806">
        <v>10</v>
      </c>
      <c r="V806" s="42" t="s">
        <v>177</v>
      </c>
      <c r="W806" s="47">
        <v>10</v>
      </c>
    </row>
    <row r="807" spans="1:23" hidden="1">
      <c r="A807">
        <v>3653445893</v>
      </c>
      <c r="B807">
        <v>57240262</v>
      </c>
      <c r="C807" s="36" t="s">
        <v>1235</v>
      </c>
      <c r="D807" s="37">
        <v>41990.35125</v>
      </c>
      <c r="E807" s="37">
        <v>41990.356747685182</v>
      </c>
      <c r="O807">
        <v>10</v>
      </c>
      <c r="W807" s="47"/>
    </row>
    <row r="808" spans="1:23" hidden="1">
      <c r="A808">
        <v>3653449986</v>
      </c>
      <c r="B808">
        <v>57240262</v>
      </c>
      <c r="C808" s="36" t="s">
        <v>1236</v>
      </c>
      <c r="D808" s="37">
        <v>41990.353634259256</v>
      </c>
      <c r="E808" s="37">
        <v>41990.358807870369</v>
      </c>
      <c r="U808">
        <v>16</v>
      </c>
      <c r="W808" s="47"/>
    </row>
    <row r="809" spans="1:23" hidden="1">
      <c r="A809">
        <v>3653453322</v>
      </c>
      <c r="B809">
        <v>57240262</v>
      </c>
      <c r="C809" s="36" t="s">
        <v>1237</v>
      </c>
      <c r="D809" s="37">
        <v>41990.355416666665</v>
      </c>
      <c r="E809" s="37">
        <v>41990.36241898148</v>
      </c>
      <c r="U809">
        <v>16</v>
      </c>
      <c r="W809" s="47"/>
    </row>
    <row r="810" spans="1:23" hidden="1">
      <c r="A810">
        <v>3653473938</v>
      </c>
      <c r="B810">
        <v>57240262</v>
      </c>
      <c r="C810" s="36" t="s">
        <v>1238</v>
      </c>
      <c r="D810" s="37">
        <v>41990.367268518516</v>
      </c>
      <c r="E810" s="37">
        <v>41990.373495370368</v>
      </c>
      <c r="U810">
        <v>16</v>
      </c>
      <c r="W810" s="47"/>
    </row>
    <row r="811" spans="1:23" hidden="1">
      <c r="A811">
        <v>3653480983</v>
      </c>
      <c r="B811">
        <v>57240262</v>
      </c>
      <c r="C811" s="36" t="s">
        <v>614</v>
      </c>
      <c r="D811" s="37">
        <v>41990.371006944442</v>
      </c>
      <c r="E811" s="37">
        <v>41990.374097222222</v>
      </c>
      <c r="F811">
        <v>1</v>
      </c>
      <c r="K811">
        <v>6</v>
      </c>
      <c r="W811" s="47"/>
    </row>
    <row r="812" spans="1:23" hidden="1">
      <c r="A812">
        <v>3653478214</v>
      </c>
      <c r="B812">
        <v>57240262</v>
      </c>
      <c r="C812" s="36" t="s">
        <v>1239</v>
      </c>
      <c r="D812" s="37">
        <v>41990.36824074074</v>
      </c>
      <c r="E812" s="37">
        <v>41990.37427083333</v>
      </c>
      <c r="F812">
        <v>1</v>
      </c>
      <c r="N812">
        <v>9</v>
      </c>
      <c r="W812" s="47"/>
    </row>
    <row r="813" spans="1:23" hidden="1">
      <c r="A813">
        <v>3653489757</v>
      </c>
      <c r="B813">
        <v>57240262</v>
      </c>
      <c r="C813" s="36" t="s">
        <v>2338</v>
      </c>
      <c r="D813" s="37">
        <v>41990.375671296293</v>
      </c>
      <c r="E813" s="37">
        <v>41990.376180555555</v>
      </c>
      <c r="W813" s="47"/>
    </row>
    <row r="814" spans="1:23" hidden="1">
      <c r="A814">
        <v>3653489390</v>
      </c>
      <c r="B814">
        <v>57240262</v>
      </c>
      <c r="C814" s="36" t="s">
        <v>615</v>
      </c>
      <c r="D814" s="37">
        <v>41990.375497685185</v>
      </c>
      <c r="E814" s="37">
        <v>41990.37736111111</v>
      </c>
      <c r="U814">
        <v>16</v>
      </c>
      <c r="W814" s="47"/>
    </row>
    <row r="815" spans="1:23" hidden="1">
      <c r="A815">
        <v>3653489067</v>
      </c>
      <c r="B815">
        <v>57240262</v>
      </c>
      <c r="C815" s="36" t="s">
        <v>1240</v>
      </c>
      <c r="D815" s="37">
        <v>41990.375277777777</v>
      </c>
      <c r="E815" s="37">
        <v>41990.378645833334</v>
      </c>
      <c r="J815">
        <v>5</v>
      </c>
      <c r="W815" s="47"/>
    </row>
    <row r="816" spans="1:23" hidden="1">
      <c r="A816">
        <v>3653494699</v>
      </c>
      <c r="B816">
        <v>57240262</v>
      </c>
      <c r="C816" s="36" t="s">
        <v>1241</v>
      </c>
      <c r="D816" s="37">
        <v>41990.378194444442</v>
      </c>
      <c r="E816" s="37">
        <v>41990.38422453704</v>
      </c>
      <c r="F816">
        <v>1</v>
      </c>
      <c r="O816">
        <v>10</v>
      </c>
      <c r="Q816">
        <v>12</v>
      </c>
      <c r="W816" s="47"/>
    </row>
    <row r="817" spans="1:23" hidden="1">
      <c r="A817">
        <v>3653506152</v>
      </c>
      <c r="B817">
        <v>57240262</v>
      </c>
      <c r="C817" s="36" t="s">
        <v>1242</v>
      </c>
      <c r="D817" s="37">
        <v>41990.383981481478</v>
      </c>
      <c r="E817" s="37">
        <v>41990.387939814813</v>
      </c>
      <c r="F817">
        <v>1</v>
      </c>
      <c r="W817" s="47"/>
    </row>
    <row r="818" spans="1:23" hidden="1">
      <c r="A818">
        <v>3653502880</v>
      </c>
      <c r="B818">
        <v>57240262</v>
      </c>
      <c r="C818" s="36" t="s">
        <v>616</v>
      </c>
      <c r="D818" s="37">
        <v>41990.381597222222</v>
      </c>
      <c r="E818" s="37">
        <v>41990.389085648145</v>
      </c>
      <c r="J818">
        <v>5</v>
      </c>
      <c r="W818" s="47"/>
    </row>
    <row r="819" spans="1:23" hidden="1">
      <c r="A819">
        <v>3653513848</v>
      </c>
      <c r="B819">
        <v>57240262</v>
      </c>
      <c r="C819" s="36" t="s">
        <v>1243</v>
      </c>
      <c r="D819" s="37">
        <v>41990.387928240743</v>
      </c>
      <c r="E819" s="37">
        <v>41990.39570601852</v>
      </c>
      <c r="U819">
        <v>16</v>
      </c>
      <c r="W819" s="47"/>
    </row>
    <row r="820" spans="1:23" hidden="1">
      <c r="A820">
        <v>3653541809</v>
      </c>
      <c r="B820">
        <v>57240262</v>
      </c>
      <c r="C820" s="36" t="s">
        <v>1244</v>
      </c>
      <c r="D820" s="37">
        <v>41990.40215277778</v>
      </c>
      <c r="E820" s="37">
        <v>41990.407314814816</v>
      </c>
      <c r="U820">
        <v>16</v>
      </c>
      <c r="W820" s="47"/>
    </row>
    <row r="821" spans="1:23" hidden="1">
      <c r="A821">
        <v>3653553674</v>
      </c>
      <c r="B821">
        <v>57240262</v>
      </c>
      <c r="C821" s="36" t="s">
        <v>1245</v>
      </c>
      <c r="D821" s="37">
        <v>41990.40724537037</v>
      </c>
      <c r="E821" s="37">
        <v>41990.41065972222</v>
      </c>
      <c r="U821">
        <v>16</v>
      </c>
      <c r="W821" s="47"/>
    </row>
    <row r="822" spans="1:23" hidden="1">
      <c r="A822">
        <v>3653558012</v>
      </c>
      <c r="B822">
        <v>57240262</v>
      </c>
      <c r="C822" s="36" t="s">
        <v>2339</v>
      </c>
      <c r="D822" s="37">
        <v>41990.40996527778</v>
      </c>
      <c r="E822" s="37">
        <v>41990.411168981482</v>
      </c>
      <c r="W822" s="47"/>
    </row>
    <row r="823" spans="1:23" hidden="1">
      <c r="A823">
        <v>3653553861</v>
      </c>
      <c r="B823">
        <v>57240262</v>
      </c>
      <c r="C823" s="36" t="s">
        <v>617</v>
      </c>
      <c r="D823" s="37">
        <v>41990.407951388886</v>
      </c>
      <c r="E823" s="37">
        <v>41990.412951388891</v>
      </c>
      <c r="U823">
        <v>16</v>
      </c>
      <c r="W823" s="47"/>
    </row>
    <row r="824" spans="1:23">
      <c r="A824">
        <v>3653556176</v>
      </c>
      <c r="B824">
        <v>57240262</v>
      </c>
      <c r="C824" s="36" t="s">
        <v>1246</v>
      </c>
      <c r="D824" s="37">
        <v>41990.409351851849</v>
      </c>
      <c r="E824" s="37">
        <v>41990.423263888886</v>
      </c>
      <c r="F824">
        <v>1</v>
      </c>
      <c r="I824">
        <v>4</v>
      </c>
      <c r="J824">
        <v>5</v>
      </c>
      <c r="M824">
        <v>8</v>
      </c>
      <c r="O824">
        <v>10</v>
      </c>
      <c r="V824" s="42" t="s">
        <v>176</v>
      </c>
      <c r="W824" s="47">
        <v>5</v>
      </c>
    </row>
    <row r="825" spans="1:23">
      <c r="A825">
        <v>3653581432</v>
      </c>
      <c r="B825">
        <v>57240262</v>
      </c>
      <c r="C825" s="36" t="s">
        <v>1247</v>
      </c>
      <c r="D825" s="37">
        <v>41990.4215625</v>
      </c>
      <c r="E825" s="37">
        <v>41990.430092592593</v>
      </c>
      <c r="J825">
        <v>5</v>
      </c>
      <c r="K825">
        <v>6</v>
      </c>
      <c r="N825">
        <v>9</v>
      </c>
      <c r="R825">
        <v>13</v>
      </c>
      <c r="V825" s="42" t="s">
        <v>174</v>
      </c>
      <c r="W825" s="47">
        <v>13</v>
      </c>
    </row>
    <row r="826" spans="1:23" hidden="1">
      <c r="A826">
        <v>3653587611</v>
      </c>
      <c r="B826">
        <v>57240262</v>
      </c>
      <c r="C826" s="36" t="s">
        <v>1248</v>
      </c>
      <c r="D826" s="37">
        <v>41990.424456018518</v>
      </c>
      <c r="E826" s="37">
        <v>41990.432175925926</v>
      </c>
      <c r="N826">
        <v>9</v>
      </c>
      <c r="W826" s="47"/>
    </row>
    <row r="827" spans="1:23" ht="24">
      <c r="A827">
        <v>3653559910</v>
      </c>
      <c r="B827">
        <v>57240262</v>
      </c>
      <c r="C827" s="36" t="s">
        <v>619</v>
      </c>
      <c r="D827" s="37">
        <v>41990.411122685182</v>
      </c>
      <c r="E827" s="37">
        <v>41990.432824074072</v>
      </c>
      <c r="M827">
        <v>8</v>
      </c>
      <c r="R827">
        <v>13</v>
      </c>
      <c r="V827" s="42" t="s">
        <v>175</v>
      </c>
      <c r="W827" s="47">
        <v>13</v>
      </c>
    </row>
    <row r="828" spans="1:23" hidden="1">
      <c r="A828">
        <v>3653622261</v>
      </c>
      <c r="B828">
        <v>57240262</v>
      </c>
      <c r="C828" s="36" t="s">
        <v>2340</v>
      </c>
      <c r="D828" s="37">
        <v>41990.441157407404</v>
      </c>
      <c r="E828" s="37">
        <v>41990.442210648151</v>
      </c>
      <c r="W828" s="47"/>
    </row>
    <row r="829" spans="1:23" hidden="1">
      <c r="A829">
        <v>3653617864</v>
      </c>
      <c r="B829">
        <v>57240262</v>
      </c>
      <c r="C829" s="36" t="s">
        <v>620</v>
      </c>
      <c r="D829" s="37">
        <v>41990.439247685186</v>
      </c>
      <c r="E829" s="37">
        <v>41990.445011574076</v>
      </c>
      <c r="U829">
        <v>16</v>
      </c>
      <c r="W829" s="47"/>
    </row>
    <row r="830" spans="1:23">
      <c r="A830">
        <v>3653594734</v>
      </c>
      <c r="B830">
        <v>57240262</v>
      </c>
      <c r="C830" s="36" t="s">
        <v>621</v>
      </c>
      <c r="D830" s="37">
        <v>41990.427916666667</v>
      </c>
      <c r="E830" s="37">
        <v>41990.445937500001</v>
      </c>
      <c r="M830">
        <v>8</v>
      </c>
      <c r="N830">
        <v>9</v>
      </c>
      <c r="O830">
        <v>10</v>
      </c>
      <c r="R830">
        <v>13</v>
      </c>
      <c r="S830">
        <v>14</v>
      </c>
      <c r="V830" s="42" t="s">
        <v>173</v>
      </c>
      <c r="W830" s="47">
        <v>8</v>
      </c>
    </row>
    <row r="831" spans="1:23" hidden="1">
      <c r="A831">
        <v>3653625626</v>
      </c>
      <c r="B831">
        <v>57240262</v>
      </c>
      <c r="C831" s="36" t="s">
        <v>1249</v>
      </c>
      <c r="D831" s="37">
        <v>41990.443090277775</v>
      </c>
      <c r="E831" s="37">
        <v>41990.449317129627</v>
      </c>
      <c r="U831">
        <v>16</v>
      </c>
      <c r="W831" s="47"/>
    </row>
    <row r="832" spans="1:23">
      <c r="A832">
        <v>3653644388</v>
      </c>
      <c r="B832">
        <v>57240262</v>
      </c>
      <c r="C832" s="36" t="s">
        <v>1250</v>
      </c>
      <c r="D832" s="37">
        <v>41990.451365740744</v>
      </c>
      <c r="E832" s="37">
        <v>41990.468391203707</v>
      </c>
      <c r="G832">
        <v>2</v>
      </c>
      <c r="K832">
        <v>6</v>
      </c>
      <c r="O832">
        <v>10</v>
      </c>
      <c r="V832" s="42" t="s">
        <v>31</v>
      </c>
      <c r="W832" s="47">
        <v>2</v>
      </c>
    </row>
    <row r="833" spans="1:23" hidden="1">
      <c r="A833">
        <v>3653653929</v>
      </c>
      <c r="B833">
        <v>57240262</v>
      </c>
      <c r="C833" s="36" t="s">
        <v>1251</v>
      </c>
      <c r="D833" s="37">
        <v>41990.454965277779</v>
      </c>
      <c r="E833" s="37">
        <v>41990.469143518516</v>
      </c>
      <c r="U833">
        <v>16</v>
      </c>
      <c r="W833" s="47"/>
    </row>
    <row r="834" spans="1:23" hidden="1">
      <c r="A834">
        <v>3653671911</v>
      </c>
      <c r="B834">
        <v>57240262</v>
      </c>
      <c r="C834" s="36" t="s">
        <v>652</v>
      </c>
      <c r="D834" s="37">
        <v>41990.464861111112</v>
      </c>
      <c r="E834" s="37">
        <v>41990.474236111113</v>
      </c>
      <c r="N834">
        <v>9</v>
      </c>
      <c r="Q834">
        <v>12</v>
      </c>
      <c r="W834" s="47"/>
    </row>
    <row r="835" spans="1:23" hidden="1">
      <c r="A835">
        <v>3653567788</v>
      </c>
      <c r="B835">
        <v>57240262</v>
      </c>
      <c r="C835" s="36" t="s">
        <v>618</v>
      </c>
      <c r="D835" s="37">
        <v>41990.414363425924</v>
      </c>
      <c r="E835" s="37">
        <v>41990.485972222225</v>
      </c>
      <c r="U835">
        <v>16</v>
      </c>
      <c r="W835" s="47"/>
    </row>
    <row r="836" spans="1:23" hidden="1">
      <c r="A836">
        <v>3653737133</v>
      </c>
      <c r="B836">
        <v>57240262</v>
      </c>
      <c r="C836" s="36" t="s">
        <v>622</v>
      </c>
      <c r="D836" s="37">
        <v>41990.493148148147</v>
      </c>
      <c r="E836" s="37">
        <v>41990.493773148148</v>
      </c>
      <c r="U836">
        <v>16</v>
      </c>
      <c r="W836" s="47"/>
    </row>
    <row r="837" spans="1:23">
      <c r="A837">
        <v>3653714584</v>
      </c>
      <c r="B837">
        <v>57240262</v>
      </c>
      <c r="C837" s="36" t="s">
        <v>1252</v>
      </c>
      <c r="D837" s="37">
        <v>41990.483472222222</v>
      </c>
      <c r="E837" s="37">
        <v>41990.494583333333</v>
      </c>
      <c r="F837">
        <v>1</v>
      </c>
      <c r="I837">
        <v>4</v>
      </c>
      <c r="K837">
        <v>6</v>
      </c>
      <c r="M837">
        <v>8</v>
      </c>
      <c r="V837" s="42" t="s">
        <v>172</v>
      </c>
      <c r="W837" s="47">
        <v>4</v>
      </c>
    </row>
    <row r="838" spans="1:23" hidden="1">
      <c r="A838">
        <v>3653835532</v>
      </c>
      <c r="B838">
        <v>57240262</v>
      </c>
      <c r="C838" s="36" t="s">
        <v>1253</v>
      </c>
      <c r="D838" s="37">
        <v>41990.532395833332</v>
      </c>
      <c r="E838" s="37">
        <v>41990.535543981481</v>
      </c>
      <c r="U838">
        <v>16</v>
      </c>
      <c r="W838" s="47"/>
    </row>
    <row r="839" spans="1:23" hidden="1">
      <c r="A839">
        <v>3653839960</v>
      </c>
      <c r="B839">
        <v>57240262</v>
      </c>
      <c r="C839" s="36" t="s">
        <v>1254</v>
      </c>
      <c r="D839" s="37">
        <v>41990.534085648149</v>
      </c>
      <c r="E839" s="37">
        <v>41990.536817129629</v>
      </c>
      <c r="U839">
        <v>16</v>
      </c>
      <c r="W839" s="47"/>
    </row>
    <row r="840" spans="1:23" hidden="1">
      <c r="A840">
        <v>3654011488</v>
      </c>
      <c r="B840">
        <v>57240262</v>
      </c>
      <c r="C840" s="36" t="s">
        <v>625</v>
      </c>
      <c r="D840" s="37">
        <v>41990.588101851848</v>
      </c>
      <c r="E840" s="37">
        <v>41990.594004629631</v>
      </c>
      <c r="G840">
        <v>2</v>
      </c>
      <c r="O840">
        <v>10</v>
      </c>
      <c r="Q840">
        <v>12</v>
      </c>
      <c r="W840" s="47"/>
    </row>
    <row r="841" spans="1:23" hidden="1">
      <c r="A841">
        <v>3654028329</v>
      </c>
      <c r="B841">
        <v>57240262</v>
      </c>
      <c r="C841" s="36" t="s">
        <v>624</v>
      </c>
      <c r="D841" s="37">
        <v>41990.59306712963</v>
      </c>
      <c r="E841" s="37">
        <v>41990.596643518518</v>
      </c>
      <c r="U841">
        <v>16</v>
      </c>
      <c r="W841" s="47"/>
    </row>
    <row r="842" spans="1:23" hidden="1">
      <c r="A842">
        <v>3653931425</v>
      </c>
      <c r="B842">
        <v>57240262</v>
      </c>
      <c r="C842" s="36" t="s">
        <v>1255</v>
      </c>
      <c r="D842" s="37">
        <v>41990.564664351848</v>
      </c>
      <c r="E842" s="37">
        <v>41990.608437499999</v>
      </c>
      <c r="F842">
        <v>1</v>
      </c>
      <c r="G842">
        <v>2</v>
      </c>
      <c r="Q842">
        <v>12</v>
      </c>
      <c r="W842" s="47"/>
    </row>
    <row r="843" spans="1:23" hidden="1">
      <c r="A843">
        <v>3653878380</v>
      </c>
      <c r="B843">
        <v>57240262</v>
      </c>
      <c r="C843" s="36" t="s">
        <v>623</v>
      </c>
      <c r="D843" s="37">
        <v>41990.547627314816</v>
      </c>
      <c r="E843" s="37">
        <v>41990.622627314813</v>
      </c>
      <c r="F843">
        <v>1</v>
      </c>
      <c r="G843">
        <v>2</v>
      </c>
      <c r="I843">
        <v>4</v>
      </c>
      <c r="K843">
        <v>6</v>
      </c>
      <c r="M843">
        <v>8</v>
      </c>
      <c r="N843">
        <v>9</v>
      </c>
      <c r="O843">
        <v>10</v>
      </c>
      <c r="P843">
        <v>11</v>
      </c>
      <c r="R843">
        <v>13</v>
      </c>
      <c r="W843" s="47"/>
    </row>
    <row r="844" spans="1:23" hidden="1">
      <c r="A844">
        <v>3654188419</v>
      </c>
      <c r="B844">
        <v>57240262</v>
      </c>
      <c r="C844" s="36" t="s">
        <v>1256</v>
      </c>
      <c r="D844" s="37">
        <v>41990.635578703703</v>
      </c>
      <c r="E844" s="37">
        <v>41990.640347222223</v>
      </c>
      <c r="U844">
        <v>16</v>
      </c>
      <c r="W844" s="47"/>
    </row>
    <row r="845" spans="1:23" hidden="1">
      <c r="A845">
        <v>3654260508</v>
      </c>
      <c r="B845">
        <v>57240262</v>
      </c>
      <c r="C845" s="36" t="s">
        <v>1257</v>
      </c>
      <c r="D845" s="37">
        <v>41990.654328703706</v>
      </c>
      <c r="E845" s="37">
        <v>41990.659432870372</v>
      </c>
      <c r="F845">
        <v>1</v>
      </c>
      <c r="W845" s="47"/>
    </row>
    <row r="846" spans="1:23" hidden="1">
      <c r="A846">
        <v>3654242403</v>
      </c>
      <c r="B846">
        <v>57240262</v>
      </c>
      <c r="C846" s="36" t="s">
        <v>626</v>
      </c>
      <c r="D846" s="37">
        <v>41990.64949074074</v>
      </c>
      <c r="E846" s="37">
        <v>41990.664305555554</v>
      </c>
      <c r="G846">
        <v>2</v>
      </c>
      <c r="M846">
        <v>8</v>
      </c>
      <c r="O846">
        <v>10</v>
      </c>
      <c r="P846">
        <v>11</v>
      </c>
      <c r="Q846">
        <v>12</v>
      </c>
      <c r="R846">
        <v>13</v>
      </c>
      <c r="S846">
        <v>14</v>
      </c>
      <c r="W846" s="47"/>
    </row>
    <row r="847" spans="1:23">
      <c r="A847">
        <v>3654319374</v>
      </c>
      <c r="B847">
        <v>57240262</v>
      </c>
      <c r="C847" s="36" t="s">
        <v>1258</v>
      </c>
      <c r="D847" s="37">
        <v>41990.669502314813</v>
      </c>
      <c r="E847" s="37">
        <v>41990.685995370368</v>
      </c>
      <c r="O847">
        <v>10</v>
      </c>
      <c r="Q847">
        <v>12</v>
      </c>
      <c r="V847" s="42" t="s">
        <v>171</v>
      </c>
      <c r="W847" s="47">
        <v>12</v>
      </c>
    </row>
    <row r="848" spans="1:23" hidden="1">
      <c r="A848">
        <v>3654393425</v>
      </c>
      <c r="B848">
        <v>57240262</v>
      </c>
      <c r="C848" s="36" t="s">
        <v>1259</v>
      </c>
      <c r="D848" s="37">
        <v>41988.49659722222</v>
      </c>
      <c r="E848" s="37">
        <v>41990.690092592595</v>
      </c>
      <c r="G848">
        <v>2</v>
      </c>
      <c r="I848">
        <v>4</v>
      </c>
      <c r="J848">
        <v>5</v>
      </c>
      <c r="O848">
        <v>10</v>
      </c>
      <c r="S848">
        <v>14</v>
      </c>
      <c r="W848" s="47"/>
    </row>
    <row r="849" spans="1:23" hidden="1">
      <c r="A849">
        <v>3654409813</v>
      </c>
      <c r="B849">
        <v>57240262</v>
      </c>
      <c r="C849" s="36" t="s">
        <v>1260</v>
      </c>
      <c r="D849" s="37">
        <v>41990.692754629628</v>
      </c>
      <c r="E849" s="37">
        <v>41990.69699074074</v>
      </c>
      <c r="U849">
        <v>16</v>
      </c>
      <c r="W849" s="47"/>
    </row>
    <row r="850" spans="1:23" hidden="1">
      <c r="A850">
        <v>3654420597</v>
      </c>
      <c r="B850">
        <v>57240262</v>
      </c>
      <c r="C850" s="36" t="s">
        <v>1261</v>
      </c>
      <c r="D850" s="37">
        <v>41990.691874999997</v>
      </c>
      <c r="E850" s="37">
        <v>41990.700844907406</v>
      </c>
      <c r="U850">
        <v>16</v>
      </c>
      <c r="W850" s="47"/>
    </row>
    <row r="851" spans="1:23" hidden="1">
      <c r="A851">
        <v>3654434529</v>
      </c>
      <c r="B851">
        <v>57240262</v>
      </c>
      <c r="C851" s="36" t="s">
        <v>1262</v>
      </c>
      <c r="D851" s="37">
        <v>41990.700023148151</v>
      </c>
      <c r="E851" s="37">
        <v>41990.702870370369</v>
      </c>
      <c r="U851">
        <v>16</v>
      </c>
      <c r="W851" s="47"/>
    </row>
    <row r="852" spans="1:23">
      <c r="A852">
        <v>3654589904</v>
      </c>
      <c r="B852">
        <v>57240262</v>
      </c>
      <c r="C852" s="36" t="s">
        <v>1263</v>
      </c>
      <c r="D852" s="37">
        <v>41990.743449074071</v>
      </c>
      <c r="E852" s="37">
        <v>41990.750358796293</v>
      </c>
      <c r="F852">
        <v>1</v>
      </c>
      <c r="M852">
        <v>8</v>
      </c>
      <c r="Q852">
        <v>12</v>
      </c>
      <c r="V852" s="42" t="s">
        <v>25</v>
      </c>
      <c r="W852" s="47">
        <v>1</v>
      </c>
    </row>
    <row r="853" spans="1:23" hidden="1">
      <c r="A853">
        <v>3654644746</v>
      </c>
      <c r="B853">
        <v>57240262</v>
      </c>
      <c r="C853" s="36" t="s">
        <v>1264</v>
      </c>
      <c r="D853" s="37">
        <v>41990.759131944447</v>
      </c>
      <c r="E853" s="37">
        <v>41990.769259259258</v>
      </c>
      <c r="O853">
        <v>10</v>
      </c>
      <c r="W853" s="47"/>
    </row>
    <row r="854" spans="1:23" hidden="1">
      <c r="A854">
        <v>3654746275</v>
      </c>
      <c r="B854">
        <v>57240262</v>
      </c>
      <c r="C854" s="36" t="s">
        <v>1265</v>
      </c>
      <c r="D854" s="37">
        <v>41990.789861111109</v>
      </c>
      <c r="E854" s="37">
        <v>41990.793530092589</v>
      </c>
      <c r="M854">
        <v>8</v>
      </c>
      <c r="W854" s="47"/>
    </row>
    <row r="855" spans="1:23" hidden="1">
      <c r="A855">
        <v>3654913318</v>
      </c>
      <c r="B855">
        <v>57240262</v>
      </c>
      <c r="C855" s="36" t="s">
        <v>1266</v>
      </c>
      <c r="D855" s="37">
        <v>41990.838993055557</v>
      </c>
      <c r="E855" s="37">
        <v>41990.843923611108</v>
      </c>
      <c r="F855">
        <v>1</v>
      </c>
      <c r="W855" s="47"/>
    </row>
    <row r="856" spans="1:23" hidden="1">
      <c r="A856">
        <v>3654952909</v>
      </c>
      <c r="B856">
        <v>57240262</v>
      </c>
      <c r="C856" s="36" t="s">
        <v>1267</v>
      </c>
      <c r="D856" s="37">
        <v>41990.85083333333</v>
      </c>
      <c r="E856" s="37">
        <v>41990.856932870367</v>
      </c>
      <c r="O856">
        <v>10</v>
      </c>
      <c r="W856" s="47"/>
    </row>
    <row r="857" spans="1:23" ht="24">
      <c r="A857">
        <v>3654952321</v>
      </c>
      <c r="B857">
        <v>57240262</v>
      </c>
      <c r="C857" s="36" t="s">
        <v>627</v>
      </c>
      <c r="D857" s="37">
        <v>41990.850972222222</v>
      </c>
      <c r="E857" s="37">
        <v>41990.858715277776</v>
      </c>
      <c r="F857">
        <v>1</v>
      </c>
      <c r="G857">
        <v>2</v>
      </c>
      <c r="I857">
        <v>4</v>
      </c>
      <c r="O857">
        <v>10</v>
      </c>
      <c r="P857">
        <v>11</v>
      </c>
      <c r="V857" s="42" t="s">
        <v>170</v>
      </c>
      <c r="W857" s="47">
        <v>10</v>
      </c>
    </row>
    <row r="858" spans="1:23">
      <c r="A858">
        <v>3654968866</v>
      </c>
      <c r="B858">
        <v>57240262</v>
      </c>
      <c r="C858" s="36" t="s">
        <v>1268</v>
      </c>
      <c r="D858" s="37">
        <v>41990.856099537035</v>
      </c>
      <c r="E858" s="37">
        <v>41990.865208333336</v>
      </c>
      <c r="F858">
        <v>1</v>
      </c>
      <c r="J858">
        <v>5</v>
      </c>
      <c r="K858">
        <v>6</v>
      </c>
      <c r="V858" s="42" t="s">
        <v>169</v>
      </c>
      <c r="W858" s="47">
        <v>5</v>
      </c>
    </row>
    <row r="859" spans="1:23">
      <c r="A859">
        <v>3655012743</v>
      </c>
      <c r="B859">
        <v>57240262</v>
      </c>
      <c r="C859" s="36" t="s">
        <v>1269</v>
      </c>
      <c r="D859" s="37">
        <v>41990.869583333333</v>
      </c>
      <c r="E859" s="37">
        <v>41990.874942129631</v>
      </c>
      <c r="G859">
        <v>2</v>
      </c>
      <c r="K859">
        <v>6</v>
      </c>
      <c r="R859">
        <v>13</v>
      </c>
      <c r="V859" s="42" t="s">
        <v>20</v>
      </c>
      <c r="W859" s="47">
        <v>2</v>
      </c>
    </row>
    <row r="860" spans="1:23" hidden="1">
      <c r="A860">
        <v>3654948735</v>
      </c>
      <c r="B860">
        <v>57240262</v>
      </c>
      <c r="C860" s="36" t="s">
        <v>628</v>
      </c>
      <c r="D860" s="37">
        <v>41990.849398148152</v>
      </c>
      <c r="E860" s="37">
        <v>41990.877314814818</v>
      </c>
      <c r="U860">
        <v>16</v>
      </c>
      <c r="W860" s="47"/>
    </row>
    <row r="861" spans="1:23" hidden="1">
      <c r="A861">
        <v>3655036919</v>
      </c>
      <c r="B861">
        <v>57240262</v>
      </c>
      <c r="C861" s="36" t="s">
        <v>1270</v>
      </c>
      <c r="D861" s="37">
        <v>41990.877152777779</v>
      </c>
      <c r="E861" s="37">
        <v>41990.882476851853</v>
      </c>
      <c r="G861">
        <v>2</v>
      </c>
      <c r="H861">
        <v>3</v>
      </c>
      <c r="O861">
        <v>10</v>
      </c>
      <c r="W861" s="47"/>
    </row>
    <row r="862" spans="1:23" hidden="1">
      <c r="A862">
        <v>3655028267</v>
      </c>
      <c r="B862">
        <v>57240262</v>
      </c>
      <c r="C862" s="36" t="s">
        <v>653</v>
      </c>
      <c r="D862" s="37">
        <v>41990.874340277776</v>
      </c>
      <c r="E862" s="37">
        <v>41990.883113425924</v>
      </c>
      <c r="G862">
        <v>2</v>
      </c>
      <c r="W862" s="47"/>
    </row>
    <row r="863" spans="1:23">
      <c r="A863">
        <v>3655072842</v>
      </c>
      <c r="B863">
        <v>57240262</v>
      </c>
      <c r="C863" s="36" t="s">
        <v>1271</v>
      </c>
      <c r="D863" s="37">
        <v>41990.888425925928</v>
      </c>
      <c r="E863" s="37">
        <v>41990.890497685185</v>
      </c>
      <c r="F863">
        <v>1</v>
      </c>
      <c r="K863">
        <v>6</v>
      </c>
      <c r="V863" s="42" t="s">
        <v>25</v>
      </c>
      <c r="W863" s="47">
        <v>1</v>
      </c>
    </row>
    <row r="864" spans="1:23" hidden="1">
      <c r="A864">
        <v>3655130302</v>
      </c>
      <c r="B864">
        <v>57240262</v>
      </c>
      <c r="C864" s="36" t="s">
        <v>1272</v>
      </c>
      <c r="D864" s="37">
        <v>41990.906157407408</v>
      </c>
      <c r="E864" s="37">
        <v>41990.920057870368</v>
      </c>
      <c r="G864">
        <v>2</v>
      </c>
      <c r="M864">
        <v>8</v>
      </c>
      <c r="P864">
        <v>11</v>
      </c>
      <c r="R864">
        <v>13</v>
      </c>
      <c r="W864" s="47"/>
    </row>
    <row r="865" spans="1:23" hidden="1">
      <c r="A865">
        <v>3655160944</v>
      </c>
      <c r="B865">
        <v>57240262</v>
      </c>
      <c r="C865" s="36" t="s">
        <v>1273</v>
      </c>
      <c r="D865" s="37">
        <v>41990.915810185186</v>
      </c>
      <c r="E865" s="37">
        <v>41990.92114583333</v>
      </c>
      <c r="F865">
        <v>1</v>
      </c>
      <c r="H865">
        <v>3</v>
      </c>
      <c r="O865">
        <v>10</v>
      </c>
      <c r="W865" s="47"/>
    </row>
    <row r="866" spans="1:23" hidden="1">
      <c r="A866">
        <v>3655257823</v>
      </c>
      <c r="B866">
        <v>57240262</v>
      </c>
      <c r="C866" s="36" t="s">
        <v>1274</v>
      </c>
      <c r="D866" s="37">
        <v>41990.948541666665</v>
      </c>
      <c r="E866" s="37">
        <v>41990.957511574074</v>
      </c>
      <c r="F866">
        <v>1</v>
      </c>
      <c r="H866">
        <v>3</v>
      </c>
      <c r="K866">
        <v>6</v>
      </c>
      <c r="Q866">
        <v>12</v>
      </c>
      <c r="W866" s="47"/>
    </row>
    <row r="867" spans="1:23" hidden="1">
      <c r="A867">
        <v>3655341999</v>
      </c>
      <c r="B867">
        <v>57240262</v>
      </c>
      <c r="C867" s="36" t="s">
        <v>1275</v>
      </c>
      <c r="D867" s="37">
        <v>41990.981122685182</v>
      </c>
      <c r="E867" s="37">
        <v>41990.994062500002</v>
      </c>
      <c r="M867">
        <v>8</v>
      </c>
      <c r="R867">
        <v>13</v>
      </c>
      <c r="W867" s="47"/>
    </row>
    <row r="868" spans="1:23" hidden="1">
      <c r="A868">
        <v>3655446930</v>
      </c>
      <c r="B868">
        <v>57240262</v>
      </c>
      <c r="C868" s="36" t="s">
        <v>1276</v>
      </c>
      <c r="D868" s="37">
        <v>41991.028368055559</v>
      </c>
      <c r="E868" s="37">
        <v>41991.033506944441</v>
      </c>
      <c r="O868">
        <v>10</v>
      </c>
      <c r="W868" s="47"/>
    </row>
    <row r="869" spans="1:23" hidden="1">
      <c r="A869">
        <v>3655539252</v>
      </c>
      <c r="B869">
        <v>57240262</v>
      </c>
      <c r="C869" s="36" t="s">
        <v>1277</v>
      </c>
      <c r="D869" s="37">
        <v>41991.075312499997</v>
      </c>
      <c r="E869" s="37">
        <v>41991.079340277778</v>
      </c>
      <c r="U869">
        <v>16</v>
      </c>
      <c r="W869" s="47"/>
    </row>
    <row r="870" spans="1:23">
      <c r="A870">
        <v>3656029410</v>
      </c>
      <c r="B870">
        <v>57240262</v>
      </c>
      <c r="C870" s="36" t="s">
        <v>629</v>
      </c>
      <c r="D870" s="37">
        <v>41991.407418981478</v>
      </c>
      <c r="E870" s="37">
        <v>41991.412523148145</v>
      </c>
      <c r="F870">
        <v>1</v>
      </c>
      <c r="K870">
        <v>6</v>
      </c>
      <c r="Q870">
        <v>12</v>
      </c>
      <c r="V870" s="42" t="s">
        <v>34</v>
      </c>
      <c r="W870" s="47">
        <v>6</v>
      </c>
    </row>
    <row r="871" spans="1:23" hidden="1">
      <c r="A871">
        <v>3656028937</v>
      </c>
      <c r="B871">
        <v>57240262</v>
      </c>
      <c r="C871" s="36" t="s">
        <v>1278</v>
      </c>
      <c r="D871" s="37">
        <v>41991.406238425923</v>
      </c>
      <c r="E871" s="37">
        <v>41991.418437499997</v>
      </c>
      <c r="U871">
        <v>16</v>
      </c>
      <c r="W871" s="47"/>
    </row>
    <row r="872" spans="1:23" hidden="1">
      <c r="A872">
        <v>3656053267</v>
      </c>
      <c r="B872">
        <v>57240262</v>
      </c>
      <c r="C872" s="36" t="s">
        <v>1279</v>
      </c>
      <c r="D872" s="37">
        <v>41991.420254629629</v>
      </c>
      <c r="E872" s="37">
        <v>41991.425405092596</v>
      </c>
      <c r="U872">
        <v>16</v>
      </c>
      <c r="W872" s="47"/>
    </row>
    <row r="873" spans="1:23" hidden="1">
      <c r="A873">
        <v>3656062369</v>
      </c>
      <c r="B873">
        <v>57240262</v>
      </c>
      <c r="C873" s="36" t="s">
        <v>1280</v>
      </c>
      <c r="D873" s="37">
        <v>41991.425462962965</v>
      </c>
      <c r="E873" s="37">
        <v>41991.433946759258</v>
      </c>
      <c r="M873">
        <v>8</v>
      </c>
      <c r="W873" s="47"/>
    </row>
    <row r="874" spans="1:23" hidden="1">
      <c r="A874">
        <v>3656099098</v>
      </c>
      <c r="B874">
        <v>57240262</v>
      </c>
      <c r="C874" s="36" t="s">
        <v>1281</v>
      </c>
      <c r="D874" s="37">
        <v>41991.445324074077</v>
      </c>
      <c r="E874" s="37">
        <v>41991.450138888889</v>
      </c>
      <c r="U874">
        <v>16</v>
      </c>
      <c r="W874" s="47"/>
    </row>
    <row r="875" spans="1:23" hidden="1">
      <c r="A875">
        <v>3656132324</v>
      </c>
      <c r="B875">
        <v>57240262</v>
      </c>
      <c r="C875" s="36" t="s">
        <v>1282</v>
      </c>
      <c r="D875" s="37">
        <v>41991.463796296295</v>
      </c>
      <c r="E875" s="37">
        <v>41991.467881944445</v>
      </c>
      <c r="I875">
        <v>4</v>
      </c>
      <c r="W875" s="47"/>
    </row>
    <row r="876" spans="1:23" hidden="1">
      <c r="A876">
        <v>3656231325</v>
      </c>
      <c r="B876">
        <v>57240262</v>
      </c>
      <c r="C876" s="36" t="s">
        <v>1283</v>
      </c>
      <c r="D876" s="37">
        <v>41991.511412037034</v>
      </c>
      <c r="E876" s="37">
        <v>41991.516655092593</v>
      </c>
      <c r="M876">
        <v>8</v>
      </c>
      <c r="W876" s="47"/>
    </row>
    <row r="877" spans="1:23" hidden="1">
      <c r="A877">
        <v>3656307135</v>
      </c>
      <c r="B877">
        <v>57240262</v>
      </c>
      <c r="C877" s="36" t="s">
        <v>1284</v>
      </c>
      <c r="D877" s="37">
        <v>41991.543449074074</v>
      </c>
      <c r="E877" s="37">
        <v>41991.546284722222</v>
      </c>
      <c r="G877">
        <v>2</v>
      </c>
      <c r="I877">
        <v>4</v>
      </c>
      <c r="Q877">
        <v>12</v>
      </c>
      <c r="W877" s="47"/>
    </row>
    <row r="878" spans="1:23" hidden="1">
      <c r="A878">
        <v>3656354610</v>
      </c>
      <c r="B878">
        <v>57240262</v>
      </c>
      <c r="C878" s="36" t="s">
        <v>1285</v>
      </c>
      <c r="D878" s="37">
        <v>41991.561076388891</v>
      </c>
      <c r="E878" s="37">
        <v>41991.56622685185</v>
      </c>
      <c r="U878">
        <v>16</v>
      </c>
      <c r="W878" s="47"/>
    </row>
    <row r="879" spans="1:23">
      <c r="A879">
        <v>3656350737</v>
      </c>
      <c r="B879">
        <v>57240262</v>
      </c>
      <c r="C879" s="36" t="s">
        <v>631</v>
      </c>
      <c r="D879" s="37">
        <v>41991.559537037036</v>
      </c>
      <c r="E879" s="37">
        <v>41991.568449074075</v>
      </c>
      <c r="F879">
        <v>1</v>
      </c>
      <c r="J879">
        <v>5</v>
      </c>
      <c r="N879">
        <v>9</v>
      </c>
      <c r="V879" s="42" t="s">
        <v>25</v>
      </c>
      <c r="W879" s="47">
        <v>1</v>
      </c>
    </row>
    <row r="880" spans="1:23" hidden="1">
      <c r="A880">
        <v>3656599708</v>
      </c>
      <c r="B880">
        <v>57240262</v>
      </c>
      <c r="C880" s="36" t="s">
        <v>1286</v>
      </c>
      <c r="D880" s="37">
        <v>41991.635370370372</v>
      </c>
      <c r="E880" s="37">
        <v>41991.636284722219</v>
      </c>
      <c r="U880">
        <v>16</v>
      </c>
      <c r="W880" s="47"/>
    </row>
    <row r="881" spans="1:23" hidden="1">
      <c r="A881">
        <v>3656639422</v>
      </c>
      <c r="B881">
        <v>57240262</v>
      </c>
      <c r="C881" s="36" t="s">
        <v>1287</v>
      </c>
      <c r="D881" s="37">
        <v>41991.647129629629</v>
      </c>
      <c r="E881" s="37">
        <v>41991.651446759257</v>
      </c>
      <c r="U881">
        <v>16</v>
      </c>
      <c r="W881" s="47"/>
    </row>
    <row r="882" spans="1:23" hidden="1">
      <c r="A882">
        <v>3656761186</v>
      </c>
      <c r="B882">
        <v>57240262</v>
      </c>
      <c r="C882" s="36" t="s">
        <v>1288</v>
      </c>
      <c r="D882" s="37">
        <v>41991.683159722219</v>
      </c>
      <c r="E882" s="37">
        <v>41991.684918981482</v>
      </c>
      <c r="U882">
        <v>16</v>
      </c>
      <c r="W882" s="47"/>
    </row>
    <row r="883" spans="1:23" hidden="1">
      <c r="A883">
        <v>3656812339</v>
      </c>
      <c r="B883">
        <v>57240262</v>
      </c>
      <c r="C883" s="36" t="s">
        <v>1289</v>
      </c>
      <c r="D883" s="37">
        <v>41991.698518518519</v>
      </c>
      <c r="E883" s="37">
        <v>41991.703333333331</v>
      </c>
      <c r="M883">
        <v>8</v>
      </c>
      <c r="W883" s="47"/>
    </row>
    <row r="884" spans="1:23">
      <c r="A884">
        <v>3656844406</v>
      </c>
      <c r="B884">
        <v>57240262</v>
      </c>
      <c r="C884" s="36" t="s">
        <v>1290</v>
      </c>
      <c r="D884" s="37">
        <v>41991.708113425928</v>
      </c>
      <c r="E884" s="37">
        <v>41991.715856481482</v>
      </c>
      <c r="G884">
        <v>2</v>
      </c>
      <c r="H884">
        <v>3</v>
      </c>
      <c r="J884">
        <v>5</v>
      </c>
      <c r="Q884">
        <v>12</v>
      </c>
      <c r="S884">
        <v>14</v>
      </c>
      <c r="V884" s="42" t="s">
        <v>31</v>
      </c>
      <c r="W884" s="47">
        <v>2</v>
      </c>
    </row>
    <row r="885" spans="1:23" hidden="1">
      <c r="A885">
        <v>3656853207</v>
      </c>
      <c r="B885">
        <v>57240262</v>
      </c>
      <c r="C885" s="36" t="s">
        <v>1291</v>
      </c>
      <c r="D885" s="37">
        <v>41991.711192129631</v>
      </c>
      <c r="E885" s="37">
        <v>41991.716805555552</v>
      </c>
      <c r="N885">
        <v>9</v>
      </c>
      <c r="W885" s="47"/>
    </row>
    <row r="886" spans="1:23">
      <c r="A886">
        <v>3656892094</v>
      </c>
      <c r="B886">
        <v>57240262</v>
      </c>
      <c r="C886" s="36" t="s">
        <v>633</v>
      </c>
      <c r="D886" s="37">
        <v>41991.723136574074</v>
      </c>
      <c r="E886" s="37">
        <v>41991.728379629632</v>
      </c>
      <c r="F886">
        <v>1</v>
      </c>
      <c r="G886">
        <v>2</v>
      </c>
      <c r="K886">
        <v>6</v>
      </c>
      <c r="R886">
        <v>13</v>
      </c>
      <c r="V886" s="42" t="s">
        <v>168</v>
      </c>
      <c r="W886" s="47">
        <v>13</v>
      </c>
    </row>
    <row r="887" spans="1:23" hidden="1">
      <c r="A887">
        <v>3656956901</v>
      </c>
      <c r="B887">
        <v>57240262</v>
      </c>
      <c r="C887" s="36" t="s">
        <v>1292</v>
      </c>
      <c r="D887" s="37">
        <v>41991.743993055556</v>
      </c>
      <c r="E887" s="37">
        <v>41991.746898148151</v>
      </c>
      <c r="R887">
        <v>13</v>
      </c>
      <c r="W887" s="47"/>
    </row>
    <row r="888" spans="1:23" hidden="1">
      <c r="A888">
        <v>3657218620</v>
      </c>
      <c r="B888">
        <v>57240262</v>
      </c>
      <c r="C888" s="36" t="s">
        <v>1293</v>
      </c>
      <c r="D888" s="37">
        <v>41991.825983796298</v>
      </c>
      <c r="E888" s="37">
        <v>41991.830127314817</v>
      </c>
      <c r="U888">
        <v>16</v>
      </c>
      <c r="W888" s="47"/>
    </row>
    <row r="889" spans="1:23" hidden="1">
      <c r="A889">
        <v>3657504691</v>
      </c>
      <c r="B889">
        <v>57240262</v>
      </c>
      <c r="C889" s="36" t="s">
        <v>2341</v>
      </c>
      <c r="D889" s="37">
        <v>41991.91642361111</v>
      </c>
      <c r="E889" s="37">
        <v>41991.917256944442</v>
      </c>
      <c r="W889" s="47"/>
    </row>
    <row r="890" spans="1:23" hidden="1">
      <c r="A890">
        <v>3657625236</v>
      </c>
      <c r="B890">
        <v>57240262</v>
      </c>
      <c r="C890" s="36" t="s">
        <v>2342</v>
      </c>
      <c r="D890" s="37">
        <v>41991.961354166669</v>
      </c>
      <c r="E890" s="37">
        <v>41991.961747685185</v>
      </c>
      <c r="W890" s="47"/>
    </row>
    <row r="891" spans="1:23">
      <c r="A891">
        <v>3657641638</v>
      </c>
      <c r="B891">
        <v>57240262</v>
      </c>
      <c r="C891" s="36" t="s">
        <v>1294</v>
      </c>
      <c r="D891" s="37">
        <v>41991.968402777777</v>
      </c>
      <c r="E891" s="37">
        <v>41991.97929398148</v>
      </c>
      <c r="F891">
        <v>1</v>
      </c>
      <c r="G891">
        <v>2</v>
      </c>
      <c r="V891" s="42" t="s">
        <v>167</v>
      </c>
      <c r="W891" s="47">
        <v>2</v>
      </c>
    </row>
    <row r="892" spans="1:23" hidden="1">
      <c r="A892">
        <v>3658045482</v>
      </c>
      <c r="B892">
        <v>57240262</v>
      </c>
      <c r="C892" s="36" t="s">
        <v>1295</v>
      </c>
      <c r="D892" s="37">
        <v>41992.223043981481</v>
      </c>
      <c r="E892" s="37">
        <v>41992.227673611109</v>
      </c>
      <c r="G892">
        <v>2</v>
      </c>
      <c r="W892" s="47"/>
    </row>
    <row r="893" spans="1:23">
      <c r="A893">
        <v>3658172751</v>
      </c>
      <c r="B893">
        <v>57240262</v>
      </c>
      <c r="C893" s="36" t="s">
        <v>1296</v>
      </c>
      <c r="D893" s="37">
        <v>41992.332349537035</v>
      </c>
      <c r="E893" s="37">
        <v>41992.338888888888</v>
      </c>
      <c r="G893">
        <v>2</v>
      </c>
      <c r="H893">
        <v>3</v>
      </c>
      <c r="K893">
        <v>6</v>
      </c>
      <c r="O893">
        <v>10</v>
      </c>
      <c r="Q893">
        <v>12</v>
      </c>
      <c r="V893" s="42" t="s">
        <v>40</v>
      </c>
      <c r="W893" s="47">
        <v>12</v>
      </c>
    </row>
    <row r="894" spans="1:23" hidden="1">
      <c r="A894">
        <v>3658252149</v>
      </c>
      <c r="B894">
        <v>57240262</v>
      </c>
      <c r="C894" s="36" t="s">
        <v>1297</v>
      </c>
      <c r="D894" s="37">
        <v>41992.387604166666</v>
      </c>
      <c r="E894" s="37">
        <v>41992.395185185182</v>
      </c>
      <c r="U894">
        <v>16</v>
      </c>
      <c r="W894" s="47"/>
    </row>
    <row r="895" spans="1:23">
      <c r="A895">
        <v>3658264890</v>
      </c>
      <c r="B895">
        <v>57240262</v>
      </c>
      <c r="C895" s="36" t="s">
        <v>636</v>
      </c>
      <c r="D895" s="37">
        <v>41992.396018518521</v>
      </c>
      <c r="E895" s="37">
        <v>41992.40693287037</v>
      </c>
      <c r="K895">
        <v>6</v>
      </c>
      <c r="O895">
        <v>10</v>
      </c>
      <c r="V895" s="42" t="s">
        <v>166</v>
      </c>
      <c r="W895" s="47">
        <v>16</v>
      </c>
    </row>
    <row r="896" spans="1:23" hidden="1">
      <c r="A896">
        <v>3658263954</v>
      </c>
      <c r="B896">
        <v>57240262</v>
      </c>
      <c r="C896" s="36" t="s">
        <v>1298</v>
      </c>
      <c r="D896" s="37">
        <v>41992.395428240743</v>
      </c>
      <c r="E896" s="37">
        <v>41992.411574074074</v>
      </c>
      <c r="G896">
        <v>2</v>
      </c>
      <c r="K896">
        <v>6</v>
      </c>
      <c r="N896">
        <v>9</v>
      </c>
      <c r="O896">
        <v>10</v>
      </c>
      <c r="W896" s="47"/>
    </row>
    <row r="897" spans="1:23" hidden="1">
      <c r="A897">
        <v>3658285120</v>
      </c>
      <c r="B897">
        <v>57240262</v>
      </c>
      <c r="C897" s="36" t="s">
        <v>638</v>
      </c>
      <c r="D897" s="37">
        <v>41992.407673611109</v>
      </c>
      <c r="E897" s="37">
        <v>41992.413321759261</v>
      </c>
      <c r="H897">
        <v>3</v>
      </c>
      <c r="W897" s="47"/>
    </row>
    <row r="898" spans="1:23">
      <c r="A898">
        <v>3658310768</v>
      </c>
      <c r="B898">
        <v>57240262</v>
      </c>
      <c r="C898" s="36" t="s">
        <v>637</v>
      </c>
      <c r="D898" s="37">
        <v>41992.422164351854</v>
      </c>
      <c r="E898" s="37">
        <v>41992.430902777778</v>
      </c>
      <c r="F898">
        <v>1</v>
      </c>
      <c r="H898">
        <v>3</v>
      </c>
      <c r="I898">
        <v>4</v>
      </c>
      <c r="K898">
        <v>6</v>
      </c>
      <c r="V898" s="42" t="s">
        <v>165</v>
      </c>
      <c r="W898" s="47">
        <v>1</v>
      </c>
    </row>
    <row r="899" spans="1:23" hidden="1">
      <c r="A899">
        <v>3658284754</v>
      </c>
      <c r="B899">
        <v>57240262</v>
      </c>
      <c r="C899" s="36" t="s">
        <v>1299</v>
      </c>
      <c r="D899" s="37">
        <v>41992.408807870372</v>
      </c>
      <c r="E899" s="37">
        <v>41992.444340277776</v>
      </c>
      <c r="U899">
        <v>16</v>
      </c>
      <c r="W899" s="47"/>
    </row>
    <row r="900" spans="1:23" hidden="1">
      <c r="A900">
        <v>3658513382</v>
      </c>
      <c r="B900">
        <v>57240262</v>
      </c>
      <c r="C900" s="36" t="s">
        <v>2343</v>
      </c>
      <c r="D900" s="37">
        <v>41992.534398148149</v>
      </c>
      <c r="E900" s="37">
        <v>41992.535520833335</v>
      </c>
      <c r="W900" s="47"/>
    </row>
    <row r="901" spans="1:23" hidden="1">
      <c r="A901">
        <v>3658649477</v>
      </c>
      <c r="B901">
        <v>57240262</v>
      </c>
      <c r="C901" s="36" t="s">
        <v>1300</v>
      </c>
      <c r="D901" s="37">
        <v>41992.587453703702</v>
      </c>
      <c r="E901" s="37">
        <v>41992.602233796293</v>
      </c>
      <c r="K901">
        <v>6</v>
      </c>
      <c r="W901" s="47"/>
    </row>
    <row r="902" spans="1:23">
      <c r="A902">
        <v>3658805819</v>
      </c>
      <c r="B902">
        <v>57240262</v>
      </c>
      <c r="C902" s="36" t="s">
        <v>1301</v>
      </c>
      <c r="D902" s="37">
        <v>41992.637430555558</v>
      </c>
      <c r="E902" s="37">
        <v>41992.641689814816</v>
      </c>
      <c r="I902">
        <v>4</v>
      </c>
      <c r="K902">
        <v>6</v>
      </c>
      <c r="V902" s="42" t="s">
        <v>38</v>
      </c>
      <c r="W902" s="47">
        <v>4</v>
      </c>
    </row>
    <row r="903" spans="1:23">
      <c r="A903">
        <v>3658839159</v>
      </c>
      <c r="B903">
        <v>57240262</v>
      </c>
      <c r="C903" s="36" t="s">
        <v>1302</v>
      </c>
      <c r="D903" s="37">
        <v>41992.642106481479</v>
      </c>
      <c r="E903" s="37">
        <v>41992.652314814812</v>
      </c>
      <c r="F903">
        <v>1</v>
      </c>
      <c r="O903">
        <v>10</v>
      </c>
      <c r="V903" s="42" t="s">
        <v>164</v>
      </c>
      <c r="W903" s="47">
        <v>10</v>
      </c>
    </row>
    <row r="904" spans="1:23" hidden="1">
      <c r="A904">
        <v>3658772745</v>
      </c>
      <c r="B904">
        <v>57240262</v>
      </c>
      <c r="C904" s="36" t="s">
        <v>639</v>
      </c>
      <c r="D904" s="37">
        <v>41992.627152777779</v>
      </c>
      <c r="E904" s="37">
        <v>41992.665752314817</v>
      </c>
      <c r="U904">
        <v>16</v>
      </c>
      <c r="W904" s="47"/>
    </row>
    <row r="905" spans="1:23" hidden="1">
      <c r="A905">
        <v>3658913600</v>
      </c>
      <c r="B905">
        <v>57240262</v>
      </c>
      <c r="C905" s="36" t="s">
        <v>1303</v>
      </c>
      <c r="D905" s="37">
        <v>41992.671087962961</v>
      </c>
      <c r="E905" s="37">
        <v>41992.677025462966</v>
      </c>
      <c r="K905">
        <v>6</v>
      </c>
      <c r="W905" s="47"/>
    </row>
    <row r="906" spans="1:23" hidden="1">
      <c r="A906">
        <v>3658982783</v>
      </c>
      <c r="B906">
        <v>57240262</v>
      </c>
      <c r="C906" s="36" t="s">
        <v>1304</v>
      </c>
      <c r="D906" s="37">
        <v>41992.690300925926</v>
      </c>
      <c r="E906" s="37">
        <v>41992.696909722225</v>
      </c>
      <c r="O906">
        <v>10</v>
      </c>
      <c r="W906" s="47"/>
    </row>
    <row r="907" spans="1:23" hidden="1">
      <c r="A907">
        <v>3659378601</v>
      </c>
      <c r="B907">
        <v>57240262</v>
      </c>
      <c r="C907" s="36" t="s">
        <v>1305</v>
      </c>
      <c r="D907" s="37">
        <v>41992.822812500002</v>
      </c>
      <c r="E907" s="37">
        <v>41992.823587962965</v>
      </c>
      <c r="U907">
        <v>16</v>
      </c>
      <c r="W907" s="47"/>
    </row>
    <row r="908" spans="1:23" hidden="1">
      <c r="A908">
        <v>3659378814</v>
      </c>
      <c r="B908">
        <v>57240262</v>
      </c>
      <c r="C908" s="36" t="s">
        <v>1306</v>
      </c>
      <c r="D908" s="37">
        <v>41992.823078703703</v>
      </c>
      <c r="E908" s="37">
        <v>41992.827037037037</v>
      </c>
      <c r="K908">
        <v>6</v>
      </c>
      <c r="W908" s="47"/>
    </row>
    <row r="909" spans="1:23" hidden="1">
      <c r="A909">
        <v>3659378918</v>
      </c>
      <c r="B909">
        <v>57240262</v>
      </c>
      <c r="C909" s="36" t="s">
        <v>1307</v>
      </c>
      <c r="D909" s="37">
        <v>41992.82309027778</v>
      </c>
      <c r="E909" s="37">
        <v>41992.828240740739</v>
      </c>
      <c r="U909">
        <v>16</v>
      </c>
      <c r="W909" s="47"/>
    </row>
    <row r="910" spans="1:23" hidden="1">
      <c r="A910">
        <v>3659381355</v>
      </c>
      <c r="B910">
        <v>57240262</v>
      </c>
      <c r="C910" s="36" t="s">
        <v>1308</v>
      </c>
      <c r="D910" s="37">
        <v>41992.824108796296</v>
      </c>
      <c r="E910" s="37">
        <v>41992.828379629631</v>
      </c>
      <c r="U910">
        <v>16</v>
      </c>
      <c r="W910" s="47"/>
    </row>
    <row r="911" spans="1:23" hidden="1">
      <c r="A911">
        <v>3659397282</v>
      </c>
      <c r="B911">
        <v>57240262</v>
      </c>
      <c r="C911" s="36" t="s">
        <v>1309</v>
      </c>
      <c r="D911" s="37">
        <v>41992.829664351855</v>
      </c>
      <c r="E911" s="37">
        <v>41992.833506944444</v>
      </c>
      <c r="U911">
        <v>16</v>
      </c>
      <c r="W911" s="47"/>
    </row>
    <row r="912" spans="1:23" hidden="1">
      <c r="A912">
        <v>3659421782</v>
      </c>
      <c r="B912">
        <v>57240262</v>
      </c>
      <c r="C912" s="36" t="s">
        <v>2344</v>
      </c>
      <c r="D912" s="37">
        <v>41992.838402777779</v>
      </c>
      <c r="E912" s="37">
        <v>41992.839375000003</v>
      </c>
      <c r="W912" s="47"/>
    </row>
    <row r="913" spans="1:23" hidden="1">
      <c r="A913">
        <v>3659430294</v>
      </c>
      <c r="B913">
        <v>57240262</v>
      </c>
      <c r="C913" s="36" t="s">
        <v>1310</v>
      </c>
      <c r="D913" s="37">
        <v>41992.841423611113</v>
      </c>
      <c r="E913" s="37">
        <v>41992.842916666668</v>
      </c>
      <c r="F913">
        <v>1</v>
      </c>
      <c r="W913" s="47"/>
    </row>
    <row r="914" spans="1:23" hidden="1">
      <c r="A914">
        <v>3659432554</v>
      </c>
      <c r="B914">
        <v>57240262</v>
      </c>
      <c r="C914" s="36" t="s">
        <v>2345</v>
      </c>
      <c r="D914" s="37">
        <v>41992.842372685183</v>
      </c>
      <c r="E914" s="37">
        <v>41992.842974537038</v>
      </c>
      <c r="W914" s="47"/>
    </row>
    <row r="915" spans="1:23" hidden="1">
      <c r="A915">
        <v>3659435819</v>
      </c>
      <c r="B915">
        <v>57240262</v>
      </c>
      <c r="C915" s="36" t="s">
        <v>1311</v>
      </c>
      <c r="D915" s="37">
        <v>41992.843692129631</v>
      </c>
      <c r="E915" s="37">
        <v>41992.844270833331</v>
      </c>
      <c r="S915">
        <v>14</v>
      </c>
      <c r="W915" s="47"/>
    </row>
    <row r="916" spans="1:23" hidden="1">
      <c r="A916">
        <v>3659438336</v>
      </c>
      <c r="B916">
        <v>57240262</v>
      </c>
      <c r="C916" s="36" t="s">
        <v>1312</v>
      </c>
      <c r="D916" s="37">
        <v>41992.844525462962</v>
      </c>
      <c r="E916" s="37">
        <v>41992.845405092594</v>
      </c>
      <c r="U916">
        <v>16</v>
      </c>
      <c r="W916" s="47"/>
    </row>
    <row r="917" spans="1:23" hidden="1">
      <c r="A917">
        <v>3659457040</v>
      </c>
      <c r="B917">
        <v>57240262</v>
      </c>
      <c r="C917" s="36" t="s">
        <v>1313</v>
      </c>
      <c r="D917" s="37">
        <v>41992.851377314815</v>
      </c>
      <c r="E917" s="37">
        <v>41992.854074074072</v>
      </c>
      <c r="F917">
        <v>1</v>
      </c>
      <c r="W917" s="47"/>
    </row>
    <row r="918" spans="1:23" hidden="1">
      <c r="A918">
        <v>3659533233</v>
      </c>
      <c r="B918">
        <v>57240262</v>
      </c>
      <c r="C918" s="36" t="s">
        <v>1314</v>
      </c>
      <c r="D918" s="37">
        <v>41992.88008101852</v>
      </c>
      <c r="E918" s="37">
        <v>41992.883784722224</v>
      </c>
      <c r="U918">
        <v>16</v>
      </c>
      <c r="W918" s="47"/>
    </row>
    <row r="919" spans="1:23" hidden="1">
      <c r="A919">
        <v>3659619416</v>
      </c>
      <c r="B919">
        <v>57240262</v>
      </c>
      <c r="C919" s="36" t="s">
        <v>2346</v>
      </c>
      <c r="D919" s="37">
        <v>41992.91615740741</v>
      </c>
      <c r="E919" s="37">
        <v>41992.916620370372</v>
      </c>
      <c r="W919" s="47"/>
    </row>
    <row r="920" spans="1:23" hidden="1">
      <c r="A920">
        <v>3659717835</v>
      </c>
      <c r="B920">
        <v>57240262</v>
      </c>
      <c r="C920" s="36" t="s">
        <v>1315</v>
      </c>
      <c r="D920" s="37">
        <v>41992.965046296296</v>
      </c>
      <c r="E920" s="37">
        <v>41992.968773148146</v>
      </c>
      <c r="N920">
        <v>9</v>
      </c>
      <c r="W920" s="47"/>
    </row>
    <row r="921" spans="1:23" hidden="1">
      <c r="A921">
        <v>3659744471</v>
      </c>
      <c r="B921">
        <v>57240262</v>
      </c>
      <c r="C921" s="36" t="s">
        <v>1316</v>
      </c>
      <c r="D921" s="37">
        <v>41992.981111111112</v>
      </c>
      <c r="E921" s="37">
        <v>41992.98678240741</v>
      </c>
      <c r="F921">
        <v>1</v>
      </c>
      <c r="G921">
        <v>2</v>
      </c>
      <c r="I921">
        <v>4</v>
      </c>
      <c r="M921">
        <v>8</v>
      </c>
      <c r="N921">
        <v>9</v>
      </c>
      <c r="O921">
        <v>10</v>
      </c>
      <c r="W921" s="47"/>
    </row>
    <row r="922" spans="1:23" hidden="1">
      <c r="A922">
        <v>3660137743</v>
      </c>
      <c r="B922">
        <v>57240262</v>
      </c>
      <c r="C922" s="36" t="s">
        <v>1317</v>
      </c>
      <c r="D922" s="37">
        <v>41993.365312499998</v>
      </c>
      <c r="E922" s="37">
        <v>41993.368541666663</v>
      </c>
      <c r="U922">
        <v>16</v>
      </c>
      <c r="W922" s="47"/>
    </row>
    <row r="923" spans="1:23" hidden="1">
      <c r="A923">
        <v>3660181839</v>
      </c>
      <c r="B923">
        <v>57240262</v>
      </c>
      <c r="C923" s="36" t="s">
        <v>1318</v>
      </c>
      <c r="D923" s="37">
        <v>41993.415300925924</v>
      </c>
      <c r="E923" s="37">
        <v>41993.420266203706</v>
      </c>
      <c r="U923">
        <v>16</v>
      </c>
      <c r="W923" s="47"/>
    </row>
    <row r="924" spans="1:23" hidden="1">
      <c r="A924">
        <v>3660185276</v>
      </c>
      <c r="B924">
        <v>57240262</v>
      </c>
      <c r="C924" s="36" t="s">
        <v>1319</v>
      </c>
      <c r="D924" s="37">
        <v>41993.41909722222</v>
      </c>
      <c r="E924" s="37">
        <v>41993.421203703707</v>
      </c>
      <c r="U924">
        <v>16</v>
      </c>
      <c r="W924" s="47"/>
    </row>
    <row r="925" spans="1:23" ht="24">
      <c r="A925">
        <v>3660183513</v>
      </c>
      <c r="B925">
        <v>57240262</v>
      </c>
      <c r="C925" s="36" t="s">
        <v>640</v>
      </c>
      <c r="D925" s="37">
        <v>41993.416979166665</v>
      </c>
      <c r="E925" s="37">
        <v>41993.423877314817</v>
      </c>
      <c r="F925">
        <v>1</v>
      </c>
      <c r="O925">
        <v>10</v>
      </c>
      <c r="Q925">
        <v>12</v>
      </c>
      <c r="V925" s="42" t="s">
        <v>13</v>
      </c>
      <c r="W925" s="47">
        <v>10</v>
      </c>
    </row>
    <row r="926" spans="1:23" hidden="1">
      <c r="A926">
        <v>3660188430</v>
      </c>
      <c r="B926">
        <v>57240262</v>
      </c>
      <c r="C926" s="36" t="s">
        <v>1320</v>
      </c>
      <c r="D926" s="37">
        <v>41993.422638888886</v>
      </c>
      <c r="E926" s="37">
        <v>41993.427060185182</v>
      </c>
      <c r="I926">
        <v>4</v>
      </c>
      <c r="W926" s="47"/>
    </row>
    <row r="927" spans="1:23" hidden="1">
      <c r="A927">
        <v>3660190481</v>
      </c>
      <c r="B927">
        <v>57240262</v>
      </c>
      <c r="C927" s="36" t="s">
        <v>1321</v>
      </c>
      <c r="D927" s="37">
        <v>41993.422118055554</v>
      </c>
      <c r="E927" s="37">
        <v>41993.429571759261</v>
      </c>
      <c r="O927">
        <v>10</v>
      </c>
      <c r="W927" s="47"/>
    </row>
    <row r="928" spans="1:23" hidden="1">
      <c r="A928">
        <v>3660198167</v>
      </c>
      <c r="B928">
        <v>57240262</v>
      </c>
      <c r="C928" s="36" t="s">
        <v>641</v>
      </c>
      <c r="D928" s="37">
        <v>41993.433240740742</v>
      </c>
      <c r="E928" s="37">
        <v>41993.438842592594</v>
      </c>
      <c r="I928">
        <v>4</v>
      </c>
      <c r="W928" s="47"/>
    </row>
    <row r="929" spans="1:23" ht="24">
      <c r="A929">
        <v>3660197465</v>
      </c>
      <c r="B929">
        <v>57240262</v>
      </c>
      <c r="C929" s="36" t="s">
        <v>1322</v>
      </c>
      <c r="D929" s="37">
        <v>41993.432488425926</v>
      </c>
      <c r="E929" s="37">
        <v>41993.440405092595</v>
      </c>
      <c r="G929">
        <v>2</v>
      </c>
      <c r="H929">
        <v>3</v>
      </c>
      <c r="O929">
        <v>10</v>
      </c>
      <c r="Q929">
        <v>12</v>
      </c>
      <c r="V929" s="42" t="s">
        <v>163</v>
      </c>
      <c r="W929" s="47">
        <v>16</v>
      </c>
    </row>
    <row r="930" spans="1:23" hidden="1">
      <c r="A930">
        <v>3660202912</v>
      </c>
      <c r="B930">
        <v>57240262</v>
      </c>
      <c r="C930" s="36" t="s">
        <v>1323</v>
      </c>
      <c r="D930" s="37">
        <v>41993.438379629632</v>
      </c>
      <c r="E930" s="37">
        <v>41993.441990740743</v>
      </c>
      <c r="U930">
        <v>16</v>
      </c>
      <c r="W930" s="47"/>
    </row>
    <row r="931" spans="1:23" hidden="1">
      <c r="A931">
        <v>3660205419</v>
      </c>
      <c r="B931">
        <v>57240262</v>
      </c>
      <c r="C931" s="36" t="s">
        <v>1324</v>
      </c>
      <c r="D931" s="37">
        <v>41993.436192129629</v>
      </c>
      <c r="E931" s="37">
        <v>41993.453935185185</v>
      </c>
      <c r="F931">
        <v>1</v>
      </c>
      <c r="G931">
        <v>2</v>
      </c>
      <c r="H931">
        <v>3</v>
      </c>
      <c r="Q931">
        <v>12</v>
      </c>
      <c r="R931">
        <v>13</v>
      </c>
      <c r="W931" s="47"/>
    </row>
    <row r="932" spans="1:23" hidden="1">
      <c r="A932">
        <v>3660216843</v>
      </c>
      <c r="B932">
        <v>57240262</v>
      </c>
      <c r="C932" s="36" t="s">
        <v>1325</v>
      </c>
      <c r="D932" s="37">
        <v>41993.453055555554</v>
      </c>
      <c r="E932" s="37">
        <v>41993.459675925929</v>
      </c>
      <c r="K932">
        <v>6</v>
      </c>
      <c r="M932">
        <v>8</v>
      </c>
      <c r="O932">
        <v>10</v>
      </c>
      <c r="W932" s="47"/>
    </row>
    <row r="933" spans="1:23">
      <c r="A933">
        <v>3660391190</v>
      </c>
      <c r="B933">
        <v>57240262</v>
      </c>
      <c r="C933" s="36" t="s">
        <v>1326</v>
      </c>
      <c r="D933" s="37">
        <v>41993.603495370371</v>
      </c>
      <c r="E933" s="37">
        <v>41993.615740740737</v>
      </c>
      <c r="J933">
        <v>5</v>
      </c>
      <c r="K933">
        <v>6</v>
      </c>
      <c r="M933">
        <v>8</v>
      </c>
      <c r="R933">
        <v>13</v>
      </c>
      <c r="S933">
        <v>14</v>
      </c>
      <c r="V933" s="42" t="s">
        <v>162</v>
      </c>
      <c r="W933" s="47">
        <v>5</v>
      </c>
    </row>
    <row r="934" spans="1:23" hidden="1">
      <c r="A934">
        <v>3660638927</v>
      </c>
      <c r="B934">
        <v>57240262</v>
      </c>
      <c r="C934" s="36" t="s">
        <v>1327</v>
      </c>
      <c r="D934" s="37">
        <v>41993.813506944447</v>
      </c>
      <c r="E934" s="37">
        <v>41993.816678240742</v>
      </c>
      <c r="U934">
        <v>16</v>
      </c>
      <c r="W934" s="47"/>
    </row>
    <row r="935" spans="1:23" hidden="1">
      <c r="A935">
        <v>3660652970</v>
      </c>
      <c r="B935">
        <v>57240262</v>
      </c>
      <c r="C935" s="36" t="s">
        <v>1328</v>
      </c>
      <c r="D935" s="37">
        <v>41993.827673611115</v>
      </c>
      <c r="E935" s="37">
        <v>41993.828333333331</v>
      </c>
      <c r="H935">
        <v>3</v>
      </c>
      <c r="W935" s="47"/>
    </row>
    <row r="936" spans="1:23" hidden="1">
      <c r="A936">
        <v>3660824474</v>
      </c>
      <c r="B936">
        <v>57240262</v>
      </c>
      <c r="C936" s="36" t="s">
        <v>1329</v>
      </c>
      <c r="D936" s="37">
        <v>41994.017812500002</v>
      </c>
      <c r="E936" s="37">
        <v>41994.024375000001</v>
      </c>
      <c r="K936">
        <v>6</v>
      </c>
      <c r="O936">
        <v>10</v>
      </c>
      <c r="W936" s="47"/>
    </row>
    <row r="937" spans="1:23" hidden="1">
      <c r="A937">
        <v>3660830391</v>
      </c>
      <c r="B937">
        <v>57240262</v>
      </c>
      <c r="C937" s="36" t="s">
        <v>1330</v>
      </c>
      <c r="D937" s="37">
        <v>41994.025231481479</v>
      </c>
      <c r="E937" s="37">
        <v>41994.030428240738</v>
      </c>
      <c r="U937">
        <v>16</v>
      </c>
      <c r="W937" s="47"/>
    </row>
    <row r="938" spans="1:23" hidden="1">
      <c r="A938">
        <v>3661028113</v>
      </c>
      <c r="B938">
        <v>57240262</v>
      </c>
      <c r="C938" s="36" t="s">
        <v>1331</v>
      </c>
      <c r="D938" s="37">
        <v>41994.350902777776</v>
      </c>
      <c r="E938" s="37">
        <v>41994.355844907404</v>
      </c>
      <c r="U938">
        <v>16</v>
      </c>
      <c r="W938" s="47"/>
    </row>
    <row r="939" spans="1:23" hidden="1">
      <c r="A939">
        <v>3661034925</v>
      </c>
      <c r="B939">
        <v>57240262</v>
      </c>
      <c r="C939" s="36" t="s">
        <v>1332</v>
      </c>
      <c r="D939" s="37">
        <v>41994.361620370371</v>
      </c>
      <c r="E939" s="37">
        <v>41994.381354166668</v>
      </c>
      <c r="O939">
        <v>10</v>
      </c>
      <c r="W939" s="47"/>
    </row>
    <row r="940" spans="1:23" hidden="1">
      <c r="A940">
        <v>3661041473</v>
      </c>
      <c r="B940">
        <v>57240262</v>
      </c>
      <c r="C940" s="36" t="s">
        <v>1333</v>
      </c>
      <c r="D940" s="37">
        <v>41994.371770833335</v>
      </c>
      <c r="E940" s="37">
        <v>41994.385960648149</v>
      </c>
      <c r="M940">
        <v>8</v>
      </c>
      <c r="W940" s="47"/>
    </row>
    <row r="941" spans="1:23" hidden="1">
      <c r="A941">
        <v>3661065008</v>
      </c>
      <c r="B941">
        <v>57240262</v>
      </c>
      <c r="C941" s="36" t="s">
        <v>1334</v>
      </c>
      <c r="D941" s="37">
        <v>41994.407129629632</v>
      </c>
      <c r="E941" s="37">
        <v>41994.410416666666</v>
      </c>
      <c r="K941">
        <v>6</v>
      </c>
      <c r="W941" s="47"/>
    </row>
    <row r="942" spans="1:23" hidden="1">
      <c r="A942">
        <v>3661065107</v>
      </c>
      <c r="B942">
        <v>57240262</v>
      </c>
      <c r="C942" s="36" t="s">
        <v>1335</v>
      </c>
      <c r="D942" s="37">
        <v>41994.407164351855</v>
      </c>
      <c r="E942" s="37">
        <v>41994.410821759258</v>
      </c>
      <c r="U942">
        <v>16</v>
      </c>
      <c r="W942" s="47"/>
    </row>
    <row r="943" spans="1:23">
      <c r="A943">
        <v>3661070184</v>
      </c>
      <c r="B943">
        <v>57240262</v>
      </c>
      <c r="C943" s="36" t="s">
        <v>1336</v>
      </c>
      <c r="D943" s="37">
        <v>41994.414236111108</v>
      </c>
      <c r="E943" s="37">
        <v>41994.427569444444</v>
      </c>
      <c r="I943">
        <v>4</v>
      </c>
      <c r="K943">
        <v>6</v>
      </c>
      <c r="V943" s="42" t="s">
        <v>161</v>
      </c>
      <c r="W943" s="47">
        <v>4</v>
      </c>
    </row>
    <row r="944" spans="1:23" hidden="1">
      <c r="A944">
        <v>3661093387</v>
      </c>
      <c r="B944">
        <v>57240262</v>
      </c>
      <c r="C944" s="36" t="s">
        <v>643</v>
      </c>
      <c r="D944" s="37">
        <v>41994.446550925924</v>
      </c>
      <c r="E944" s="37">
        <v>41994.447974537034</v>
      </c>
      <c r="I944">
        <v>4</v>
      </c>
      <c r="W944" s="47"/>
    </row>
    <row r="945" spans="1:23">
      <c r="A945">
        <v>3661089745</v>
      </c>
      <c r="B945">
        <v>57240262</v>
      </c>
      <c r="C945" s="36" t="s">
        <v>1337</v>
      </c>
      <c r="D945" s="37">
        <v>41994.40116898148</v>
      </c>
      <c r="E945" s="37">
        <v>41994.453576388885</v>
      </c>
      <c r="F945">
        <v>1</v>
      </c>
      <c r="O945">
        <v>10</v>
      </c>
      <c r="V945" s="42" t="s">
        <v>160</v>
      </c>
      <c r="W945" s="47">
        <v>1</v>
      </c>
    </row>
    <row r="946" spans="1:23" hidden="1">
      <c r="A946">
        <v>3661101858</v>
      </c>
      <c r="B946">
        <v>57240262</v>
      </c>
      <c r="C946" s="36" t="s">
        <v>1338</v>
      </c>
      <c r="D946" s="37">
        <v>41994.457488425927</v>
      </c>
      <c r="E946" s="37">
        <v>41994.470231481479</v>
      </c>
      <c r="U946">
        <v>16</v>
      </c>
      <c r="W946" s="47"/>
    </row>
    <row r="947" spans="1:23" hidden="1">
      <c r="A947">
        <v>3661108245</v>
      </c>
      <c r="B947">
        <v>57240262</v>
      </c>
      <c r="C947" s="36" t="s">
        <v>1339</v>
      </c>
      <c r="D947" s="37">
        <v>41994.466400462959</v>
      </c>
      <c r="E947" s="37">
        <v>41994.472395833334</v>
      </c>
      <c r="I947">
        <v>4</v>
      </c>
      <c r="W947" s="47"/>
    </row>
    <row r="948" spans="1:23" hidden="1">
      <c r="A948">
        <v>3661141055</v>
      </c>
      <c r="B948">
        <v>57240262</v>
      </c>
      <c r="C948" s="36" t="s">
        <v>1340</v>
      </c>
      <c r="D948" s="37">
        <v>41994.508518518516</v>
      </c>
      <c r="E948" s="37">
        <v>41994.513449074075</v>
      </c>
      <c r="H948">
        <v>3</v>
      </c>
      <c r="L948">
        <v>7</v>
      </c>
      <c r="W948" s="47"/>
    </row>
    <row r="949" spans="1:23" hidden="1">
      <c r="A949">
        <v>3661152930</v>
      </c>
      <c r="B949">
        <v>57240262</v>
      </c>
      <c r="C949" s="36" t="s">
        <v>1341</v>
      </c>
      <c r="D949" s="37">
        <v>41994.522847222222</v>
      </c>
      <c r="E949" s="37">
        <v>41994.526342592595</v>
      </c>
      <c r="U949">
        <v>16</v>
      </c>
      <c r="W949" s="47"/>
    </row>
    <row r="950" spans="1:23" hidden="1">
      <c r="A950">
        <v>3661158326</v>
      </c>
      <c r="B950">
        <v>57240262</v>
      </c>
      <c r="C950" s="36" t="s">
        <v>1342</v>
      </c>
      <c r="D950" s="37">
        <v>41994.529490740744</v>
      </c>
      <c r="E950" s="37">
        <v>41994.534178240741</v>
      </c>
      <c r="K950">
        <v>6</v>
      </c>
      <c r="W950" s="47"/>
    </row>
    <row r="951" spans="1:23" hidden="1">
      <c r="A951">
        <v>3661160159</v>
      </c>
      <c r="B951">
        <v>57240262</v>
      </c>
      <c r="C951" s="36" t="s">
        <v>1343</v>
      </c>
      <c r="D951" s="37">
        <v>41994.531666666669</v>
      </c>
      <c r="E951" s="37">
        <v>41994.538553240738</v>
      </c>
      <c r="U951">
        <v>16</v>
      </c>
      <c r="W951" s="47"/>
    </row>
    <row r="952" spans="1:23">
      <c r="A952">
        <v>3661162897</v>
      </c>
      <c r="B952">
        <v>57240262</v>
      </c>
      <c r="C952" s="36" t="s">
        <v>1344</v>
      </c>
      <c r="D952" s="37">
        <v>41994.534756944442</v>
      </c>
      <c r="E952" s="37">
        <v>41994.539606481485</v>
      </c>
      <c r="F952">
        <v>1</v>
      </c>
      <c r="K952">
        <v>6</v>
      </c>
      <c r="V952" s="42" t="s">
        <v>25</v>
      </c>
      <c r="W952" s="47">
        <v>1</v>
      </c>
    </row>
    <row r="953" spans="1:23" hidden="1">
      <c r="A953">
        <v>3661230413</v>
      </c>
      <c r="B953">
        <v>57240262</v>
      </c>
      <c r="C953" s="36" t="s">
        <v>1345</v>
      </c>
      <c r="D953" s="37">
        <v>41994.60596064815</v>
      </c>
      <c r="E953" s="37">
        <v>41994.608831018515</v>
      </c>
      <c r="M953">
        <v>8</v>
      </c>
      <c r="W953" s="47"/>
    </row>
    <row r="954" spans="1:23" hidden="1">
      <c r="A954">
        <v>3661231254</v>
      </c>
      <c r="B954">
        <v>57240262</v>
      </c>
      <c r="C954" s="36" t="s">
        <v>1346</v>
      </c>
      <c r="D954" s="37">
        <v>41994.606817129628</v>
      </c>
      <c r="E954" s="37">
        <v>41994.614305555559</v>
      </c>
      <c r="F954">
        <v>1</v>
      </c>
      <c r="W954" s="47"/>
    </row>
    <row r="955" spans="1:23" hidden="1">
      <c r="A955">
        <v>3661336524</v>
      </c>
      <c r="B955">
        <v>57240262</v>
      </c>
      <c r="C955" s="36" t="s">
        <v>1347</v>
      </c>
      <c r="D955" s="37">
        <v>41994.712847222225</v>
      </c>
      <c r="E955" s="37">
        <v>41994.720625000002</v>
      </c>
      <c r="U955">
        <v>16</v>
      </c>
      <c r="W955" s="47"/>
    </row>
    <row r="956" spans="1:23">
      <c r="A956">
        <v>3661384641</v>
      </c>
      <c r="B956">
        <v>57240262</v>
      </c>
      <c r="C956" s="36" t="s">
        <v>1348</v>
      </c>
      <c r="D956" s="37">
        <v>41994.763645833336</v>
      </c>
      <c r="E956" s="37">
        <v>41994.777337962965</v>
      </c>
      <c r="H956">
        <v>3</v>
      </c>
      <c r="R956">
        <v>13</v>
      </c>
      <c r="V956" s="42" t="s">
        <v>121</v>
      </c>
      <c r="W956" s="47">
        <v>13</v>
      </c>
    </row>
    <row r="957" spans="1:23">
      <c r="A957">
        <v>3661427512</v>
      </c>
      <c r="B957">
        <v>57240262</v>
      </c>
      <c r="C957" s="36" t="s">
        <v>1349</v>
      </c>
      <c r="D957" s="37">
        <v>41994.810555555552</v>
      </c>
      <c r="E957" s="37">
        <v>41994.816736111112</v>
      </c>
      <c r="F957">
        <v>1</v>
      </c>
      <c r="G957">
        <v>2</v>
      </c>
      <c r="H957">
        <v>3</v>
      </c>
      <c r="L957">
        <v>7</v>
      </c>
      <c r="O957">
        <v>10</v>
      </c>
      <c r="Q957">
        <v>12</v>
      </c>
      <c r="R957">
        <v>13</v>
      </c>
      <c r="V957" s="42" t="s">
        <v>159</v>
      </c>
      <c r="W957" s="47">
        <v>3</v>
      </c>
    </row>
    <row r="958" spans="1:23" hidden="1">
      <c r="A958">
        <v>3661459094</v>
      </c>
      <c r="B958">
        <v>57240262</v>
      </c>
      <c r="C958" s="36" t="s">
        <v>1350</v>
      </c>
      <c r="D958" s="37">
        <v>41994.846180555556</v>
      </c>
      <c r="E958" s="37">
        <v>41994.850069444445</v>
      </c>
      <c r="I958">
        <v>4</v>
      </c>
      <c r="K958">
        <v>6</v>
      </c>
      <c r="O958">
        <v>10</v>
      </c>
      <c r="P958">
        <v>11</v>
      </c>
      <c r="W958" s="47"/>
    </row>
    <row r="959" spans="1:23" hidden="1">
      <c r="A959">
        <v>3661459799</v>
      </c>
      <c r="B959">
        <v>57240262</v>
      </c>
      <c r="C959" s="36" t="s">
        <v>1351</v>
      </c>
      <c r="D959" s="37">
        <v>41994.846782407411</v>
      </c>
      <c r="E959" s="37">
        <v>41994.851956018516</v>
      </c>
      <c r="U959">
        <v>16</v>
      </c>
      <c r="W959" s="47"/>
    </row>
    <row r="960" spans="1:23" hidden="1">
      <c r="A960">
        <v>3661478742</v>
      </c>
      <c r="B960">
        <v>57240262</v>
      </c>
      <c r="C960" s="36" t="s">
        <v>1352</v>
      </c>
      <c r="D960" s="37">
        <v>41994.869212962964</v>
      </c>
      <c r="E960" s="37">
        <v>41994.875659722224</v>
      </c>
      <c r="I960">
        <v>4</v>
      </c>
      <c r="Q960">
        <v>12</v>
      </c>
      <c r="W960" s="47"/>
    </row>
    <row r="961" spans="1:23" hidden="1">
      <c r="A961">
        <v>3661487616</v>
      </c>
      <c r="B961">
        <v>57240262</v>
      </c>
      <c r="C961" s="36" t="s">
        <v>1353</v>
      </c>
      <c r="D961" s="37">
        <v>41994.879247685189</v>
      </c>
      <c r="E961" s="37">
        <v>41994.885000000002</v>
      </c>
      <c r="G961">
        <v>2</v>
      </c>
      <c r="W961" s="47"/>
    </row>
    <row r="962" spans="1:23" hidden="1">
      <c r="A962">
        <v>3661494242</v>
      </c>
      <c r="B962">
        <v>57240262</v>
      </c>
      <c r="C962" s="36" t="s">
        <v>2347</v>
      </c>
      <c r="D962" s="37">
        <v>41994.886874999997</v>
      </c>
      <c r="E962" s="37">
        <v>41994.888506944444</v>
      </c>
      <c r="W962" s="47"/>
    </row>
    <row r="963" spans="1:23" hidden="1">
      <c r="A963">
        <v>3661500613</v>
      </c>
      <c r="B963">
        <v>57240262</v>
      </c>
      <c r="C963" s="36" t="s">
        <v>1354</v>
      </c>
      <c r="D963" s="37">
        <v>41994.894687499997</v>
      </c>
      <c r="E963" s="37">
        <v>41994.898888888885</v>
      </c>
      <c r="F963">
        <v>1</v>
      </c>
      <c r="W963" s="47"/>
    </row>
    <row r="964" spans="1:23">
      <c r="A964">
        <v>3661512933</v>
      </c>
      <c r="B964">
        <v>57240262</v>
      </c>
      <c r="C964" s="36" t="s">
        <v>1355</v>
      </c>
      <c r="D964" s="37">
        <v>41994.908379629633</v>
      </c>
      <c r="E964" s="37">
        <v>41994.924571759257</v>
      </c>
      <c r="F964">
        <v>1</v>
      </c>
      <c r="J964">
        <v>5</v>
      </c>
      <c r="K964">
        <v>6</v>
      </c>
      <c r="P964">
        <v>11</v>
      </c>
      <c r="V964" s="42" t="s">
        <v>158</v>
      </c>
      <c r="W964" s="47">
        <v>15</v>
      </c>
    </row>
    <row r="965" spans="1:23" hidden="1">
      <c r="A965">
        <v>3661568697</v>
      </c>
      <c r="B965">
        <v>57240262</v>
      </c>
      <c r="C965" s="36" t="s">
        <v>1356</v>
      </c>
      <c r="D965" s="37">
        <v>41994.970937500002</v>
      </c>
      <c r="E965" s="37">
        <v>41994.975983796299</v>
      </c>
      <c r="H965">
        <v>3</v>
      </c>
      <c r="W965" s="47"/>
    </row>
    <row r="966" spans="1:23">
      <c r="A966">
        <v>3662049425</v>
      </c>
      <c r="B966">
        <v>57240262</v>
      </c>
      <c r="C966" s="36" t="s">
        <v>1357</v>
      </c>
      <c r="D966" s="37">
        <v>41995.348634259259</v>
      </c>
      <c r="E966" s="37">
        <v>41995.357615740744</v>
      </c>
      <c r="G966">
        <v>2</v>
      </c>
      <c r="O966">
        <v>10</v>
      </c>
      <c r="V966" s="42" t="s">
        <v>20</v>
      </c>
      <c r="W966" s="47">
        <v>2</v>
      </c>
    </row>
    <row r="967" spans="1:23" hidden="1">
      <c r="A967">
        <v>3662067206</v>
      </c>
      <c r="B967">
        <v>57240262</v>
      </c>
      <c r="C967" s="36" t="s">
        <v>1358</v>
      </c>
      <c r="D967" s="37">
        <v>41995.360706018517</v>
      </c>
      <c r="E967" s="37">
        <v>41995.363136574073</v>
      </c>
      <c r="U967">
        <v>16</v>
      </c>
      <c r="W967" s="47"/>
    </row>
    <row r="968" spans="1:23" hidden="1">
      <c r="A968">
        <v>3662085167</v>
      </c>
      <c r="B968">
        <v>57240262</v>
      </c>
      <c r="C968" s="36" t="s">
        <v>1359</v>
      </c>
      <c r="D968" s="37">
        <v>41995.372141203705</v>
      </c>
      <c r="E968" s="37">
        <v>41995.375474537039</v>
      </c>
      <c r="U968">
        <v>16</v>
      </c>
      <c r="W968" s="47"/>
    </row>
    <row r="969" spans="1:23" ht="24">
      <c r="A969">
        <v>3662160430</v>
      </c>
      <c r="B969">
        <v>57240262</v>
      </c>
      <c r="C969" s="36" t="s">
        <v>1360</v>
      </c>
      <c r="D969" s="37">
        <v>41995.412442129629</v>
      </c>
      <c r="E969" s="37">
        <v>41995.423946759256</v>
      </c>
      <c r="F969">
        <v>1</v>
      </c>
      <c r="I969">
        <v>4</v>
      </c>
      <c r="M969">
        <v>8</v>
      </c>
      <c r="R969">
        <v>13</v>
      </c>
      <c r="V969" s="42" t="s">
        <v>157</v>
      </c>
      <c r="W969" s="47">
        <v>8</v>
      </c>
    </row>
    <row r="970" spans="1:23" hidden="1">
      <c r="A970">
        <v>3662197613</v>
      </c>
      <c r="B970">
        <v>57240262</v>
      </c>
      <c r="C970" s="36" t="s">
        <v>1361</v>
      </c>
      <c r="D970" s="37">
        <v>41995.433275462965</v>
      </c>
      <c r="E970" s="37">
        <v>41995.442974537036</v>
      </c>
      <c r="G970">
        <v>2</v>
      </c>
      <c r="N970">
        <v>9</v>
      </c>
      <c r="Q970">
        <v>12</v>
      </c>
      <c r="W970" s="47"/>
    </row>
    <row r="971" spans="1:23" hidden="1">
      <c r="A971">
        <v>3662205670</v>
      </c>
      <c r="B971">
        <v>57240262</v>
      </c>
      <c r="C971" s="36" t="s">
        <v>1362</v>
      </c>
      <c r="D971" s="37">
        <v>41995.437627314815</v>
      </c>
      <c r="E971" s="37">
        <v>41995.446527777778</v>
      </c>
      <c r="F971">
        <v>1</v>
      </c>
      <c r="H971">
        <v>3</v>
      </c>
      <c r="O971">
        <v>10</v>
      </c>
      <c r="W971" s="47"/>
    </row>
    <row r="972" spans="1:23" ht="14">
      <c r="A972">
        <v>3662199490</v>
      </c>
      <c r="B972">
        <v>57240262</v>
      </c>
      <c r="C972" s="36" t="s">
        <v>648</v>
      </c>
      <c r="D972" s="37">
        <v>41995.434247685182</v>
      </c>
      <c r="E972" s="37">
        <v>41995.448645833334</v>
      </c>
      <c r="G972">
        <v>2</v>
      </c>
      <c r="M972">
        <v>8</v>
      </c>
      <c r="P972">
        <v>11</v>
      </c>
      <c r="S972">
        <v>14</v>
      </c>
      <c r="V972" s="73" t="s">
        <v>3563</v>
      </c>
      <c r="W972" s="47">
        <v>14</v>
      </c>
    </row>
    <row r="973" spans="1:23" hidden="1">
      <c r="A973">
        <v>3662209889</v>
      </c>
      <c r="B973">
        <v>57240262</v>
      </c>
      <c r="C973" s="36" t="s">
        <v>1363</v>
      </c>
      <c r="D973" s="37">
        <v>41995.44</v>
      </c>
      <c r="E973" s="37">
        <v>41995.449976851851</v>
      </c>
      <c r="H973">
        <v>3</v>
      </c>
      <c r="O973">
        <v>10</v>
      </c>
      <c r="W973" s="47"/>
    </row>
    <row r="974" spans="1:23" hidden="1">
      <c r="A974">
        <v>3662254578</v>
      </c>
      <c r="B974">
        <v>57240262</v>
      </c>
      <c r="C974" s="36" t="s">
        <v>2348</v>
      </c>
      <c r="D974" s="37">
        <v>41995.462893518517</v>
      </c>
      <c r="E974" s="37">
        <v>41995.463414351849</v>
      </c>
      <c r="W974" s="47"/>
    </row>
    <row r="975" spans="1:23" hidden="1">
      <c r="A975">
        <v>3662262244</v>
      </c>
      <c r="B975">
        <v>57240262</v>
      </c>
      <c r="C975" s="36" t="s">
        <v>655</v>
      </c>
      <c r="D975" s="37">
        <v>41995.466747685183</v>
      </c>
      <c r="E975" s="37">
        <v>41995.471296296295</v>
      </c>
      <c r="G975">
        <v>2</v>
      </c>
      <c r="H975">
        <v>3</v>
      </c>
      <c r="O975">
        <v>10</v>
      </c>
      <c r="R975">
        <v>13</v>
      </c>
      <c r="W975" s="47"/>
    </row>
    <row r="976" spans="1:23" hidden="1">
      <c r="A976">
        <v>3662274930</v>
      </c>
      <c r="B976">
        <v>57240262</v>
      </c>
      <c r="C976" s="36" t="s">
        <v>654</v>
      </c>
      <c r="D976" s="37">
        <v>41995.47247685185</v>
      </c>
      <c r="E976" s="37">
        <v>41995.475856481484</v>
      </c>
      <c r="I976">
        <v>4</v>
      </c>
      <c r="K976">
        <v>6</v>
      </c>
      <c r="Q976">
        <v>12</v>
      </c>
      <c r="W976" s="47"/>
    </row>
    <row r="977" spans="1:23">
      <c r="A977">
        <v>3662198627</v>
      </c>
      <c r="B977">
        <v>57240262</v>
      </c>
      <c r="C977" s="36" t="s">
        <v>649</v>
      </c>
      <c r="D977" s="37">
        <v>41995.433645833335</v>
      </c>
      <c r="E977" s="37">
        <v>41995.489560185182</v>
      </c>
      <c r="F977">
        <v>1</v>
      </c>
      <c r="G977">
        <v>2</v>
      </c>
      <c r="K977">
        <v>6</v>
      </c>
      <c r="R977">
        <v>13</v>
      </c>
      <c r="V977" s="42" t="s">
        <v>100</v>
      </c>
      <c r="W977" s="47">
        <v>1</v>
      </c>
    </row>
    <row r="978" spans="1:23" hidden="1">
      <c r="A978">
        <v>3662337310</v>
      </c>
      <c r="B978">
        <v>57240262</v>
      </c>
      <c r="C978" s="36" t="s">
        <v>1364</v>
      </c>
      <c r="D978" s="37">
        <v>41995.502349537041</v>
      </c>
      <c r="E978" s="37">
        <v>41995.506666666668</v>
      </c>
      <c r="M978">
        <v>8</v>
      </c>
      <c r="W978" s="47"/>
    </row>
    <row r="979" spans="1:23" hidden="1">
      <c r="A979">
        <v>3662351881</v>
      </c>
      <c r="B979">
        <v>57240262</v>
      </c>
      <c r="C979" s="36" t="s">
        <v>1365</v>
      </c>
      <c r="D979" s="37">
        <v>41995.509317129632</v>
      </c>
      <c r="E979" s="37">
        <v>41995.514606481483</v>
      </c>
      <c r="U979">
        <v>16</v>
      </c>
      <c r="W979" s="47"/>
    </row>
    <row r="980" spans="1:23" hidden="1">
      <c r="A980">
        <v>3662381259</v>
      </c>
      <c r="B980">
        <v>57240262</v>
      </c>
      <c r="C980" s="36" t="s">
        <v>1366</v>
      </c>
      <c r="D980" s="37">
        <v>41995.522777777776</v>
      </c>
      <c r="E980" s="37">
        <v>41995.529224537036</v>
      </c>
      <c r="U980">
        <v>16</v>
      </c>
      <c r="W980" s="47"/>
    </row>
    <row r="981" spans="1:23" hidden="1">
      <c r="A981">
        <v>3662432844</v>
      </c>
      <c r="B981">
        <v>57240262</v>
      </c>
      <c r="C981" s="36" t="s">
        <v>1367</v>
      </c>
      <c r="D981" s="37">
        <v>41995.545266203706</v>
      </c>
      <c r="E981" s="37">
        <v>41995.554375</v>
      </c>
      <c r="U981">
        <v>16</v>
      </c>
      <c r="W981" s="47"/>
    </row>
    <row r="982" spans="1:23" hidden="1">
      <c r="A982">
        <v>3662464796</v>
      </c>
      <c r="B982">
        <v>57240262</v>
      </c>
      <c r="C982" s="36" t="s">
        <v>1368</v>
      </c>
      <c r="D982" s="37">
        <v>41995.558437500003</v>
      </c>
      <c r="E982" s="37">
        <v>41995.56212962963</v>
      </c>
      <c r="G982">
        <v>2</v>
      </c>
      <c r="I982">
        <v>4</v>
      </c>
      <c r="J982">
        <v>5</v>
      </c>
      <c r="N982">
        <v>9</v>
      </c>
      <c r="P982">
        <v>11</v>
      </c>
      <c r="R982">
        <v>13</v>
      </c>
      <c r="W982" s="47"/>
    </row>
    <row r="983" spans="1:23" hidden="1">
      <c r="A983">
        <v>3662546931</v>
      </c>
      <c r="B983">
        <v>57240262</v>
      </c>
      <c r="C983" s="36" t="s">
        <v>1369</v>
      </c>
      <c r="D983" s="37">
        <v>41995.58935185185</v>
      </c>
      <c r="E983" s="37">
        <v>41995.594444444447</v>
      </c>
      <c r="U983">
        <v>16</v>
      </c>
      <c r="W983" s="47"/>
    </row>
    <row r="984" spans="1:23" hidden="1">
      <c r="A984">
        <v>3662572414</v>
      </c>
      <c r="B984">
        <v>57240262</v>
      </c>
      <c r="C984" s="36" t="s">
        <v>656</v>
      </c>
      <c r="D984" s="37">
        <v>41995.600254629629</v>
      </c>
      <c r="E984" s="37">
        <v>41995.601979166669</v>
      </c>
      <c r="P984">
        <v>11</v>
      </c>
      <c r="W984" s="47"/>
    </row>
    <row r="985" spans="1:23" hidden="1">
      <c r="A985">
        <v>3662572302</v>
      </c>
      <c r="B985">
        <v>57240262</v>
      </c>
      <c r="C985" s="36" t="s">
        <v>657</v>
      </c>
      <c r="D985" s="37">
        <v>41995.600231481483</v>
      </c>
      <c r="E985" s="37">
        <v>41995.602037037039</v>
      </c>
      <c r="U985">
        <v>16</v>
      </c>
      <c r="W985" s="47"/>
    </row>
    <row r="986" spans="1:23">
      <c r="A986">
        <v>3662557674</v>
      </c>
      <c r="B986">
        <v>57240262</v>
      </c>
      <c r="C986" s="36" t="s">
        <v>1370</v>
      </c>
      <c r="D986" s="37">
        <v>41995.593460648146</v>
      </c>
      <c r="E986" s="37">
        <v>41995.602083333331</v>
      </c>
      <c r="F986">
        <v>1</v>
      </c>
      <c r="K986">
        <v>6</v>
      </c>
      <c r="V986" s="42" t="s">
        <v>25</v>
      </c>
      <c r="W986" s="47">
        <v>1</v>
      </c>
    </row>
    <row r="987" spans="1:23" hidden="1">
      <c r="A987">
        <v>3662595039</v>
      </c>
      <c r="B987">
        <v>57240262</v>
      </c>
      <c r="C987" s="36" t="s">
        <v>1371</v>
      </c>
      <c r="D987" s="37">
        <v>41995.608414351853</v>
      </c>
      <c r="E987" s="37">
        <v>41995.618414351855</v>
      </c>
      <c r="M987">
        <v>8</v>
      </c>
      <c r="W987" s="47"/>
    </row>
    <row r="988" spans="1:23" hidden="1">
      <c r="A988">
        <v>3662634841</v>
      </c>
      <c r="B988">
        <v>57240262</v>
      </c>
      <c r="C988" s="36" t="s">
        <v>1372</v>
      </c>
      <c r="D988" s="37">
        <v>41995.622812499998</v>
      </c>
      <c r="E988" s="37">
        <v>41995.625798611109</v>
      </c>
      <c r="U988">
        <v>16</v>
      </c>
      <c r="W988" s="47"/>
    </row>
    <row r="989" spans="1:23" hidden="1">
      <c r="A989">
        <v>3662649965</v>
      </c>
      <c r="B989">
        <v>57240262</v>
      </c>
      <c r="C989" s="36" t="s">
        <v>1373</v>
      </c>
      <c r="D989" s="37">
        <v>41995.628159722219</v>
      </c>
      <c r="E989" s="37">
        <v>41995.632662037038</v>
      </c>
      <c r="O989">
        <v>10</v>
      </c>
      <c r="W989" s="47"/>
    </row>
    <row r="990" spans="1:23" hidden="1">
      <c r="A990">
        <v>3662671865</v>
      </c>
      <c r="B990">
        <v>57240262</v>
      </c>
      <c r="C990" s="36" t="s">
        <v>1374</v>
      </c>
      <c r="D990" s="37">
        <v>41995.636006944442</v>
      </c>
      <c r="E990" s="37">
        <v>41995.641238425924</v>
      </c>
      <c r="U990">
        <v>16</v>
      </c>
      <c r="W990" s="47"/>
    </row>
    <row r="991" spans="1:23" hidden="1">
      <c r="A991">
        <v>3662794807</v>
      </c>
      <c r="B991">
        <v>57240262</v>
      </c>
      <c r="C991" s="36" t="s">
        <v>1375</v>
      </c>
      <c r="D991" s="37">
        <v>41995.681608796294</v>
      </c>
      <c r="E991" s="37">
        <v>41995.682256944441</v>
      </c>
      <c r="G991">
        <v>2</v>
      </c>
      <c r="W991" s="47"/>
    </row>
    <row r="992" spans="1:23" hidden="1">
      <c r="A992">
        <v>3662828847</v>
      </c>
      <c r="B992">
        <v>57240262</v>
      </c>
      <c r="C992" s="36" t="s">
        <v>659</v>
      </c>
      <c r="D992" s="37">
        <v>41995.694606481484</v>
      </c>
      <c r="E992" s="37">
        <v>41995.70040509259</v>
      </c>
      <c r="U992">
        <v>16</v>
      </c>
      <c r="W992" s="47"/>
    </row>
    <row r="993" spans="1:23" hidden="1">
      <c r="A993">
        <v>3662827666</v>
      </c>
      <c r="B993">
        <v>57240262</v>
      </c>
      <c r="C993" s="36" t="s">
        <v>1376</v>
      </c>
      <c r="D993" s="37">
        <v>41995.694131944445</v>
      </c>
      <c r="E993" s="37">
        <v>41995.701319444444</v>
      </c>
      <c r="J993">
        <v>5</v>
      </c>
      <c r="Q993">
        <v>12</v>
      </c>
      <c r="W993" s="47"/>
    </row>
    <row r="994" spans="1:23" hidden="1">
      <c r="A994">
        <v>3662886822</v>
      </c>
      <c r="B994">
        <v>57240262</v>
      </c>
      <c r="C994" s="36" t="s">
        <v>1377</v>
      </c>
      <c r="D994" s="37">
        <v>41995.717465277776</v>
      </c>
      <c r="E994" s="37">
        <v>41995.718356481484</v>
      </c>
      <c r="U994">
        <v>16</v>
      </c>
      <c r="W994" s="47"/>
    </row>
    <row r="995" spans="1:23" hidden="1">
      <c r="A995">
        <v>3662881663</v>
      </c>
      <c r="B995">
        <v>57240262</v>
      </c>
      <c r="C995" s="36" t="s">
        <v>658</v>
      </c>
      <c r="D995" s="37">
        <v>41995.715474537035</v>
      </c>
      <c r="E995" s="37">
        <v>41995.720081018517</v>
      </c>
      <c r="U995">
        <v>16</v>
      </c>
      <c r="W995" s="47"/>
    </row>
    <row r="996" spans="1:23" hidden="1">
      <c r="A996">
        <v>3662899840</v>
      </c>
      <c r="B996">
        <v>57240262</v>
      </c>
      <c r="C996" s="36" t="s">
        <v>1378</v>
      </c>
      <c r="D996" s="37">
        <v>41995.722326388888</v>
      </c>
      <c r="E996" s="37">
        <v>41995.728055555555</v>
      </c>
      <c r="G996">
        <v>2</v>
      </c>
      <c r="W996" s="47"/>
    </row>
    <row r="997" spans="1:23" hidden="1">
      <c r="A997">
        <v>3662952816</v>
      </c>
      <c r="B997">
        <v>57240262</v>
      </c>
      <c r="C997" s="36" t="s">
        <v>660</v>
      </c>
      <c r="D997" s="37">
        <v>41995.744166666664</v>
      </c>
      <c r="E997" s="37">
        <v>41995.749710648146</v>
      </c>
      <c r="G997">
        <v>2</v>
      </c>
      <c r="Q997">
        <v>12</v>
      </c>
      <c r="W997" s="47"/>
    </row>
    <row r="998" spans="1:23" hidden="1">
      <c r="A998">
        <v>3662949343</v>
      </c>
      <c r="B998">
        <v>57240262</v>
      </c>
      <c r="C998" s="36" t="s">
        <v>1379</v>
      </c>
      <c r="D998" s="37">
        <v>41995.7425</v>
      </c>
      <c r="E998" s="37">
        <v>41995.751921296294</v>
      </c>
      <c r="U998">
        <v>16</v>
      </c>
      <c r="W998" s="47"/>
    </row>
    <row r="999" spans="1:23" hidden="1">
      <c r="A999">
        <v>3663010701</v>
      </c>
      <c r="B999">
        <v>57240262</v>
      </c>
      <c r="C999" s="36" t="s">
        <v>1380</v>
      </c>
      <c r="D999" s="37">
        <v>41995.768564814818</v>
      </c>
      <c r="E999" s="37">
        <v>41995.776180555556</v>
      </c>
      <c r="U999">
        <v>16</v>
      </c>
      <c r="W999" s="47"/>
    </row>
    <row r="1000" spans="1:23" hidden="1">
      <c r="A1000">
        <v>3663077753</v>
      </c>
      <c r="B1000">
        <v>57240262</v>
      </c>
      <c r="C1000" s="36" t="s">
        <v>661</v>
      </c>
      <c r="D1000" s="37">
        <v>41995.797418981485</v>
      </c>
      <c r="E1000" s="37">
        <v>41995.800393518519</v>
      </c>
      <c r="U1000">
        <v>16</v>
      </c>
      <c r="W1000" s="47"/>
    </row>
    <row r="1001" spans="1:23">
      <c r="A1001">
        <v>3663077446</v>
      </c>
      <c r="B1001">
        <v>57240262</v>
      </c>
      <c r="C1001" s="36" t="s">
        <v>1381</v>
      </c>
      <c r="D1001" s="37">
        <v>41995.797314814816</v>
      </c>
      <c r="E1001" s="37">
        <v>41995.80091435185</v>
      </c>
      <c r="F1001">
        <v>1</v>
      </c>
      <c r="J1001">
        <v>5</v>
      </c>
      <c r="K1001">
        <v>6</v>
      </c>
      <c r="O1001">
        <v>10</v>
      </c>
      <c r="P1001">
        <v>11</v>
      </c>
      <c r="Q1001">
        <v>12</v>
      </c>
      <c r="V1001" s="42" t="s">
        <v>9</v>
      </c>
      <c r="W1001" s="47">
        <v>6</v>
      </c>
    </row>
    <row r="1002" spans="1:23" hidden="1">
      <c r="A1002">
        <v>3663087197</v>
      </c>
      <c r="B1002">
        <v>57240262</v>
      </c>
      <c r="C1002" s="36" t="s">
        <v>314</v>
      </c>
      <c r="D1002" s="37">
        <v>41995.801608796297</v>
      </c>
      <c r="E1002" s="37">
        <v>41995.802569444444</v>
      </c>
      <c r="U1002">
        <v>16</v>
      </c>
      <c r="W1002" s="47"/>
    </row>
    <row r="1003" spans="1:23">
      <c r="A1003">
        <v>3663089476</v>
      </c>
      <c r="B1003">
        <v>57240262</v>
      </c>
      <c r="C1003" s="36" t="s">
        <v>313</v>
      </c>
      <c r="D1003" s="37">
        <v>41995.802662037036</v>
      </c>
      <c r="E1003" s="37">
        <v>41995.807812500003</v>
      </c>
      <c r="F1003">
        <v>1</v>
      </c>
      <c r="G1003">
        <v>2</v>
      </c>
      <c r="H1003">
        <v>3</v>
      </c>
      <c r="J1003">
        <v>5</v>
      </c>
      <c r="K1003">
        <v>6</v>
      </c>
      <c r="V1003" s="42" t="s">
        <v>156</v>
      </c>
      <c r="W1003" s="47">
        <v>2</v>
      </c>
    </row>
    <row r="1004" spans="1:23" ht="24">
      <c r="A1004">
        <v>3663092004</v>
      </c>
      <c r="B1004">
        <v>57240262</v>
      </c>
      <c r="C1004" s="36" t="s">
        <v>312</v>
      </c>
      <c r="D1004" s="37">
        <v>41995.803761574076</v>
      </c>
      <c r="E1004" s="37">
        <v>41995.808657407404</v>
      </c>
      <c r="F1004">
        <v>1</v>
      </c>
      <c r="G1004">
        <v>2</v>
      </c>
      <c r="J1004">
        <v>5</v>
      </c>
      <c r="K1004">
        <v>6</v>
      </c>
      <c r="V1004" s="42" t="s">
        <v>155</v>
      </c>
      <c r="W1004" s="47">
        <v>1</v>
      </c>
    </row>
    <row r="1005" spans="1:23" hidden="1">
      <c r="A1005">
        <v>3663086313</v>
      </c>
      <c r="B1005">
        <v>57240262</v>
      </c>
      <c r="C1005" s="36" t="s">
        <v>1382</v>
      </c>
      <c r="D1005" s="37">
        <v>41995.800868055558</v>
      </c>
      <c r="E1005" s="37">
        <v>41995.809664351851</v>
      </c>
      <c r="U1005">
        <v>16</v>
      </c>
      <c r="W1005" s="47"/>
    </row>
    <row r="1006" spans="1:23" hidden="1">
      <c r="A1006">
        <v>3663102081</v>
      </c>
      <c r="B1006">
        <v>57240262</v>
      </c>
      <c r="C1006" s="36" t="s">
        <v>315</v>
      </c>
      <c r="D1006" s="37">
        <v>41995.807754629626</v>
      </c>
      <c r="E1006" s="37">
        <v>41995.811527777776</v>
      </c>
      <c r="U1006">
        <v>16</v>
      </c>
      <c r="W1006" s="47"/>
    </row>
    <row r="1007" spans="1:23">
      <c r="A1007">
        <v>3663098914</v>
      </c>
      <c r="B1007">
        <v>57240262</v>
      </c>
      <c r="C1007" s="36" t="s">
        <v>1383</v>
      </c>
      <c r="D1007" s="37">
        <v>41995.806712962964</v>
      </c>
      <c r="E1007" s="37">
        <v>41995.813657407409</v>
      </c>
      <c r="H1007">
        <v>3</v>
      </c>
      <c r="O1007">
        <v>10</v>
      </c>
      <c r="Q1007">
        <v>12</v>
      </c>
      <c r="V1007" s="42" t="s">
        <v>40</v>
      </c>
      <c r="W1007" s="47">
        <v>12</v>
      </c>
    </row>
    <row r="1008" spans="1:23" hidden="1">
      <c r="A1008">
        <v>3663110577</v>
      </c>
      <c r="B1008">
        <v>57240262</v>
      </c>
      <c r="C1008" s="36" t="s">
        <v>1384</v>
      </c>
      <c r="D1008" s="37">
        <v>41995.811550925922</v>
      </c>
      <c r="E1008" s="37">
        <v>41995.81753472222</v>
      </c>
      <c r="U1008">
        <v>16</v>
      </c>
      <c r="W1008" s="47"/>
    </row>
    <row r="1009" spans="1:23" ht="24">
      <c r="A1009">
        <v>3663101518</v>
      </c>
      <c r="B1009">
        <v>57240262</v>
      </c>
      <c r="C1009" s="36" t="s">
        <v>316</v>
      </c>
      <c r="D1009" s="37">
        <v>41995.807719907411</v>
      </c>
      <c r="E1009" s="37">
        <v>41995.817743055559</v>
      </c>
      <c r="G1009">
        <v>2</v>
      </c>
      <c r="R1009">
        <v>13</v>
      </c>
      <c r="V1009" s="42" t="s">
        <v>154</v>
      </c>
      <c r="W1009" s="47">
        <v>2</v>
      </c>
    </row>
    <row r="1010" spans="1:23" hidden="1">
      <c r="A1010">
        <v>3663117005</v>
      </c>
      <c r="B1010">
        <v>57240262</v>
      </c>
      <c r="C1010" s="36" t="s">
        <v>1385</v>
      </c>
      <c r="D1010" s="37">
        <v>41995.81422453704</v>
      </c>
      <c r="E1010" s="37">
        <v>41995.81795138889</v>
      </c>
      <c r="K1010">
        <v>6</v>
      </c>
      <c r="W1010" s="47"/>
    </row>
    <row r="1011" spans="1:23" hidden="1">
      <c r="A1011">
        <v>3663129616</v>
      </c>
      <c r="B1011">
        <v>57240262</v>
      </c>
      <c r="C1011" s="36" t="s">
        <v>1386</v>
      </c>
      <c r="D1011" s="37">
        <v>41995.819537037038</v>
      </c>
      <c r="E1011" s="37">
        <v>41995.822488425925</v>
      </c>
      <c r="U1011">
        <v>16</v>
      </c>
      <c r="W1011" s="47"/>
    </row>
    <row r="1012" spans="1:23" hidden="1">
      <c r="A1012">
        <v>3663138608</v>
      </c>
      <c r="B1012">
        <v>57240262</v>
      </c>
      <c r="C1012" s="36" t="s">
        <v>1387</v>
      </c>
      <c r="D1012" s="37">
        <v>41995.823240740741</v>
      </c>
      <c r="E1012" s="37">
        <v>41995.826956018522</v>
      </c>
      <c r="K1012">
        <v>6</v>
      </c>
      <c r="W1012" s="47"/>
    </row>
    <row r="1013" spans="1:23">
      <c r="A1013">
        <v>3663126385</v>
      </c>
      <c r="B1013">
        <v>57240262</v>
      </c>
      <c r="C1013" s="36" t="s">
        <v>317</v>
      </c>
      <c r="D1013" s="37">
        <v>41995.818078703705</v>
      </c>
      <c r="E1013" s="37">
        <v>41995.832951388889</v>
      </c>
      <c r="I1013">
        <v>4</v>
      </c>
      <c r="M1013">
        <v>8</v>
      </c>
      <c r="V1013" s="42" t="s">
        <v>26</v>
      </c>
      <c r="W1013" s="47">
        <v>4</v>
      </c>
    </row>
    <row r="1014" spans="1:23">
      <c r="A1014">
        <v>3663166104</v>
      </c>
      <c r="B1014">
        <v>57240262</v>
      </c>
      <c r="C1014" s="36" t="s">
        <v>1388</v>
      </c>
      <c r="D1014" s="37">
        <v>41995.834930555553</v>
      </c>
      <c r="E1014" s="37">
        <v>41995.84207175926</v>
      </c>
      <c r="I1014">
        <v>4</v>
      </c>
      <c r="J1014">
        <v>5</v>
      </c>
      <c r="K1014">
        <v>6</v>
      </c>
      <c r="M1014">
        <v>8</v>
      </c>
      <c r="V1014" s="42" t="s">
        <v>153</v>
      </c>
      <c r="W1014" s="47">
        <v>5</v>
      </c>
    </row>
    <row r="1015" spans="1:23" hidden="1">
      <c r="A1015">
        <v>3663185966</v>
      </c>
      <c r="B1015">
        <v>57240262</v>
      </c>
      <c r="C1015" s="36" t="s">
        <v>1389</v>
      </c>
      <c r="D1015" s="37">
        <v>41995.843530092592</v>
      </c>
      <c r="E1015" s="37">
        <v>41995.847569444442</v>
      </c>
      <c r="O1015">
        <v>10</v>
      </c>
      <c r="W1015" s="47"/>
    </row>
    <row r="1016" spans="1:23" hidden="1">
      <c r="A1016">
        <v>3663201900</v>
      </c>
      <c r="B1016">
        <v>57240262</v>
      </c>
      <c r="C1016" s="36" t="s">
        <v>1390</v>
      </c>
      <c r="D1016" s="37">
        <v>41995.850208333337</v>
      </c>
      <c r="E1016" s="37">
        <v>41995.852962962963</v>
      </c>
      <c r="F1016">
        <v>1</v>
      </c>
      <c r="R1016">
        <v>13</v>
      </c>
      <c r="W1016" s="47"/>
    </row>
    <row r="1017" spans="1:23" hidden="1">
      <c r="A1017">
        <v>3663205722</v>
      </c>
      <c r="B1017">
        <v>57240262</v>
      </c>
      <c r="C1017" s="36" t="s">
        <v>1391</v>
      </c>
      <c r="D1017" s="37">
        <v>41995.851805555554</v>
      </c>
      <c r="E1017" s="37">
        <v>41995.855358796296</v>
      </c>
      <c r="U1017">
        <v>16</v>
      </c>
      <c r="W1017" s="47"/>
    </row>
    <row r="1018" spans="1:23" hidden="1">
      <c r="A1018">
        <v>3663207837</v>
      </c>
      <c r="B1018">
        <v>57240262</v>
      </c>
      <c r="C1018" s="36" t="s">
        <v>1392</v>
      </c>
      <c r="D1018" s="37">
        <v>41995.852766203701</v>
      </c>
      <c r="E1018" s="37">
        <v>41995.855879629627</v>
      </c>
      <c r="F1018">
        <v>1</v>
      </c>
      <c r="I1018">
        <v>4</v>
      </c>
      <c r="J1018">
        <v>5</v>
      </c>
      <c r="K1018">
        <v>6</v>
      </c>
      <c r="O1018">
        <v>10</v>
      </c>
      <c r="R1018">
        <v>13</v>
      </c>
      <c r="W1018" s="47"/>
    </row>
    <row r="1019" spans="1:23" hidden="1">
      <c r="A1019">
        <v>3663219540</v>
      </c>
      <c r="B1019">
        <v>57240262</v>
      </c>
      <c r="C1019" s="36" t="s">
        <v>1393</v>
      </c>
      <c r="D1019" s="37">
        <v>41995.857638888891</v>
      </c>
      <c r="E1019" s="37">
        <v>41995.858969907407</v>
      </c>
      <c r="K1019">
        <v>6</v>
      </c>
      <c r="W1019" s="47"/>
    </row>
    <row r="1020" spans="1:23" hidden="1">
      <c r="A1020">
        <v>3663208762</v>
      </c>
      <c r="B1020">
        <v>57240262</v>
      </c>
      <c r="C1020" s="36" t="s">
        <v>318</v>
      </c>
      <c r="D1020" s="37">
        <v>41995.853136574071</v>
      </c>
      <c r="E1020" s="37">
        <v>41995.859212962961</v>
      </c>
      <c r="U1020">
        <v>16</v>
      </c>
      <c r="W1020" s="47"/>
    </row>
    <row r="1021" spans="1:23" hidden="1">
      <c r="A1021">
        <v>3663226844</v>
      </c>
      <c r="B1021">
        <v>57240262</v>
      </c>
      <c r="C1021" s="36" t="s">
        <v>1394</v>
      </c>
      <c r="D1021" s="37">
        <v>41995.860821759263</v>
      </c>
      <c r="E1021" s="37">
        <v>41995.866122685184</v>
      </c>
      <c r="F1021">
        <v>1</v>
      </c>
      <c r="I1021">
        <v>4</v>
      </c>
      <c r="K1021">
        <v>6</v>
      </c>
      <c r="P1021">
        <v>11</v>
      </c>
      <c r="W1021" s="47"/>
    </row>
    <row r="1022" spans="1:23" hidden="1">
      <c r="A1022">
        <v>3663243137</v>
      </c>
      <c r="B1022">
        <v>57240262</v>
      </c>
      <c r="C1022" s="36" t="s">
        <v>1395</v>
      </c>
      <c r="D1022" s="37">
        <v>41995.867986111109</v>
      </c>
      <c r="E1022" s="37">
        <v>41995.872152777774</v>
      </c>
      <c r="N1022">
        <v>9</v>
      </c>
      <c r="W1022" s="47"/>
    </row>
    <row r="1023" spans="1:23" hidden="1">
      <c r="A1023">
        <v>3663253060</v>
      </c>
      <c r="B1023">
        <v>57240262</v>
      </c>
      <c r="C1023" s="36" t="s">
        <v>1396</v>
      </c>
      <c r="D1023" s="37">
        <v>41995.872187499997</v>
      </c>
      <c r="E1023" s="37">
        <v>41995.872685185182</v>
      </c>
      <c r="U1023">
        <v>16</v>
      </c>
      <c r="W1023" s="47"/>
    </row>
    <row r="1024" spans="1:23" hidden="1">
      <c r="A1024">
        <v>3663250620</v>
      </c>
      <c r="B1024">
        <v>57240262</v>
      </c>
      <c r="C1024" s="36" t="s">
        <v>319</v>
      </c>
      <c r="D1024" s="37">
        <v>41995.871122685188</v>
      </c>
      <c r="E1024" s="37">
        <v>41995.876076388886</v>
      </c>
      <c r="U1024">
        <v>16</v>
      </c>
      <c r="W1024" s="47"/>
    </row>
    <row r="1025" spans="1:23" hidden="1">
      <c r="A1025">
        <v>3663262115</v>
      </c>
      <c r="B1025">
        <v>57240262</v>
      </c>
      <c r="C1025" s="36" t="s">
        <v>1397</v>
      </c>
      <c r="D1025" s="37">
        <v>41995.875925925924</v>
      </c>
      <c r="E1025" s="37">
        <v>41995.877337962964</v>
      </c>
      <c r="U1025">
        <v>16</v>
      </c>
      <c r="W1025" s="47"/>
    </row>
    <row r="1026" spans="1:23" hidden="1">
      <c r="A1026">
        <v>3663269915</v>
      </c>
      <c r="B1026">
        <v>57240262</v>
      </c>
      <c r="C1026" s="36" t="s">
        <v>1398</v>
      </c>
      <c r="D1026" s="37">
        <v>41995.879479166666</v>
      </c>
      <c r="E1026" s="37">
        <v>41995.883784722224</v>
      </c>
      <c r="U1026">
        <v>16</v>
      </c>
      <c r="W1026" s="47"/>
    </row>
    <row r="1027" spans="1:23" hidden="1">
      <c r="A1027">
        <v>3663324883</v>
      </c>
      <c r="B1027">
        <v>57240262</v>
      </c>
      <c r="C1027" s="36" t="s">
        <v>1399</v>
      </c>
      <c r="D1027" s="37">
        <v>41995.903587962966</v>
      </c>
      <c r="E1027" s="37">
        <v>41995.906898148147</v>
      </c>
      <c r="F1027">
        <v>1</v>
      </c>
      <c r="G1027">
        <v>2</v>
      </c>
      <c r="H1027">
        <v>3</v>
      </c>
      <c r="I1027">
        <v>4</v>
      </c>
      <c r="K1027">
        <v>6</v>
      </c>
      <c r="M1027">
        <v>8</v>
      </c>
      <c r="O1027">
        <v>10</v>
      </c>
      <c r="P1027">
        <v>11</v>
      </c>
      <c r="Q1027">
        <v>12</v>
      </c>
      <c r="R1027">
        <v>13</v>
      </c>
      <c r="S1027">
        <v>14</v>
      </c>
      <c r="W1027" s="47"/>
    </row>
    <row r="1028" spans="1:23" hidden="1">
      <c r="A1028">
        <v>3663327314</v>
      </c>
      <c r="B1028">
        <v>57240262</v>
      </c>
      <c r="C1028" s="36" t="s">
        <v>1400</v>
      </c>
      <c r="D1028" s="37">
        <v>41995.904629629629</v>
      </c>
      <c r="E1028" s="37">
        <v>41995.908356481479</v>
      </c>
      <c r="U1028">
        <v>16</v>
      </c>
      <c r="W1028" s="47"/>
    </row>
    <row r="1029" spans="1:23" hidden="1">
      <c r="A1029">
        <v>3663354566</v>
      </c>
      <c r="B1029">
        <v>57240262</v>
      </c>
      <c r="C1029" s="36" t="s">
        <v>2349</v>
      </c>
      <c r="D1029" s="37">
        <v>41995.916817129626</v>
      </c>
      <c r="E1029" s="37">
        <v>41995.917222222219</v>
      </c>
      <c r="W1029" s="47"/>
    </row>
    <row r="1030" spans="1:23">
      <c r="A1030">
        <v>3663363986</v>
      </c>
      <c r="B1030">
        <v>57240262</v>
      </c>
      <c r="C1030" s="36" t="s">
        <v>1401</v>
      </c>
      <c r="D1030" s="37">
        <v>41995.920763888891</v>
      </c>
      <c r="E1030" s="37">
        <v>41995.927025462966</v>
      </c>
      <c r="J1030">
        <v>5</v>
      </c>
      <c r="K1030">
        <v>6</v>
      </c>
      <c r="Q1030">
        <v>12</v>
      </c>
      <c r="V1030" s="42" t="s">
        <v>152</v>
      </c>
      <c r="W1030" s="47">
        <v>6</v>
      </c>
    </row>
    <row r="1031" spans="1:23" hidden="1">
      <c r="A1031">
        <v>3663378665</v>
      </c>
      <c r="B1031">
        <v>57240262</v>
      </c>
      <c r="C1031" s="36" t="s">
        <v>1402</v>
      </c>
      <c r="D1031" s="37">
        <v>41995.927002314813</v>
      </c>
      <c r="E1031" s="37">
        <v>41995.932743055557</v>
      </c>
      <c r="M1031">
        <v>8</v>
      </c>
      <c r="W1031" s="47"/>
    </row>
    <row r="1032" spans="1:23" hidden="1">
      <c r="A1032">
        <v>3663386495</v>
      </c>
      <c r="B1032">
        <v>57240262</v>
      </c>
      <c r="C1032" s="36" t="s">
        <v>1403</v>
      </c>
      <c r="D1032" s="37">
        <v>41995.93105324074</v>
      </c>
      <c r="E1032" s="37">
        <v>41995.934699074074</v>
      </c>
      <c r="L1032">
        <v>7</v>
      </c>
      <c r="N1032">
        <v>9</v>
      </c>
      <c r="W1032" s="47"/>
    </row>
    <row r="1033" spans="1:23" hidden="1">
      <c r="A1033">
        <v>3663402184</v>
      </c>
      <c r="B1033">
        <v>57240262</v>
      </c>
      <c r="C1033" s="36" t="s">
        <v>1404</v>
      </c>
      <c r="D1033" s="37">
        <v>41995.938344907408</v>
      </c>
      <c r="E1033" s="37">
        <v>41995.942199074074</v>
      </c>
      <c r="K1033">
        <v>6</v>
      </c>
      <c r="W1033" s="47"/>
    </row>
    <row r="1034" spans="1:23" hidden="1">
      <c r="A1034">
        <v>3663472491</v>
      </c>
      <c r="B1034">
        <v>57240262</v>
      </c>
      <c r="C1034" s="36" t="s">
        <v>2350</v>
      </c>
      <c r="D1034" s="37">
        <v>41995.975613425922</v>
      </c>
      <c r="E1034" s="37">
        <v>41995.9762962963</v>
      </c>
      <c r="W1034" s="47"/>
    </row>
    <row r="1035" spans="1:23" hidden="1">
      <c r="A1035">
        <v>3663486021</v>
      </c>
      <c r="B1035">
        <v>57240262</v>
      </c>
      <c r="C1035" s="36" t="s">
        <v>1405</v>
      </c>
      <c r="D1035" s="37">
        <v>41995.983506944445</v>
      </c>
      <c r="E1035" s="37">
        <v>41995.98746527778</v>
      </c>
      <c r="J1035">
        <v>5</v>
      </c>
      <c r="W1035" s="47"/>
    </row>
    <row r="1036" spans="1:23" hidden="1">
      <c r="A1036">
        <v>3663616225</v>
      </c>
      <c r="B1036">
        <v>57240262</v>
      </c>
      <c r="C1036" s="36" t="s">
        <v>1406</v>
      </c>
      <c r="D1036" s="37">
        <v>41996.068645833337</v>
      </c>
      <c r="E1036" s="37">
        <v>41996.08666666667</v>
      </c>
      <c r="F1036">
        <v>1</v>
      </c>
      <c r="G1036">
        <v>2</v>
      </c>
      <c r="H1036">
        <v>3</v>
      </c>
      <c r="K1036">
        <v>6</v>
      </c>
      <c r="P1036">
        <v>11</v>
      </c>
      <c r="W1036" s="47"/>
    </row>
    <row r="1037" spans="1:23">
      <c r="A1037">
        <v>3663653886</v>
      </c>
      <c r="B1037">
        <v>57240262</v>
      </c>
      <c r="C1037" s="36" t="s">
        <v>1407</v>
      </c>
      <c r="D1037" s="37">
        <v>41996.097951388889</v>
      </c>
      <c r="E1037" s="37">
        <v>41996.103321759256</v>
      </c>
      <c r="F1037">
        <v>1</v>
      </c>
      <c r="H1037">
        <v>3</v>
      </c>
      <c r="K1037">
        <v>6</v>
      </c>
      <c r="O1037">
        <v>10</v>
      </c>
      <c r="S1037">
        <v>14</v>
      </c>
      <c r="V1037" s="42" t="s">
        <v>151</v>
      </c>
      <c r="W1037" s="47">
        <v>1</v>
      </c>
    </row>
    <row r="1038" spans="1:23" hidden="1">
      <c r="A1038">
        <v>3663770330</v>
      </c>
      <c r="B1038">
        <v>57240262</v>
      </c>
      <c r="C1038" s="36" t="s">
        <v>2351</v>
      </c>
      <c r="D1038" s="37">
        <v>41996.213460648149</v>
      </c>
      <c r="E1038" s="37">
        <v>41996.213946759257</v>
      </c>
      <c r="W1038" s="47"/>
    </row>
    <row r="1039" spans="1:23" hidden="1">
      <c r="A1039">
        <v>3663912160</v>
      </c>
      <c r="B1039">
        <v>57240262</v>
      </c>
      <c r="C1039" s="36" t="s">
        <v>1408</v>
      </c>
      <c r="D1039" s="37">
        <v>41996.371435185189</v>
      </c>
      <c r="E1039" s="37">
        <v>41996.372858796298</v>
      </c>
      <c r="O1039">
        <v>10</v>
      </c>
      <c r="W1039" s="47"/>
    </row>
    <row r="1040" spans="1:23" hidden="1">
      <c r="A1040">
        <v>3663913757</v>
      </c>
      <c r="B1040">
        <v>57240262</v>
      </c>
      <c r="C1040" s="36" t="s">
        <v>1409</v>
      </c>
      <c r="D1040" s="37">
        <v>41996.373171296298</v>
      </c>
      <c r="E1040" s="37">
        <v>41996.374166666668</v>
      </c>
      <c r="O1040">
        <v>10</v>
      </c>
      <c r="W1040" s="47"/>
    </row>
    <row r="1041" spans="1:23" hidden="1">
      <c r="A1041">
        <v>3663934807</v>
      </c>
      <c r="B1041">
        <v>57240262</v>
      </c>
      <c r="C1041" s="36" t="s">
        <v>1410</v>
      </c>
      <c r="D1041" s="37">
        <v>41996.391817129632</v>
      </c>
      <c r="E1041" s="37">
        <v>41996.398321759261</v>
      </c>
      <c r="U1041">
        <v>16</v>
      </c>
      <c r="W1041" s="47"/>
    </row>
    <row r="1042" spans="1:23" hidden="1">
      <c r="A1042">
        <v>3663943136</v>
      </c>
      <c r="B1042">
        <v>57240262</v>
      </c>
      <c r="C1042" s="36" t="s">
        <v>1411</v>
      </c>
      <c r="D1042" s="37">
        <v>41996.399108796293</v>
      </c>
      <c r="E1042" s="37">
        <v>41996.410983796297</v>
      </c>
      <c r="K1042">
        <v>6</v>
      </c>
      <c r="W1042" s="47"/>
    </row>
    <row r="1043" spans="1:23" hidden="1">
      <c r="A1043">
        <v>3663958172</v>
      </c>
      <c r="B1043">
        <v>57240262</v>
      </c>
      <c r="C1043" s="36" t="s">
        <v>1412</v>
      </c>
      <c r="D1043" s="37">
        <v>41996.410231481481</v>
      </c>
      <c r="E1043" s="37">
        <v>41996.418113425927</v>
      </c>
      <c r="F1043">
        <v>1</v>
      </c>
      <c r="W1043" s="47"/>
    </row>
    <row r="1044" spans="1:23" hidden="1">
      <c r="A1044">
        <v>3663988537</v>
      </c>
      <c r="B1044">
        <v>57240262</v>
      </c>
      <c r="C1044" s="36" t="s">
        <v>1413</v>
      </c>
      <c r="D1044" s="37">
        <v>41996.435659722221</v>
      </c>
      <c r="E1044" s="37">
        <v>41996.443148148152</v>
      </c>
      <c r="F1044">
        <v>1</v>
      </c>
      <c r="W1044" s="47"/>
    </row>
    <row r="1045" spans="1:23">
      <c r="A1045">
        <v>3663977516</v>
      </c>
      <c r="B1045">
        <v>57240262</v>
      </c>
      <c r="C1045" s="36" t="s">
        <v>320</v>
      </c>
      <c r="D1045" s="37">
        <v>41996.427685185183</v>
      </c>
      <c r="E1045" s="37">
        <v>41996.446828703702</v>
      </c>
      <c r="F1045">
        <v>1</v>
      </c>
      <c r="G1045">
        <v>2</v>
      </c>
      <c r="V1045" s="42" t="s">
        <v>20</v>
      </c>
      <c r="W1045" s="47">
        <v>2</v>
      </c>
    </row>
    <row r="1046" spans="1:23" hidden="1">
      <c r="A1046">
        <v>3664012564</v>
      </c>
      <c r="B1046">
        <v>57240262</v>
      </c>
      <c r="C1046" s="36" t="s">
        <v>1414</v>
      </c>
      <c r="D1046" s="37">
        <v>41996.458958333336</v>
      </c>
      <c r="E1046" s="37">
        <v>41996.463564814818</v>
      </c>
      <c r="U1046">
        <v>16</v>
      </c>
      <c r="W1046" s="47"/>
    </row>
    <row r="1047" spans="1:23" hidden="1">
      <c r="A1047">
        <v>3664014147</v>
      </c>
      <c r="B1047">
        <v>57240262</v>
      </c>
      <c r="C1047" s="36" t="s">
        <v>1415</v>
      </c>
      <c r="D1047" s="37">
        <v>41996.460497685184</v>
      </c>
      <c r="E1047" s="37">
        <v>41996.464918981481</v>
      </c>
      <c r="K1047">
        <v>6</v>
      </c>
      <c r="W1047" s="47"/>
    </row>
    <row r="1048" spans="1:23" hidden="1">
      <c r="A1048">
        <v>3664031009</v>
      </c>
      <c r="B1048">
        <v>57240262</v>
      </c>
      <c r="C1048" s="36" t="s">
        <v>1416</v>
      </c>
      <c r="D1048" s="37">
        <v>41996.474918981483</v>
      </c>
      <c r="E1048" s="37">
        <v>41996.477685185186</v>
      </c>
      <c r="U1048">
        <v>16</v>
      </c>
      <c r="W1048" s="47"/>
    </row>
    <row r="1049" spans="1:23" hidden="1">
      <c r="A1049">
        <v>3664052913</v>
      </c>
      <c r="B1049">
        <v>57240262</v>
      </c>
      <c r="C1049" s="36" t="s">
        <v>1417</v>
      </c>
      <c r="D1049" s="37">
        <v>41996.493125000001</v>
      </c>
      <c r="E1049" s="37">
        <v>41996.495729166665</v>
      </c>
      <c r="U1049">
        <v>16</v>
      </c>
      <c r="W1049" s="47"/>
    </row>
    <row r="1050" spans="1:23" hidden="1">
      <c r="A1050">
        <v>3664077382</v>
      </c>
      <c r="B1050">
        <v>57240262</v>
      </c>
      <c r="C1050" s="36" t="s">
        <v>1418</v>
      </c>
      <c r="D1050" s="37">
        <v>41996.512615740743</v>
      </c>
      <c r="E1050" s="37">
        <v>41996.515960648147</v>
      </c>
      <c r="N1050">
        <v>9</v>
      </c>
      <c r="W1050" s="47"/>
    </row>
    <row r="1051" spans="1:23" hidden="1">
      <c r="A1051">
        <v>3664107850</v>
      </c>
      <c r="B1051">
        <v>57240262</v>
      </c>
      <c r="C1051" s="36" t="s">
        <v>1419</v>
      </c>
      <c r="D1051" s="37">
        <v>41996.535000000003</v>
      </c>
      <c r="E1051" s="37">
        <v>41996.538969907408</v>
      </c>
      <c r="O1051">
        <v>10</v>
      </c>
      <c r="W1051" s="47"/>
    </row>
    <row r="1052" spans="1:23" hidden="1">
      <c r="A1052">
        <v>3664129981</v>
      </c>
      <c r="B1052">
        <v>57240262</v>
      </c>
      <c r="C1052" s="36" t="s">
        <v>1420</v>
      </c>
      <c r="D1052" s="37">
        <v>41996.549490740741</v>
      </c>
      <c r="E1052" s="37">
        <v>41996.550520833334</v>
      </c>
      <c r="M1052">
        <v>8</v>
      </c>
      <c r="W1052" s="47"/>
    </row>
    <row r="1053" spans="1:23" hidden="1">
      <c r="A1053">
        <v>3664142487</v>
      </c>
      <c r="B1053">
        <v>57240262</v>
      </c>
      <c r="C1053" s="36" t="s">
        <v>324</v>
      </c>
      <c r="D1053" s="37">
        <v>41996.557210648149</v>
      </c>
      <c r="E1053" s="37">
        <v>41996.562615740739</v>
      </c>
      <c r="U1053">
        <v>16</v>
      </c>
      <c r="W1053" s="47"/>
    </row>
    <row r="1054" spans="1:23" hidden="1">
      <c r="A1054">
        <v>3664163728</v>
      </c>
      <c r="B1054">
        <v>57240262</v>
      </c>
      <c r="C1054" s="36" t="s">
        <v>1421</v>
      </c>
      <c r="D1054" s="37">
        <v>41996.56958333333</v>
      </c>
      <c r="E1054" s="37">
        <v>41996.5700462963</v>
      </c>
      <c r="O1054">
        <v>10</v>
      </c>
      <c r="W1054" s="47"/>
    </row>
    <row r="1055" spans="1:23" ht="24">
      <c r="A1055">
        <v>3664154674</v>
      </c>
      <c r="B1055">
        <v>57240262</v>
      </c>
      <c r="C1055" s="36" t="s">
        <v>323</v>
      </c>
      <c r="D1055" s="37">
        <v>41996.564606481479</v>
      </c>
      <c r="E1055" s="37">
        <v>41996.570833333331</v>
      </c>
      <c r="F1055">
        <v>1</v>
      </c>
      <c r="G1055">
        <v>2</v>
      </c>
      <c r="J1055">
        <v>5</v>
      </c>
      <c r="R1055">
        <v>13</v>
      </c>
      <c r="V1055" s="42" t="s">
        <v>150</v>
      </c>
      <c r="W1055" s="47">
        <v>5</v>
      </c>
    </row>
    <row r="1056" spans="1:23" hidden="1">
      <c r="A1056">
        <v>3664203165</v>
      </c>
      <c r="B1056">
        <v>57240262</v>
      </c>
      <c r="C1056" s="36" t="s">
        <v>1422</v>
      </c>
      <c r="D1056" s="37">
        <v>41996.591516203705</v>
      </c>
      <c r="E1056" s="37">
        <v>41996.598738425928</v>
      </c>
      <c r="F1056">
        <v>1</v>
      </c>
      <c r="H1056">
        <v>3</v>
      </c>
      <c r="W1056" s="47"/>
    </row>
    <row r="1057" spans="1:23" hidden="1">
      <c r="A1057">
        <v>3664346554</v>
      </c>
      <c r="B1057">
        <v>57240262</v>
      </c>
      <c r="C1057" s="36" t="s">
        <v>2352</v>
      </c>
      <c r="D1057" s="37">
        <v>41996.659444444442</v>
      </c>
      <c r="E1057" s="37">
        <v>41996.660185185188</v>
      </c>
      <c r="W1057" s="47"/>
    </row>
    <row r="1058" spans="1:23" hidden="1">
      <c r="A1058">
        <v>3664444578</v>
      </c>
      <c r="B1058">
        <v>57240262</v>
      </c>
      <c r="C1058" s="36" t="s">
        <v>1423</v>
      </c>
      <c r="D1058" s="37">
        <v>41996.704201388886</v>
      </c>
      <c r="E1058" s="37">
        <v>41996.707106481481</v>
      </c>
      <c r="U1058">
        <v>16</v>
      </c>
      <c r="W1058" s="47"/>
    </row>
    <row r="1059" spans="1:23" hidden="1">
      <c r="A1059">
        <v>3664784374</v>
      </c>
      <c r="B1059">
        <v>57240262</v>
      </c>
      <c r="C1059" s="36" t="s">
        <v>1424</v>
      </c>
      <c r="D1059" s="37">
        <v>41996.883414351854</v>
      </c>
      <c r="E1059" s="37">
        <v>41996.891759259262</v>
      </c>
      <c r="F1059">
        <v>1</v>
      </c>
      <c r="G1059">
        <v>2</v>
      </c>
      <c r="H1059">
        <v>3</v>
      </c>
      <c r="M1059">
        <v>8</v>
      </c>
      <c r="O1059">
        <v>10</v>
      </c>
      <c r="R1059">
        <v>13</v>
      </c>
      <c r="W1059" s="47"/>
    </row>
    <row r="1060" spans="1:23">
      <c r="A1060">
        <v>3664787517</v>
      </c>
      <c r="B1060">
        <v>57240262</v>
      </c>
      <c r="C1060" s="36" t="s">
        <v>1425</v>
      </c>
      <c r="D1060" s="37">
        <v>41996.885312500002</v>
      </c>
      <c r="E1060" s="37">
        <v>41996.894479166665</v>
      </c>
      <c r="G1060">
        <v>2</v>
      </c>
      <c r="K1060">
        <v>6</v>
      </c>
      <c r="O1060">
        <v>10</v>
      </c>
      <c r="P1060">
        <v>11</v>
      </c>
      <c r="V1060" s="42" t="s">
        <v>31</v>
      </c>
      <c r="W1060" s="47">
        <v>2</v>
      </c>
    </row>
    <row r="1061" spans="1:23" hidden="1">
      <c r="A1061">
        <v>3664967907</v>
      </c>
      <c r="B1061">
        <v>57240262</v>
      </c>
      <c r="C1061" s="36" t="s">
        <v>2353</v>
      </c>
      <c r="D1061" s="37">
        <v>41997.015775462962</v>
      </c>
      <c r="E1061" s="37">
        <v>41997.016458333332</v>
      </c>
      <c r="W1061" s="47"/>
    </row>
    <row r="1062" spans="1:23" hidden="1">
      <c r="A1062">
        <v>3665258156</v>
      </c>
      <c r="B1062">
        <v>57240262</v>
      </c>
      <c r="C1062" s="36" t="s">
        <v>1426</v>
      </c>
      <c r="D1062" s="37">
        <v>41997.386631944442</v>
      </c>
      <c r="E1062" s="37">
        <v>41997.387453703705</v>
      </c>
      <c r="K1062">
        <v>6</v>
      </c>
      <c r="W1062" s="47"/>
    </row>
    <row r="1063" spans="1:23" hidden="1">
      <c r="A1063">
        <v>3665287629</v>
      </c>
      <c r="B1063">
        <v>57240262</v>
      </c>
      <c r="C1063" s="36" t="s">
        <v>1427</v>
      </c>
      <c r="D1063" s="37">
        <v>41997.420439814814</v>
      </c>
      <c r="E1063" s="37">
        <v>41997.424456018518</v>
      </c>
      <c r="K1063">
        <v>6</v>
      </c>
      <c r="W1063" s="47"/>
    </row>
    <row r="1064" spans="1:23" hidden="1">
      <c r="A1064">
        <v>3665285214</v>
      </c>
      <c r="B1064">
        <v>57240262</v>
      </c>
      <c r="C1064" s="36" t="s">
        <v>325</v>
      </c>
      <c r="D1064" s="37">
        <v>41997.417662037034</v>
      </c>
      <c r="E1064" s="37">
        <v>41997.430219907408</v>
      </c>
      <c r="U1064">
        <v>16</v>
      </c>
      <c r="W1064" s="47"/>
    </row>
    <row r="1065" spans="1:23" hidden="1">
      <c r="A1065">
        <v>3665322714</v>
      </c>
      <c r="B1065">
        <v>57240262</v>
      </c>
      <c r="C1065" s="36" t="s">
        <v>1428</v>
      </c>
      <c r="D1065" s="37">
        <v>41997.456828703704</v>
      </c>
      <c r="E1065" s="37">
        <v>41997.468159722222</v>
      </c>
      <c r="Q1065">
        <v>12</v>
      </c>
      <c r="W1065" s="47"/>
    </row>
    <row r="1066" spans="1:23" hidden="1">
      <c r="A1066">
        <v>3665331435</v>
      </c>
      <c r="B1066">
        <v>57240262</v>
      </c>
      <c r="C1066" s="36" t="s">
        <v>1429</v>
      </c>
      <c r="D1066" s="37">
        <v>41997.466493055559</v>
      </c>
      <c r="E1066" s="37">
        <v>41997.470694444448</v>
      </c>
      <c r="Q1066">
        <v>12</v>
      </c>
      <c r="W1066" s="47"/>
    </row>
    <row r="1067" spans="1:23">
      <c r="A1067">
        <v>3665333706</v>
      </c>
      <c r="B1067">
        <v>57240262</v>
      </c>
      <c r="C1067" s="36" t="s">
        <v>1430</v>
      </c>
      <c r="D1067" s="37">
        <v>41997.468275462961</v>
      </c>
      <c r="E1067" s="37">
        <v>41997.474675925929</v>
      </c>
      <c r="Q1067">
        <v>12</v>
      </c>
      <c r="S1067">
        <v>14</v>
      </c>
      <c r="V1067" s="42" t="s">
        <v>149</v>
      </c>
      <c r="W1067" s="47">
        <v>14</v>
      </c>
    </row>
    <row r="1068" spans="1:23" hidden="1">
      <c r="A1068">
        <v>3665361803</v>
      </c>
      <c r="B1068">
        <v>57240262</v>
      </c>
      <c r="C1068" s="36" t="s">
        <v>1431</v>
      </c>
      <c r="D1068" s="37">
        <v>41997.493495370371</v>
      </c>
      <c r="E1068" s="37">
        <v>41997.501388888886</v>
      </c>
      <c r="I1068">
        <v>4</v>
      </c>
      <c r="O1068">
        <v>10</v>
      </c>
      <c r="P1068">
        <v>11</v>
      </c>
      <c r="R1068">
        <v>13</v>
      </c>
      <c r="W1068" s="47"/>
    </row>
    <row r="1069" spans="1:23" hidden="1">
      <c r="A1069">
        <v>3665393093</v>
      </c>
      <c r="B1069">
        <v>57240262</v>
      </c>
      <c r="C1069" s="36" t="s">
        <v>1432</v>
      </c>
      <c r="D1069" s="37">
        <v>41997.522465277776</v>
      </c>
      <c r="E1069" s="37">
        <v>41997.527060185188</v>
      </c>
      <c r="K1069">
        <v>6</v>
      </c>
      <c r="O1069">
        <v>10</v>
      </c>
      <c r="W1069" s="47"/>
    </row>
    <row r="1070" spans="1:23" hidden="1">
      <c r="A1070">
        <v>3665402716</v>
      </c>
      <c r="B1070">
        <v>57240262</v>
      </c>
      <c r="C1070" s="36" t="s">
        <v>1433</v>
      </c>
      <c r="D1070" s="37">
        <v>41997.531504629631</v>
      </c>
      <c r="E1070" s="37">
        <v>41997.536226851851</v>
      </c>
      <c r="U1070">
        <v>16</v>
      </c>
      <c r="W1070" s="47"/>
    </row>
    <row r="1071" spans="1:23" hidden="1">
      <c r="A1071">
        <v>3665386663</v>
      </c>
      <c r="B1071">
        <v>57240262</v>
      </c>
      <c r="C1071" s="36" t="s">
        <v>326</v>
      </c>
      <c r="D1071" s="37">
        <v>41997.516770833332</v>
      </c>
      <c r="E1071" s="37">
        <v>41997.548692129632</v>
      </c>
      <c r="U1071">
        <v>16</v>
      </c>
      <c r="W1071" s="47"/>
    </row>
    <row r="1072" spans="1:23">
      <c r="A1072">
        <v>3665488080</v>
      </c>
      <c r="B1072">
        <v>57240262</v>
      </c>
      <c r="C1072" s="36" t="s">
        <v>1434</v>
      </c>
      <c r="D1072" s="37">
        <v>41997.600312499999</v>
      </c>
      <c r="E1072" s="37">
        <v>41997.604189814818</v>
      </c>
      <c r="F1072">
        <v>1</v>
      </c>
      <c r="Q1072">
        <v>12</v>
      </c>
      <c r="V1072" s="42" t="s">
        <v>100</v>
      </c>
      <c r="W1072" s="47">
        <v>1</v>
      </c>
    </row>
    <row r="1073" spans="1:23">
      <c r="A1073">
        <v>3665520794</v>
      </c>
      <c r="B1073">
        <v>57240262</v>
      </c>
      <c r="C1073" s="36" t="s">
        <v>1435</v>
      </c>
      <c r="D1073" s="37">
        <v>41997.624398148146</v>
      </c>
      <c r="E1073" s="37">
        <v>41997.635567129626</v>
      </c>
      <c r="F1073">
        <v>1</v>
      </c>
      <c r="G1073">
        <v>2</v>
      </c>
      <c r="K1073">
        <v>6</v>
      </c>
      <c r="V1073" s="42" t="s">
        <v>148</v>
      </c>
      <c r="W1073" s="47">
        <v>15</v>
      </c>
    </row>
    <row r="1074" spans="1:23">
      <c r="A1074">
        <v>3666075111</v>
      </c>
      <c r="B1074">
        <v>57240262</v>
      </c>
      <c r="C1074" s="36" t="s">
        <v>1436</v>
      </c>
      <c r="D1074" s="37">
        <v>41998.454525462963</v>
      </c>
      <c r="E1074" s="37">
        <v>41998.486331018517</v>
      </c>
      <c r="H1074">
        <v>3</v>
      </c>
      <c r="N1074">
        <v>9</v>
      </c>
      <c r="V1074" s="42" t="s">
        <v>147</v>
      </c>
      <c r="W1074" s="47">
        <v>15</v>
      </c>
    </row>
    <row r="1075" spans="1:23" hidden="1">
      <c r="A1075">
        <v>3666251095</v>
      </c>
      <c r="B1075">
        <v>57240262</v>
      </c>
      <c r="C1075" s="36" t="s">
        <v>1437</v>
      </c>
      <c r="D1075" s="37">
        <v>41998.758506944447</v>
      </c>
      <c r="E1075" s="37">
        <v>41998.763067129628</v>
      </c>
      <c r="Q1075">
        <v>12</v>
      </c>
      <c r="W1075" s="47"/>
    </row>
    <row r="1076" spans="1:23" hidden="1">
      <c r="A1076">
        <v>3666279290</v>
      </c>
      <c r="B1076">
        <v>57240262</v>
      </c>
      <c r="C1076" s="36" t="s">
        <v>1438</v>
      </c>
      <c r="D1076" s="37">
        <v>41998.811562499999</v>
      </c>
      <c r="E1076" s="37">
        <v>41998.821215277778</v>
      </c>
      <c r="I1076">
        <v>4</v>
      </c>
      <c r="Q1076">
        <v>12</v>
      </c>
      <c r="R1076">
        <v>13</v>
      </c>
      <c r="S1076">
        <v>14</v>
      </c>
      <c r="W1076" s="47"/>
    </row>
    <row r="1077" spans="1:23" hidden="1">
      <c r="A1077">
        <v>3666550087</v>
      </c>
      <c r="B1077">
        <v>57240262</v>
      </c>
      <c r="C1077" s="36" t="s">
        <v>1439</v>
      </c>
      <c r="D1077" s="37">
        <v>41999.371655092589</v>
      </c>
      <c r="E1077" s="37">
        <v>41999.390509259261</v>
      </c>
      <c r="F1077">
        <v>1</v>
      </c>
      <c r="W1077" s="47"/>
    </row>
    <row r="1078" spans="1:23" hidden="1">
      <c r="A1078">
        <v>3666744621</v>
      </c>
      <c r="B1078">
        <v>57240262</v>
      </c>
      <c r="C1078" s="36" t="s">
        <v>1440</v>
      </c>
      <c r="D1078" s="37">
        <v>41999.611759259256</v>
      </c>
      <c r="E1078" s="37">
        <v>41999.62228009259</v>
      </c>
      <c r="F1078">
        <v>1</v>
      </c>
      <c r="K1078">
        <v>6</v>
      </c>
      <c r="W1078" s="47"/>
    </row>
    <row r="1079" spans="1:23" hidden="1">
      <c r="A1079">
        <v>3667590527</v>
      </c>
      <c r="B1079">
        <v>57240262</v>
      </c>
      <c r="C1079" s="36" t="s">
        <v>1441</v>
      </c>
      <c r="D1079" s="37">
        <v>42000.786400462966</v>
      </c>
      <c r="E1079" s="37">
        <v>42000.791238425925</v>
      </c>
      <c r="U1079">
        <v>16</v>
      </c>
      <c r="W1079" s="47"/>
    </row>
    <row r="1080" spans="1:23">
      <c r="A1080">
        <v>3667922307</v>
      </c>
      <c r="B1080">
        <v>57240262</v>
      </c>
      <c r="C1080" s="36" t="s">
        <v>1442</v>
      </c>
      <c r="D1080" s="37">
        <v>42001.440393518518</v>
      </c>
      <c r="E1080" s="37">
        <v>42001.444560185184</v>
      </c>
      <c r="F1080">
        <v>1</v>
      </c>
      <c r="G1080">
        <v>2</v>
      </c>
      <c r="O1080">
        <v>10</v>
      </c>
      <c r="V1080" s="42" t="s">
        <v>31</v>
      </c>
      <c r="W1080" s="47">
        <v>2</v>
      </c>
    </row>
    <row r="1081" spans="1:23" hidden="1">
      <c r="A1081">
        <v>3667925980</v>
      </c>
      <c r="B1081">
        <v>57240262</v>
      </c>
      <c r="C1081" s="36" t="s">
        <v>1443</v>
      </c>
      <c r="D1081" s="37">
        <v>42001.447881944441</v>
      </c>
      <c r="E1081" s="37">
        <v>42001.450682870367</v>
      </c>
      <c r="F1081">
        <v>1</v>
      </c>
      <c r="K1081">
        <v>6</v>
      </c>
      <c r="W1081" s="47"/>
    </row>
    <row r="1082" spans="1:23" hidden="1">
      <c r="A1082">
        <v>3667932206</v>
      </c>
      <c r="B1082">
        <v>57240262</v>
      </c>
      <c r="C1082" s="36" t="s">
        <v>1444</v>
      </c>
      <c r="D1082" s="37">
        <v>42001.461041666669</v>
      </c>
      <c r="E1082" s="37">
        <v>42001.467939814815</v>
      </c>
      <c r="U1082">
        <v>16</v>
      </c>
      <c r="W1082" s="47"/>
    </row>
    <row r="1083" spans="1:23" hidden="1">
      <c r="A1083">
        <v>3667935823</v>
      </c>
      <c r="B1083">
        <v>57240262</v>
      </c>
      <c r="C1083" s="36" t="s">
        <v>1445</v>
      </c>
      <c r="D1083" s="37">
        <v>42001.468668981484</v>
      </c>
      <c r="E1083" s="37">
        <v>42001.479687500003</v>
      </c>
      <c r="F1083">
        <v>1</v>
      </c>
      <c r="W1083" s="47"/>
    </row>
    <row r="1084" spans="1:23" hidden="1">
      <c r="A1084">
        <v>3667964420</v>
      </c>
      <c r="B1084">
        <v>57240262</v>
      </c>
      <c r="C1084" s="36" t="s">
        <v>1446</v>
      </c>
      <c r="D1084" s="37">
        <v>42001.522337962961</v>
      </c>
      <c r="E1084" s="37">
        <v>42001.531122685185</v>
      </c>
      <c r="U1084">
        <v>16</v>
      </c>
      <c r="W1084" s="47"/>
    </row>
    <row r="1085" spans="1:23" hidden="1">
      <c r="A1085">
        <v>3668009303</v>
      </c>
      <c r="B1085">
        <v>57240262</v>
      </c>
      <c r="C1085" s="36" t="s">
        <v>1447</v>
      </c>
      <c r="D1085" s="37">
        <v>42001.589375000003</v>
      </c>
      <c r="E1085" s="37">
        <v>42001.596134259256</v>
      </c>
      <c r="U1085">
        <v>16</v>
      </c>
      <c r="W1085" s="47"/>
    </row>
    <row r="1086" spans="1:23">
      <c r="A1086">
        <v>3668134008</v>
      </c>
      <c r="B1086">
        <v>57240262</v>
      </c>
      <c r="C1086" s="36" t="s">
        <v>1448</v>
      </c>
      <c r="D1086" s="37">
        <v>42001.765856481485</v>
      </c>
      <c r="E1086" s="37">
        <v>42001.776805555557</v>
      </c>
      <c r="G1086">
        <v>2</v>
      </c>
      <c r="M1086">
        <v>8</v>
      </c>
      <c r="N1086">
        <v>9</v>
      </c>
      <c r="Q1086">
        <v>12</v>
      </c>
      <c r="V1086" s="42" t="s">
        <v>146</v>
      </c>
      <c r="W1086" s="47">
        <v>2</v>
      </c>
    </row>
    <row r="1087" spans="1:23">
      <c r="A1087">
        <v>3668140549</v>
      </c>
      <c r="B1087">
        <v>57240262</v>
      </c>
      <c r="C1087" s="36" t="s">
        <v>1449</v>
      </c>
      <c r="D1087" s="37">
        <v>42001.774872685186</v>
      </c>
      <c r="E1087" s="37">
        <v>42001.782187500001</v>
      </c>
      <c r="F1087">
        <v>1</v>
      </c>
      <c r="I1087">
        <v>4</v>
      </c>
      <c r="O1087">
        <v>10</v>
      </c>
      <c r="P1087">
        <v>11</v>
      </c>
      <c r="R1087">
        <v>13</v>
      </c>
      <c r="V1087" s="42" t="s">
        <v>26</v>
      </c>
      <c r="W1087" s="47">
        <v>4</v>
      </c>
    </row>
    <row r="1088" spans="1:23" hidden="1">
      <c r="A1088">
        <v>3668143437</v>
      </c>
      <c r="B1088">
        <v>57240262</v>
      </c>
      <c r="C1088" s="36" t="s">
        <v>1450</v>
      </c>
      <c r="D1088" s="37">
        <v>42001.779039351852</v>
      </c>
      <c r="E1088" s="37">
        <v>42001.782916666663</v>
      </c>
      <c r="U1088">
        <v>16</v>
      </c>
      <c r="W1088" s="47"/>
    </row>
    <row r="1089" spans="1:23" ht="24">
      <c r="A1089">
        <v>3668191797</v>
      </c>
      <c r="B1089">
        <v>57240262</v>
      </c>
      <c r="C1089" s="36" t="s">
        <v>1451</v>
      </c>
      <c r="D1089" s="37">
        <v>42001.846134259256</v>
      </c>
      <c r="E1089" s="37">
        <v>42001.858506944445</v>
      </c>
      <c r="G1089">
        <v>2</v>
      </c>
      <c r="L1089">
        <v>7</v>
      </c>
      <c r="V1089" s="42" t="s">
        <v>145</v>
      </c>
      <c r="W1089" s="47">
        <v>15</v>
      </c>
    </row>
    <row r="1090" spans="1:23" hidden="1">
      <c r="A1090">
        <v>3668282897</v>
      </c>
      <c r="B1090">
        <v>57240262</v>
      </c>
      <c r="C1090" s="36" t="s">
        <v>1452</v>
      </c>
      <c r="D1090" s="37">
        <v>42001.972280092596</v>
      </c>
      <c r="E1090" s="37">
        <v>42001.976481481484</v>
      </c>
      <c r="Q1090">
        <v>12</v>
      </c>
      <c r="W1090" s="47"/>
    </row>
    <row r="1091" spans="1:23" hidden="1">
      <c r="A1091">
        <v>3668283436</v>
      </c>
      <c r="B1091">
        <v>57240262</v>
      </c>
      <c r="C1091" s="36" t="s">
        <v>1453</v>
      </c>
      <c r="D1091" s="37">
        <v>42001.973020833335</v>
      </c>
      <c r="E1091" s="37">
        <v>42001.985856481479</v>
      </c>
      <c r="R1091">
        <v>13</v>
      </c>
      <c r="W1091" s="47"/>
    </row>
    <row r="1092" spans="1:23">
      <c r="A1092">
        <v>3668517134</v>
      </c>
      <c r="B1092">
        <v>57240262</v>
      </c>
      <c r="C1092" s="36" t="s">
        <v>1454</v>
      </c>
      <c r="D1092" s="37">
        <v>42002.333703703705</v>
      </c>
      <c r="E1092" s="37">
        <v>42002.340648148151</v>
      </c>
      <c r="G1092">
        <v>2</v>
      </c>
      <c r="I1092">
        <v>4</v>
      </c>
      <c r="K1092">
        <v>6</v>
      </c>
      <c r="O1092">
        <v>10</v>
      </c>
      <c r="Q1092">
        <v>12</v>
      </c>
      <c r="V1092" s="42" t="s">
        <v>144</v>
      </c>
      <c r="W1092" s="47">
        <v>10</v>
      </c>
    </row>
    <row r="1093" spans="1:23" hidden="1">
      <c r="A1093">
        <v>3668567246</v>
      </c>
      <c r="B1093">
        <v>57240262</v>
      </c>
      <c r="C1093" s="36" t="s">
        <v>1455</v>
      </c>
      <c r="D1093" s="37">
        <v>42002.39912037037</v>
      </c>
      <c r="E1093" s="37">
        <v>42002.400983796295</v>
      </c>
      <c r="U1093">
        <v>16</v>
      </c>
      <c r="W1093" s="47"/>
    </row>
    <row r="1094" spans="1:23" hidden="1">
      <c r="A1094">
        <v>3668590062</v>
      </c>
      <c r="B1094">
        <v>57240262</v>
      </c>
      <c r="C1094" s="36" t="s">
        <v>2354</v>
      </c>
      <c r="D1094" s="37">
        <v>42002.426180555558</v>
      </c>
      <c r="E1094" s="37">
        <v>42002.426793981482</v>
      </c>
      <c r="W1094" s="47"/>
    </row>
    <row r="1095" spans="1:23" hidden="1">
      <c r="A1095">
        <v>3668655345</v>
      </c>
      <c r="B1095">
        <v>57240262</v>
      </c>
      <c r="C1095" s="36" t="s">
        <v>1456</v>
      </c>
      <c r="D1095" s="37">
        <v>42002.499085648145</v>
      </c>
      <c r="E1095" s="37">
        <v>42002.505324074074</v>
      </c>
      <c r="I1095">
        <v>4</v>
      </c>
      <c r="W1095" s="47"/>
    </row>
    <row r="1096" spans="1:23" hidden="1">
      <c r="A1096">
        <v>3668660991</v>
      </c>
      <c r="B1096">
        <v>57240262</v>
      </c>
      <c r="C1096" s="36" t="s">
        <v>1457</v>
      </c>
      <c r="D1096" s="37">
        <v>42002.504756944443</v>
      </c>
      <c r="E1096" s="37">
        <v>42002.509212962963</v>
      </c>
      <c r="F1096">
        <v>1</v>
      </c>
      <c r="I1096">
        <v>4</v>
      </c>
      <c r="J1096">
        <v>5</v>
      </c>
      <c r="K1096">
        <v>6</v>
      </c>
      <c r="W1096" s="47"/>
    </row>
    <row r="1097" spans="1:23">
      <c r="A1097">
        <v>3668672455</v>
      </c>
      <c r="B1097">
        <v>57240262</v>
      </c>
      <c r="C1097" s="36" t="s">
        <v>1458</v>
      </c>
      <c r="D1097" s="37">
        <v>42002.516458333332</v>
      </c>
      <c r="E1097" s="37">
        <v>42002.519201388888</v>
      </c>
      <c r="J1097">
        <v>5</v>
      </c>
      <c r="O1097">
        <v>10</v>
      </c>
      <c r="R1097">
        <v>13</v>
      </c>
      <c r="V1097" s="42" t="s">
        <v>143</v>
      </c>
      <c r="W1097" s="47">
        <v>13</v>
      </c>
    </row>
    <row r="1098" spans="1:23">
      <c r="A1098">
        <v>3668686002</v>
      </c>
      <c r="B1098">
        <v>57240262</v>
      </c>
      <c r="C1098" s="36" t="s">
        <v>1459</v>
      </c>
      <c r="D1098" s="37">
        <v>42002.529745370368</v>
      </c>
      <c r="E1098" s="37">
        <v>42002.533263888887</v>
      </c>
      <c r="F1098">
        <v>1</v>
      </c>
      <c r="G1098">
        <v>2</v>
      </c>
      <c r="U1098">
        <v>16</v>
      </c>
      <c r="V1098" s="42" t="s">
        <v>142</v>
      </c>
      <c r="W1098" s="47">
        <v>2</v>
      </c>
    </row>
    <row r="1099" spans="1:23" hidden="1">
      <c r="A1099">
        <v>3668687973</v>
      </c>
      <c r="B1099">
        <v>57240262</v>
      </c>
      <c r="C1099" s="36" t="s">
        <v>1460</v>
      </c>
      <c r="D1099" s="37">
        <v>42002.5315625</v>
      </c>
      <c r="E1099" s="37">
        <v>42002.534560185188</v>
      </c>
      <c r="J1099">
        <v>5</v>
      </c>
      <c r="Q1099">
        <v>12</v>
      </c>
      <c r="W1099" s="47"/>
    </row>
    <row r="1100" spans="1:23" hidden="1">
      <c r="A1100">
        <v>3668780103</v>
      </c>
      <c r="B1100">
        <v>57240262</v>
      </c>
      <c r="C1100" s="36" t="s">
        <v>1461</v>
      </c>
      <c r="D1100" s="37">
        <v>42002.600289351853</v>
      </c>
      <c r="E1100" s="37">
        <v>42002.617719907408</v>
      </c>
      <c r="M1100">
        <v>8</v>
      </c>
      <c r="W1100" s="47"/>
    </row>
    <row r="1101" spans="1:23" hidden="1">
      <c r="A1101">
        <v>3668897663</v>
      </c>
      <c r="B1101">
        <v>57240262</v>
      </c>
      <c r="C1101" s="36" t="s">
        <v>1462</v>
      </c>
      <c r="D1101" s="37">
        <v>42002.665833333333</v>
      </c>
      <c r="E1101" s="37">
        <v>42002.67664351852</v>
      </c>
      <c r="M1101">
        <v>8</v>
      </c>
      <c r="W1101" s="47"/>
    </row>
    <row r="1102" spans="1:23">
      <c r="A1102">
        <v>3669719266</v>
      </c>
      <c r="B1102">
        <v>57240262</v>
      </c>
      <c r="C1102" s="36" t="s">
        <v>1463</v>
      </c>
      <c r="D1102" s="37">
        <v>42003.284178240741</v>
      </c>
      <c r="E1102" s="37">
        <v>42003.295787037037</v>
      </c>
      <c r="M1102">
        <v>8</v>
      </c>
      <c r="Q1102">
        <v>12</v>
      </c>
      <c r="V1102" s="42" t="s">
        <v>141</v>
      </c>
      <c r="W1102" s="47">
        <v>8</v>
      </c>
    </row>
    <row r="1103" spans="1:23" hidden="1">
      <c r="A1103">
        <v>3669798045</v>
      </c>
      <c r="B1103">
        <v>57240262</v>
      </c>
      <c r="C1103" s="36" t="s">
        <v>327</v>
      </c>
      <c r="D1103" s="37">
        <v>42003.400810185187</v>
      </c>
      <c r="E1103" s="37">
        <v>42003.407141203701</v>
      </c>
      <c r="U1103">
        <v>16</v>
      </c>
      <c r="W1103" s="47"/>
    </row>
    <row r="1104" spans="1:23" hidden="1">
      <c r="A1104">
        <v>3669796648</v>
      </c>
      <c r="B1104">
        <v>57240262</v>
      </c>
      <c r="C1104" s="36" t="s">
        <v>1464</v>
      </c>
      <c r="D1104" s="37">
        <v>42003.399317129632</v>
      </c>
      <c r="E1104" s="37">
        <v>42003.412951388891</v>
      </c>
      <c r="J1104">
        <v>5</v>
      </c>
      <c r="K1104">
        <v>6</v>
      </c>
      <c r="O1104">
        <v>10</v>
      </c>
      <c r="P1104">
        <v>11</v>
      </c>
      <c r="W1104" s="47"/>
    </row>
    <row r="1105" spans="1:23" hidden="1">
      <c r="A1105">
        <v>3669940248</v>
      </c>
      <c r="B1105">
        <v>57240262</v>
      </c>
      <c r="C1105" s="36" t="s">
        <v>1465</v>
      </c>
      <c r="D1105" s="37">
        <v>42003.553414351853</v>
      </c>
      <c r="E1105" s="37">
        <v>42003.558310185188</v>
      </c>
      <c r="U1105">
        <v>16</v>
      </c>
      <c r="W1105" s="47"/>
    </row>
    <row r="1106" spans="1:23" hidden="1">
      <c r="A1106">
        <v>3669948956</v>
      </c>
      <c r="B1106">
        <v>57240262</v>
      </c>
      <c r="C1106" s="36" t="s">
        <v>2355</v>
      </c>
      <c r="D1106" s="37">
        <v>42003.560266203705</v>
      </c>
      <c r="E1106" s="37">
        <v>42003.561226851853</v>
      </c>
      <c r="W1106" s="47"/>
    </row>
    <row r="1107" spans="1:23" hidden="1">
      <c r="A1107">
        <v>3669980681</v>
      </c>
      <c r="B1107">
        <v>57240262</v>
      </c>
      <c r="C1107" s="36" t="s">
        <v>1466</v>
      </c>
      <c r="D1107" s="37">
        <v>42003.583611111113</v>
      </c>
      <c r="E1107" s="37">
        <v>42003.591458333336</v>
      </c>
      <c r="F1107">
        <v>1</v>
      </c>
      <c r="N1107">
        <v>9</v>
      </c>
      <c r="R1107">
        <v>13</v>
      </c>
      <c r="W1107" s="47"/>
    </row>
    <row r="1108" spans="1:23">
      <c r="A1108">
        <v>3670029423</v>
      </c>
      <c r="B1108">
        <v>57240262</v>
      </c>
      <c r="C1108" s="36" t="s">
        <v>1467</v>
      </c>
      <c r="D1108" s="37">
        <v>42003.612500000003</v>
      </c>
      <c r="E1108" s="37">
        <v>42003.618252314816</v>
      </c>
      <c r="F1108">
        <v>1</v>
      </c>
      <c r="H1108">
        <v>3</v>
      </c>
      <c r="V1108" s="42" t="s">
        <v>109</v>
      </c>
      <c r="W1108" s="47">
        <v>3</v>
      </c>
    </row>
    <row r="1109" spans="1:23" hidden="1">
      <c r="A1109">
        <v>3670046425</v>
      </c>
      <c r="B1109">
        <v>57240262</v>
      </c>
      <c r="C1109" s="36" t="s">
        <v>1468</v>
      </c>
      <c r="D1109" s="37">
        <v>42003.620474537034</v>
      </c>
      <c r="E1109" s="37">
        <v>42003.627662037034</v>
      </c>
      <c r="F1109">
        <v>1</v>
      </c>
      <c r="W1109" s="47"/>
    </row>
    <row r="1110" spans="1:23" hidden="1">
      <c r="A1110">
        <v>3670161250</v>
      </c>
      <c r="B1110">
        <v>57240262</v>
      </c>
      <c r="C1110" s="36" t="s">
        <v>1469</v>
      </c>
      <c r="D1110" s="37">
        <v>42003.684907407405</v>
      </c>
      <c r="E1110" s="37">
        <v>42003.690509259257</v>
      </c>
      <c r="U1110">
        <v>16</v>
      </c>
      <c r="W1110" s="47"/>
    </row>
    <row r="1111" spans="1:23" hidden="1">
      <c r="A1111">
        <v>3670179731</v>
      </c>
      <c r="B1111">
        <v>57240262</v>
      </c>
      <c r="C1111" s="36" t="s">
        <v>329</v>
      </c>
      <c r="D1111" s="37">
        <v>42003.69462962963</v>
      </c>
      <c r="E1111" s="37">
        <v>42003.699247685188</v>
      </c>
      <c r="U1111">
        <v>16</v>
      </c>
      <c r="W1111" s="47"/>
    </row>
    <row r="1112" spans="1:23" hidden="1">
      <c r="A1112">
        <v>3670174354</v>
      </c>
      <c r="B1112">
        <v>57240262</v>
      </c>
      <c r="C1112" s="36" t="s">
        <v>1470</v>
      </c>
      <c r="D1112" s="37">
        <v>42003.691805555558</v>
      </c>
      <c r="E1112" s="37">
        <v>42003.708645833336</v>
      </c>
      <c r="I1112">
        <v>4</v>
      </c>
      <c r="W1112" s="47"/>
    </row>
    <row r="1113" spans="1:23" hidden="1">
      <c r="A1113">
        <v>3670203173</v>
      </c>
      <c r="B1113">
        <v>57240262</v>
      </c>
      <c r="C1113" s="36" t="s">
        <v>1471</v>
      </c>
      <c r="D1113" s="37">
        <v>42003.706909722219</v>
      </c>
      <c r="E1113" s="37">
        <v>42003.711446759262</v>
      </c>
      <c r="U1113">
        <v>16</v>
      </c>
      <c r="W1113" s="47"/>
    </row>
    <row r="1114" spans="1:23" hidden="1">
      <c r="A1114">
        <v>3670217408</v>
      </c>
      <c r="B1114">
        <v>57240262</v>
      </c>
      <c r="C1114" s="36" t="s">
        <v>1472</v>
      </c>
      <c r="D1114" s="37">
        <v>42003.714085648149</v>
      </c>
      <c r="E1114" s="37">
        <v>42003.718599537038</v>
      </c>
      <c r="U1114">
        <v>16</v>
      </c>
      <c r="W1114" s="47"/>
    </row>
    <row r="1115" spans="1:23" hidden="1">
      <c r="A1115">
        <v>3670343909</v>
      </c>
      <c r="B1115">
        <v>57240262</v>
      </c>
      <c r="C1115" s="36" t="s">
        <v>1473</v>
      </c>
      <c r="D1115" s="37">
        <v>42003.781782407408</v>
      </c>
      <c r="E1115" s="37">
        <v>42003.786099537036</v>
      </c>
      <c r="I1115">
        <v>4</v>
      </c>
      <c r="Q1115">
        <v>12</v>
      </c>
      <c r="W1115" s="47"/>
    </row>
    <row r="1116" spans="1:23">
      <c r="A1116">
        <v>3670557420</v>
      </c>
      <c r="B1116">
        <v>57240262</v>
      </c>
      <c r="C1116" s="36" t="s">
        <v>1474</v>
      </c>
      <c r="D1116" s="37">
        <v>42003.903252314813</v>
      </c>
      <c r="E1116" s="37">
        <v>42003.908217592594</v>
      </c>
      <c r="F1116">
        <v>1</v>
      </c>
      <c r="P1116">
        <v>11</v>
      </c>
      <c r="Q1116">
        <v>12</v>
      </c>
      <c r="V1116" s="42" t="s">
        <v>140</v>
      </c>
      <c r="W1116" s="47">
        <v>12</v>
      </c>
    </row>
    <row r="1117" spans="1:23" hidden="1">
      <c r="A1117">
        <v>3671001876</v>
      </c>
      <c r="B1117">
        <v>57240262</v>
      </c>
      <c r="C1117" s="36" t="s">
        <v>330</v>
      </c>
      <c r="D1117" s="37">
        <v>42004.410231481481</v>
      </c>
      <c r="E1117" s="37">
        <v>42004.411296296297</v>
      </c>
      <c r="I1117">
        <v>4</v>
      </c>
      <c r="K1117">
        <v>6</v>
      </c>
      <c r="Q1117">
        <v>12</v>
      </c>
      <c r="W1117" s="47"/>
    </row>
    <row r="1118" spans="1:23">
      <c r="A1118">
        <v>3670998291</v>
      </c>
      <c r="B1118">
        <v>57240262</v>
      </c>
      <c r="C1118" s="36" t="s">
        <v>1475</v>
      </c>
      <c r="D1118" s="37">
        <v>42004.404594907406</v>
      </c>
      <c r="E1118" s="37">
        <v>42004.422511574077</v>
      </c>
      <c r="N1118">
        <v>9</v>
      </c>
      <c r="O1118">
        <v>10</v>
      </c>
      <c r="V1118" s="42" t="s">
        <v>139</v>
      </c>
      <c r="W1118" s="47">
        <v>9</v>
      </c>
    </row>
    <row r="1119" spans="1:23" hidden="1">
      <c r="A1119">
        <v>3671088308</v>
      </c>
      <c r="B1119">
        <v>57240262</v>
      </c>
      <c r="C1119" s="36" t="s">
        <v>1476</v>
      </c>
      <c r="D1119" s="37">
        <v>42004.527777777781</v>
      </c>
      <c r="E1119" s="37">
        <v>42004.532951388886</v>
      </c>
      <c r="U1119">
        <v>16</v>
      </c>
      <c r="W1119" s="47"/>
    </row>
    <row r="1120" spans="1:23" hidden="1">
      <c r="A1120">
        <v>3671555828</v>
      </c>
      <c r="B1120">
        <v>57240262</v>
      </c>
      <c r="C1120" s="36" t="s">
        <v>1477</v>
      </c>
      <c r="D1120" s="37">
        <v>42004.903483796297</v>
      </c>
      <c r="E1120" s="37">
        <v>42004.908194444448</v>
      </c>
      <c r="U1120">
        <v>16</v>
      </c>
      <c r="W1120" s="47"/>
    </row>
    <row r="1121" spans="1:23">
      <c r="A1121">
        <v>3671833988</v>
      </c>
      <c r="B1121">
        <v>57240262</v>
      </c>
      <c r="C1121" s="36" t="s">
        <v>1478</v>
      </c>
      <c r="D1121" s="37">
        <v>42005.456446759257</v>
      </c>
      <c r="E1121" s="37">
        <v>42005.463819444441</v>
      </c>
      <c r="F1121">
        <v>1</v>
      </c>
      <c r="K1121">
        <v>6</v>
      </c>
      <c r="Q1121">
        <v>12</v>
      </c>
      <c r="V1121" s="42" t="s">
        <v>25</v>
      </c>
      <c r="W1121" s="47">
        <v>1</v>
      </c>
    </row>
    <row r="1122" spans="1:23" hidden="1">
      <c r="A1122">
        <v>3671836936</v>
      </c>
      <c r="B1122">
        <v>57240262</v>
      </c>
      <c r="C1122" s="36" t="s">
        <v>1479</v>
      </c>
      <c r="D1122" s="37">
        <v>42005.462858796294</v>
      </c>
      <c r="E1122" s="37">
        <v>42005.465844907405</v>
      </c>
      <c r="U1122">
        <v>16</v>
      </c>
      <c r="W1122" s="47"/>
    </row>
    <row r="1123" spans="1:23" hidden="1">
      <c r="A1123">
        <v>3671839905</v>
      </c>
      <c r="B1123">
        <v>57240262</v>
      </c>
      <c r="C1123" s="36" t="s">
        <v>1480</v>
      </c>
      <c r="D1123" s="37">
        <v>42005.469027777777</v>
      </c>
      <c r="E1123" s="37">
        <v>42005.475555555553</v>
      </c>
      <c r="F1123">
        <v>1</v>
      </c>
      <c r="W1123" s="47"/>
    </row>
    <row r="1124" spans="1:23" hidden="1">
      <c r="A1124">
        <v>3671843784</v>
      </c>
      <c r="B1124">
        <v>57240262</v>
      </c>
      <c r="C1124" s="36" t="s">
        <v>1481</v>
      </c>
      <c r="D1124" s="37">
        <v>42005.476840277777</v>
      </c>
      <c r="E1124" s="37">
        <v>42005.482303240744</v>
      </c>
      <c r="F1124">
        <v>1</v>
      </c>
      <c r="W1124" s="47"/>
    </row>
    <row r="1125" spans="1:23" hidden="1">
      <c r="A1125">
        <v>3671859328</v>
      </c>
      <c r="B1125">
        <v>57240262</v>
      </c>
      <c r="C1125" s="36" t="s">
        <v>2356</v>
      </c>
      <c r="D1125" s="37">
        <v>42005.508564814816</v>
      </c>
      <c r="E1125" s="37">
        <v>42005.509201388886</v>
      </c>
      <c r="W1125" s="47"/>
    </row>
    <row r="1126" spans="1:23" hidden="1">
      <c r="A1126">
        <v>3671867699</v>
      </c>
      <c r="B1126">
        <v>57240262</v>
      </c>
      <c r="C1126" s="36" t="s">
        <v>1482</v>
      </c>
      <c r="D1126" s="37">
        <v>42005.525104166663</v>
      </c>
      <c r="E1126" s="37">
        <v>42005.528981481482</v>
      </c>
      <c r="U1126">
        <v>16</v>
      </c>
      <c r="W1126" s="47"/>
    </row>
    <row r="1127" spans="1:23" hidden="1">
      <c r="A1127">
        <v>3672370029</v>
      </c>
      <c r="B1127">
        <v>57240262</v>
      </c>
      <c r="C1127" s="36" t="s">
        <v>1483</v>
      </c>
      <c r="D1127" s="37">
        <v>42006.29105324074</v>
      </c>
      <c r="E1127" s="37">
        <v>42006.295798611114</v>
      </c>
      <c r="U1127">
        <v>16</v>
      </c>
      <c r="W1127" s="47"/>
    </row>
    <row r="1128" spans="1:23" hidden="1">
      <c r="A1128">
        <v>3672410001</v>
      </c>
      <c r="B1128">
        <v>57240262</v>
      </c>
      <c r="C1128" s="36" t="s">
        <v>1484</v>
      </c>
      <c r="D1128" s="37">
        <v>42006.360543981478</v>
      </c>
      <c r="E1128" s="37">
        <v>42006.37767361111</v>
      </c>
      <c r="F1128">
        <v>1</v>
      </c>
      <c r="G1128">
        <v>2</v>
      </c>
      <c r="H1128">
        <v>3</v>
      </c>
      <c r="I1128">
        <v>4</v>
      </c>
      <c r="J1128">
        <v>5</v>
      </c>
      <c r="K1128">
        <v>6</v>
      </c>
      <c r="L1128">
        <v>7</v>
      </c>
      <c r="O1128">
        <v>10</v>
      </c>
      <c r="P1128">
        <v>11</v>
      </c>
      <c r="Q1128">
        <v>12</v>
      </c>
      <c r="R1128">
        <v>13</v>
      </c>
      <c r="S1128">
        <v>14</v>
      </c>
      <c r="W1128" s="47"/>
    </row>
    <row r="1129" spans="1:23" hidden="1">
      <c r="A1129">
        <v>3672427501</v>
      </c>
      <c r="B1129">
        <v>57240262</v>
      </c>
      <c r="C1129" s="36" t="s">
        <v>331</v>
      </c>
      <c r="D1129" s="37">
        <v>42006.386192129627</v>
      </c>
      <c r="E1129" s="37">
        <v>42006.393518518518</v>
      </c>
      <c r="U1129">
        <v>16</v>
      </c>
      <c r="W1129" s="47"/>
    </row>
    <row r="1130" spans="1:23" hidden="1">
      <c r="A1130">
        <v>3672423771</v>
      </c>
      <c r="B1130">
        <v>57240262</v>
      </c>
      <c r="C1130" s="36" t="s">
        <v>1485</v>
      </c>
      <c r="D1130" s="37">
        <v>42006.382071759261</v>
      </c>
      <c r="E1130" s="37">
        <v>42006.39738425926</v>
      </c>
      <c r="F1130">
        <v>1</v>
      </c>
      <c r="H1130">
        <v>3</v>
      </c>
      <c r="K1130">
        <v>6</v>
      </c>
      <c r="L1130">
        <v>7</v>
      </c>
      <c r="O1130">
        <v>10</v>
      </c>
      <c r="W1130" s="47"/>
    </row>
    <row r="1131" spans="1:23" hidden="1">
      <c r="A1131">
        <v>3672432402</v>
      </c>
      <c r="B1131">
        <v>57240262</v>
      </c>
      <c r="C1131" s="36" t="s">
        <v>1486</v>
      </c>
      <c r="D1131" s="37">
        <v>42006.39508101852</v>
      </c>
      <c r="E1131" s="37">
        <v>42006.399074074077</v>
      </c>
      <c r="Q1131">
        <v>12</v>
      </c>
      <c r="W1131" s="47"/>
    </row>
    <row r="1132" spans="1:23" hidden="1">
      <c r="A1132">
        <v>3672438908</v>
      </c>
      <c r="B1132">
        <v>57240262</v>
      </c>
      <c r="C1132" s="36" t="s">
        <v>1487</v>
      </c>
      <c r="D1132" s="37">
        <v>42006.395833333336</v>
      </c>
      <c r="E1132" s="37">
        <v>42006.406354166669</v>
      </c>
      <c r="M1132">
        <v>8</v>
      </c>
      <c r="O1132">
        <v>10</v>
      </c>
      <c r="W1132" s="47"/>
    </row>
    <row r="1133" spans="1:23" hidden="1">
      <c r="A1133">
        <v>3672437247</v>
      </c>
      <c r="B1133">
        <v>57240262</v>
      </c>
      <c r="C1133" s="36" t="s">
        <v>332</v>
      </c>
      <c r="D1133" s="37">
        <v>42006.401238425926</v>
      </c>
      <c r="E1133" s="37">
        <v>42006.407222222224</v>
      </c>
      <c r="I1133">
        <v>4</v>
      </c>
      <c r="W1133" s="47"/>
    </row>
    <row r="1134" spans="1:23" hidden="1">
      <c r="A1134">
        <v>3672444715</v>
      </c>
      <c r="B1134">
        <v>57240262</v>
      </c>
      <c r="C1134" s="36" t="s">
        <v>1488</v>
      </c>
      <c r="D1134" s="37">
        <v>42006.407407407409</v>
      </c>
      <c r="E1134" s="37">
        <v>42006.408310185187</v>
      </c>
      <c r="J1134">
        <v>5</v>
      </c>
      <c r="W1134" s="47"/>
    </row>
    <row r="1135" spans="1:23" hidden="1">
      <c r="A1135">
        <v>3672448064</v>
      </c>
      <c r="B1135">
        <v>57240262</v>
      </c>
      <c r="C1135" s="36" t="s">
        <v>1489</v>
      </c>
      <c r="D1135" s="37">
        <v>42006.411377314813</v>
      </c>
      <c r="E1135" s="37">
        <v>42006.416192129633</v>
      </c>
      <c r="U1135">
        <v>16</v>
      </c>
      <c r="W1135" s="47"/>
    </row>
    <row r="1136" spans="1:23" hidden="1">
      <c r="A1136">
        <v>3672457084</v>
      </c>
      <c r="B1136">
        <v>57240262</v>
      </c>
      <c r="C1136" s="36" t="s">
        <v>1490</v>
      </c>
      <c r="D1136" s="37">
        <v>42006.409328703703</v>
      </c>
      <c r="E1136" s="37">
        <v>42006.427974537037</v>
      </c>
      <c r="G1136">
        <v>2</v>
      </c>
      <c r="K1136">
        <v>6</v>
      </c>
      <c r="M1136">
        <v>8</v>
      </c>
      <c r="N1136">
        <v>9</v>
      </c>
      <c r="O1136">
        <v>10</v>
      </c>
      <c r="Q1136">
        <v>12</v>
      </c>
      <c r="R1136">
        <v>13</v>
      </c>
      <c r="S1136">
        <v>14</v>
      </c>
      <c r="W1136" s="47"/>
    </row>
    <row r="1137" spans="1:23">
      <c r="A1137">
        <v>3672438924</v>
      </c>
      <c r="B1137">
        <v>57240262</v>
      </c>
      <c r="C1137" s="36" t="s">
        <v>380</v>
      </c>
      <c r="D1137" s="37">
        <v>42006.397407407407</v>
      </c>
      <c r="E1137" s="37">
        <v>42006.436956018515</v>
      </c>
      <c r="F1137">
        <v>1</v>
      </c>
      <c r="G1137">
        <v>2</v>
      </c>
      <c r="V1137" s="42" t="s">
        <v>77</v>
      </c>
      <c r="W1137" s="47">
        <v>2</v>
      </c>
    </row>
    <row r="1138" spans="1:23" hidden="1">
      <c r="A1138">
        <v>3672468129</v>
      </c>
      <c r="B1138">
        <v>57240262</v>
      </c>
      <c r="C1138" s="36" t="s">
        <v>1491</v>
      </c>
      <c r="D1138" s="37">
        <v>42006.437800925924</v>
      </c>
      <c r="E1138" s="37">
        <v>42006.444432870368</v>
      </c>
      <c r="G1138">
        <v>2</v>
      </c>
      <c r="K1138">
        <v>6</v>
      </c>
      <c r="O1138">
        <v>10</v>
      </c>
      <c r="W1138" s="47"/>
    </row>
    <row r="1139" spans="1:23" hidden="1">
      <c r="A1139">
        <v>3672480592</v>
      </c>
      <c r="B1139">
        <v>57240262</v>
      </c>
      <c r="C1139" s="36" t="s">
        <v>1492</v>
      </c>
      <c r="D1139" s="37">
        <v>42006.453414351854</v>
      </c>
      <c r="E1139" s="37">
        <v>42006.459976851853</v>
      </c>
      <c r="H1139">
        <v>3</v>
      </c>
      <c r="W1139" s="47"/>
    </row>
    <row r="1140" spans="1:23" hidden="1">
      <c r="A1140">
        <v>3672493933</v>
      </c>
      <c r="B1140">
        <v>57240262</v>
      </c>
      <c r="C1140" s="36" t="s">
        <v>1493</v>
      </c>
      <c r="D1140" s="37">
        <v>42006.458067129628</v>
      </c>
      <c r="E1140" s="37">
        <v>42006.476793981485</v>
      </c>
      <c r="U1140">
        <v>16</v>
      </c>
      <c r="W1140" s="47"/>
    </row>
    <row r="1141" spans="1:23">
      <c r="A1141">
        <v>3672499696</v>
      </c>
      <c r="B1141">
        <v>57240262</v>
      </c>
      <c r="C1141" s="36" t="s">
        <v>1494</v>
      </c>
      <c r="D1141" s="37">
        <v>42006.480439814812</v>
      </c>
      <c r="E1141" s="37">
        <v>42006.487025462964</v>
      </c>
      <c r="F1141">
        <v>1</v>
      </c>
      <c r="I1141">
        <v>4</v>
      </c>
      <c r="K1141">
        <v>6</v>
      </c>
      <c r="L1141">
        <v>7</v>
      </c>
      <c r="V1141" s="42" t="s">
        <v>26</v>
      </c>
      <c r="W1141" s="47">
        <v>4</v>
      </c>
    </row>
    <row r="1142" spans="1:23" hidden="1">
      <c r="A1142">
        <v>3672512877</v>
      </c>
      <c r="B1142">
        <v>57240262</v>
      </c>
      <c r="C1142" s="36" t="s">
        <v>1495</v>
      </c>
      <c r="D1142" s="37">
        <v>42006.49690972222</v>
      </c>
      <c r="E1142" s="37">
        <v>42006.502685185187</v>
      </c>
      <c r="I1142">
        <v>4</v>
      </c>
      <c r="W1142" s="47"/>
    </row>
    <row r="1143" spans="1:23" hidden="1">
      <c r="A1143">
        <v>3672787282</v>
      </c>
      <c r="B1143">
        <v>57240262</v>
      </c>
      <c r="C1143" s="36" t="s">
        <v>1496</v>
      </c>
      <c r="D1143" s="37">
        <v>42006.703310185185</v>
      </c>
      <c r="E1143" s="37">
        <v>42006.707430555558</v>
      </c>
      <c r="U1143">
        <v>16</v>
      </c>
      <c r="W1143" s="47"/>
    </row>
    <row r="1144" spans="1:23" hidden="1">
      <c r="A1144">
        <v>3672933538</v>
      </c>
      <c r="B1144">
        <v>57240262</v>
      </c>
      <c r="C1144" s="36" t="s">
        <v>1497</v>
      </c>
      <c r="D1144" s="37">
        <v>42006.796863425923</v>
      </c>
      <c r="E1144" s="37">
        <v>42006.799699074072</v>
      </c>
      <c r="U1144">
        <v>16</v>
      </c>
      <c r="W1144" s="47"/>
    </row>
    <row r="1145" spans="1:23" hidden="1">
      <c r="A1145">
        <v>3673062157</v>
      </c>
      <c r="B1145">
        <v>57240262</v>
      </c>
      <c r="C1145" s="36" t="s">
        <v>1498</v>
      </c>
      <c r="D1145" s="37">
        <v>42006.882210648146</v>
      </c>
      <c r="E1145" s="37">
        <v>42006.896504629629</v>
      </c>
      <c r="G1145">
        <v>2</v>
      </c>
      <c r="W1145" s="47"/>
    </row>
    <row r="1146" spans="1:23" ht="24">
      <c r="A1146">
        <v>3673430035</v>
      </c>
      <c r="B1146">
        <v>57240262</v>
      </c>
      <c r="C1146" s="36" t="s">
        <v>1499</v>
      </c>
      <c r="D1146" s="37">
        <v>42007.429849537039</v>
      </c>
      <c r="E1146" s="37">
        <v>42007.439155092594</v>
      </c>
      <c r="J1146">
        <v>5</v>
      </c>
      <c r="O1146">
        <v>10</v>
      </c>
      <c r="V1146" s="42" t="s">
        <v>138</v>
      </c>
      <c r="W1146" s="47">
        <v>10</v>
      </c>
    </row>
    <row r="1147" spans="1:23" hidden="1">
      <c r="A1147">
        <v>3673532323</v>
      </c>
      <c r="B1147">
        <v>57240262</v>
      </c>
      <c r="C1147" s="36" t="s">
        <v>1500</v>
      </c>
      <c r="D1147" s="37">
        <v>42007.595543981479</v>
      </c>
      <c r="E1147" s="37">
        <v>42007.601111111115</v>
      </c>
      <c r="G1147">
        <v>2</v>
      </c>
      <c r="W1147" s="47"/>
    </row>
    <row r="1148" spans="1:23">
      <c r="A1148">
        <v>3673583160</v>
      </c>
      <c r="B1148">
        <v>57240262</v>
      </c>
      <c r="C1148" s="36" t="s">
        <v>1501</v>
      </c>
      <c r="D1148" s="37">
        <v>42007.653483796297</v>
      </c>
      <c r="E1148" s="37">
        <v>42007.6562962963</v>
      </c>
      <c r="F1148">
        <v>1</v>
      </c>
      <c r="N1148">
        <v>9</v>
      </c>
      <c r="V1148" s="42" t="s">
        <v>60</v>
      </c>
      <c r="W1148" s="47">
        <v>9</v>
      </c>
    </row>
    <row r="1149" spans="1:23" hidden="1">
      <c r="A1149">
        <v>3673821747</v>
      </c>
      <c r="B1149">
        <v>57240262</v>
      </c>
      <c r="C1149" s="36" t="s">
        <v>1502</v>
      </c>
      <c r="D1149" s="37">
        <v>42007.873518518521</v>
      </c>
      <c r="E1149" s="37">
        <v>42007.952280092592</v>
      </c>
      <c r="K1149">
        <v>6</v>
      </c>
      <c r="W1149" s="47"/>
    </row>
    <row r="1150" spans="1:23" hidden="1">
      <c r="A1150">
        <v>3674028083</v>
      </c>
      <c r="B1150">
        <v>57240262</v>
      </c>
      <c r="C1150" s="36" t="s">
        <v>1503</v>
      </c>
      <c r="D1150" s="37">
        <v>42008.350081018521</v>
      </c>
      <c r="E1150" s="37">
        <v>42008.354837962965</v>
      </c>
      <c r="F1150">
        <v>1</v>
      </c>
      <c r="I1150">
        <v>4</v>
      </c>
      <c r="N1150">
        <v>9</v>
      </c>
      <c r="W1150" s="47"/>
    </row>
    <row r="1151" spans="1:23">
      <c r="A1151">
        <v>3674029379</v>
      </c>
      <c r="B1151">
        <v>57240262</v>
      </c>
      <c r="C1151" s="36" t="s">
        <v>1504</v>
      </c>
      <c r="D1151" s="37">
        <v>42008.353495370371</v>
      </c>
      <c r="E1151" s="37">
        <v>42008.358854166669</v>
      </c>
      <c r="F1151">
        <v>1</v>
      </c>
      <c r="I1151">
        <v>4</v>
      </c>
      <c r="P1151">
        <v>11</v>
      </c>
      <c r="V1151" s="42" t="s">
        <v>76</v>
      </c>
      <c r="W1151" s="47">
        <v>11</v>
      </c>
    </row>
    <row r="1152" spans="1:23" hidden="1">
      <c r="A1152">
        <v>3674030820</v>
      </c>
      <c r="B1152">
        <v>57240262</v>
      </c>
      <c r="C1152" s="36" t="s">
        <v>1505</v>
      </c>
      <c r="D1152" s="37">
        <v>42008.357372685183</v>
      </c>
      <c r="E1152" s="37">
        <v>42008.360046296293</v>
      </c>
      <c r="U1152">
        <v>16</v>
      </c>
      <c r="W1152" s="47"/>
    </row>
    <row r="1153" spans="1:23" hidden="1">
      <c r="A1153">
        <v>3674044799</v>
      </c>
      <c r="B1153">
        <v>57240262</v>
      </c>
      <c r="C1153" s="36" t="s">
        <v>1506</v>
      </c>
      <c r="D1153" s="37">
        <v>42008.392361111109</v>
      </c>
      <c r="E1153" s="37">
        <v>42008.394131944442</v>
      </c>
      <c r="I1153">
        <v>4</v>
      </c>
      <c r="W1153" s="47"/>
    </row>
    <row r="1154" spans="1:23" hidden="1">
      <c r="A1154">
        <v>3674044855</v>
      </c>
      <c r="B1154">
        <v>57240262</v>
      </c>
      <c r="C1154" s="36" t="s">
        <v>1507</v>
      </c>
      <c r="D1154" s="37">
        <v>42008.392835648148</v>
      </c>
      <c r="E1154" s="37">
        <v>42008.399131944447</v>
      </c>
      <c r="K1154">
        <v>6</v>
      </c>
      <c r="W1154" s="47"/>
    </row>
    <row r="1155" spans="1:23" hidden="1">
      <c r="A1155">
        <v>3674046938</v>
      </c>
      <c r="B1155">
        <v>57240262</v>
      </c>
      <c r="C1155" s="36" t="s">
        <v>1508</v>
      </c>
      <c r="D1155" s="37">
        <v>42008.397881944446</v>
      </c>
      <c r="E1155" s="37">
        <v>42008.403124999997</v>
      </c>
      <c r="U1155">
        <v>16</v>
      </c>
      <c r="W1155" s="47"/>
    </row>
    <row r="1156" spans="1:23" ht="24">
      <c r="A1156">
        <v>3674051187</v>
      </c>
      <c r="B1156">
        <v>57240262</v>
      </c>
      <c r="C1156" s="36" t="s">
        <v>1509</v>
      </c>
      <c r="D1156" s="37">
        <v>42008.408831018518</v>
      </c>
      <c r="E1156" s="37">
        <v>42008.41673611111</v>
      </c>
      <c r="H1156">
        <v>3</v>
      </c>
      <c r="I1156">
        <v>4</v>
      </c>
      <c r="N1156">
        <v>9</v>
      </c>
      <c r="O1156">
        <v>10</v>
      </c>
      <c r="V1156" s="42" t="s">
        <v>137</v>
      </c>
      <c r="W1156" s="47">
        <v>10</v>
      </c>
    </row>
    <row r="1157" spans="1:23" hidden="1">
      <c r="A1157">
        <v>3674085486</v>
      </c>
      <c r="B1157">
        <v>57240262</v>
      </c>
      <c r="C1157" s="36" t="s">
        <v>333</v>
      </c>
      <c r="D1157" s="37">
        <v>42008.481886574074</v>
      </c>
      <c r="E1157" s="37">
        <v>42008.485983796294</v>
      </c>
      <c r="M1157">
        <v>8</v>
      </c>
      <c r="W1157" s="47"/>
    </row>
    <row r="1158" spans="1:23">
      <c r="A1158">
        <v>3674083459</v>
      </c>
      <c r="B1158">
        <v>57240262</v>
      </c>
      <c r="C1158" s="36" t="s">
        <v>1510</v>
      </c>
      <c r="D1158" s="37">
        <v>42008.478043981479</v>
      </c>
      <c r="E1158" s="37">
        <v>42008.486643518518</v>
      </c>
      <c r="F1158">
        <v>1</v>
      </c>
      <c r="G1158">
        <v>2</v>
      </c>
      <c r="I1158">
        <v>4</v>
      </c>
      <c r="J1158">
        <v>5</v>
      </c>
      <c r="K1158">
        <v>6</v>
      </c>
      <c r="O1158">
        <v>10</v>
      </c>
      <c r="V1158" s="42" t="s">
        <v>136</v>
      </c>
      <c r="W1158" s="47">
        <v>1</v>
      </c>
    </row>
    <row r="1159" spans="1:23" hidden="1">
      <c r="A1159">
        <v>3674087052</v>
      </c>
      <c r="B1159">
        <v>57240262</v>
      </c>
      <c r="C1159" s="36" t="s">
        <v>1511</v>
      </c>
      <c r="D1159" s="37">
        <v>42008.48474537037</v>
      </c>
      <c r="E1159" s="37">
        <v>42008.490219907406</v>
      </c>
      <c r="I1159">
        <v>4</v>
      </c>
      <c r="K1159">
        <v>6</v>
      </c>
      <c r="N1159">
        <v>9</v>
      </c>
      <c r="O1159">
        <v>10</v>
      </c>
      <c r="W1159" s="47"/>
    </row>
    <row r="1160" spans="1:23" hidden="1">
      <c r="A1160">
        <v>3674093234</v>
      </c>
      <c r="B1160">
        <v>57240262</v>
      </c>
      <c r="C1160" s="36" t="s">
        <v>1512</v>
      </c>
      <c r="D1160" s="37">
        <v>42008.496828703705</v>
      </c>
      <c r="E1160" s="37">
        <v>42008.504965277774</v>
      </c>
      <c r="G1160">
        <v>2</v>
      </c>
      <c r="W1160" s="47"/>
    </row>
    <row r="1161" spans="1:23" hidden="1">
      <c r="A1161">
        <v>3674097059</v>
      </c>
      <c r="B1161">
        <v>57240262</v>
      </c>
      <c r="C1161" s="36" t="s">
        <v>1513</v>
      </c>
      <c r="D1161" s="37">
        <v>42008.504282407404</v>
      </c>
      <c r="E1161" s="37">
        <v>42008.507280092592</v>
      </c>
      <c r="U1161">
        <v>16</v>
      </c>
      <c r="W1161" s="47"/>
    </row>
    <row r="1162" spans="1:23" hidden="1">
      <c r="A1162">
        <v>3674103208</v>
      </c>
      <c r="B1162">
        <v>57240262</v>
      </c>
      <c r="C1162" s="36" t="s">
        <v>2357</v>
      </c>
      <c r="D1162" s="37">
        <v>42008.515810185185</v>
      </c>
      <c r="E1162" s="37">
        <v>42008.517199074071</v>
      </c>
      <c r="W1162" s="47"/>
    </row>
    <row r="1163" spans="1:23" hidden="1">
      <c r="A1163">
        <v>3674111892</v>
      </c>
      <c r="B1163">
        <v>57240262</v>
      </c>
      <c r="C1163" s="36" t="s">
        <v>1514</v>
      </c>
      <c r="D1163" s="37">
        <v>42008.531458333331</v>
      </c>
      <c r="E1163" s="37">
        <v>42008.53670138889</v>
      </c>
      <c r="Q1163">
        <v>12</v>
      </c>
      <c r="W1163" s="47"/>
    </row>
    <row r="1164" spans="1:23">
      <c r="A1164">
        <v>3674115403</v>
      </c>
      <c r="B1164">
        <v>57240262</v>
      </c>
      <c r="C1164" s="36" t="s">
        <v>1515</v>
      </c>
      <c r="D1164" s="37">
        <v>42008.538032407407</v>
      </c>
      <c r="E1164" s="37">
        <v>42008.548726851855</v>
      </c>
      <c r="I1164">
        <v>4</v>
      </c>
      <c r="M1164">
        <v>8</v>
      </c>
      <c r="V1164" s="42" t="s">
        <v>38</v>
      </c>
      <c r="W1164" s="47">
        <v>4</v>
      </c>
    </row>
    <row r="1165" spans="1:23">
      <c r="A1165">
        <v>3674128982</v>
      </c>
      <c r="B1165">
        <v>57240262</v>
      </c>
      <c r="C1165" s="36" t="s">
        <v>334</v>
      </c>
      <c r="D1165" s="37">
        <v>42008.560694444444</v>
      </c>
      <c r="E1165" s="37">
        <v>42008.56832175926</v>
      </c>
      <c r="F1165">
        <v>1</v>
      </c>
      <c r="K1165">
        <v>6</v>
      </c>
      <c r="V1165" s="42" t="s">
        <v>135</v>
      </c>
      <c r="W1165" s="47">
        <v>1</v>
      </c>
    </row>
    <row r="1166" spans="1:23" hidden="1">
      <c r="A1166">
        <v>3674133958</v>
      </c>
      <c r="B1166">
        <v>57240262</v>
      </c>
      <c r="C1166" s="36" t="s">
        <v>335</v>
      </c>
      <c r="D1166" s="37">
        <v>42008.56827546296</v>
      </c>
      <c r="E1166" s="37">
        <v>42008.574421296296</v>
      </c>
      <c r="J1166">
        <v>5</v>
      </c>
      <c r="O1166">
        <v>10</v>
      </c>
      <c r="W1166" s="47"/>
    </row>
    <row r="1167" spans="1:23" hidden="1">
      <c r="A1167">
        <v>3674135157</v>
      </c>
      <c r="B1167">
        <v>57240262</v>
      </c>
      <c r="C1167" s="36" t="s">
        <v>336</v>
      </c>
      <c r="D1167" s="37">
        <v>42008.570381944446</v>
      </c>
      <c r="E1167" s="37">
        <v>42008.58284722222</v>
      </c>
      <c r="U1167">
        <v>16</v>
      </c>
      <c r="W1167" s="47"/>
    </row>
    <row r="1168" spans="1:23" hidden="1">
      <c r="A1168">
        <v>3674151481</v>
      </c>
      <c r="B1168">
        <v>57240262</v>
      </c>
      <c r="C1168" s="36" t="s">
        <v>2358</v>
      </c>
      <c r="D1168" s="37">
        <v>42008.595081018517</v>
      </c>
      <c r="E1168" s="37">
        <v>42008.597141203703</v>
      </c>
      <c r="W1168" s="47"/>
    </row>
    <row r="1169" spans="1:23" ht="24">
      <c r="A1169">
        <v>3674154433</v>
      </c>
      <c r="B1169">
        <v>57240262</v>
      </c>
      <c r="C1169" s="36" t="s">
        <v>1516</v>
      </c>
      <c r="D1169" s="37">
        <v>42008.598865740743</v>
      </c>
      <c r="E1169" s="37">
        <v>42008.60083333333</v>
      </c>
      <c r="J1169">
        <v>5</v>
      </c>
      <c r="K1169">
        <v>6</v>
      </c>
      <c r="R1169">
        <v>13</v>
      </c>
      <c r="V1169" s="42" t="s">
        <v>134</v>
      </c>
      <c r="W1169" s="47">
        <v>13</v>
      </c>
    </row>
    <row r="1170" spans="1:23" hidden="1">
      <c r="A1170">
        <v>3674159755</v>
      </c>
      <c r="B1170">
        <v>57240262</v>
      </c>
      <c r="C1170" s="36" t="s">
        <v>1517</v>
      </c>
      <c r="D1170" s="37">
        <v>42008.606932870367</v>
      </c>
      <c r="E1170" s="37">
        <v>42008.607847222222</v>
      </c>
      <c r="J1170">
        <v>5</v>
      </c>
      <c r="W1170" s="47"/>
    </row>
    <row r="1171" spans="1:23" hidden="1">
      <c r="A1171">
        <v>3674165054</v>
      </c>
      <c r="B1171">
        <v>57240262</v>
      </c>
      <c r="C1171" s="36" t="s">
        <v>1518</v>
      </c>
      <c r="D1171" s="37">
        <v>42008.614201388889</v>
      </c>
      <c r="E1171" s="37">
        <v>42008.620208333334</v>
      </c>
      <c r="U1171">
        <v>16</v>
      </c>
      <c r="W1171" s="47"/>
    </row>
    <row r="1172" spans="1:23" hidden="1">
      <c r="A1172">
        <v>3674167951</v>
      </c>
      <c r="B1172">
        <v>57240262</v>
      </c>
      <c r="C1172" s="36" t="s">
        <v>1519</v>
      </c>
      <c r="D1172" s="37">
        <v>42008.618287037039</v>
      </c>
      <c r="E1172" s="37">
        <v>42008.623692129629</v>
      </c>
      <c r="H1172">
        <v>3</v>
      </c>
      <c r="W1172" s="47"/>
    </row>
    <row r="1173" spans="1:23" hidden="1">
      <c r="A1173">
        <v>3674182882</v>
      </c>
      <c r="B1173">
        <v>57240262</v>
      </c>
      <c r="C1173" s="36" t="s">
        <v>1520</v>
      </c>
      <c r="D1173" s="37">
        <v>42008.638784722221</v>
      </c>
      <c r="E1173" s="37">
        <v>42008.642418981479</v>
      </c>
      <c r="U1173">
        <v>16</v>
      </c>
      <c r="W1173" s="47"/>
    </row>
    <row r="1174" spans="1:23" hidden="1">
      <c r="A1174">
        <v>3674212933</v>
      </c>
      <c r="B1174">
        <v>57240262</v>
      </c>
      <c r="C1174" s="36" t="s">
        <v>1521</v>
      </c>
      <c r="D1174" s="37">
        <v>42008.67832175926</v>
      </c>
      <c r="E1174" s="37">
        <v>42008.678946759261</v>
      </c>
      <c r="O1174">
        <v>10</v>
      </c>
      <c r="W1174" s="47"/>
    </row>
    <row r="1175" spans="1:23" hidden="1">
      <c r="A1175">
        <v>3674210789</v>
      </c>
      <c r="B1175">
        <v>57240262</v>
      </c>
      <c r="C1175" s="36" t="s">
        <v>337</v>
      </c>
      <c r="D1175" s="37">
        <v>42008.675393518519</v>
      </c>
      <c r="E1175" s="37">
        <v>42008.679097222222</v>
      </c>
      <c r="U1175">
        <v>16</v>
      </c>
      <c r="W1175" s="47"/>
    </row>
    <row r="1176" spans="1:23">
      <c r="A1176">
        <v>3674213326</v>
      </c>
      <c r="B1176">
        <v>57240262</v>
      </c>
      <c r="C1176" s="36" t="s">
        <v>1522</v>
      </c>
      <c r="D1176" s="37">
        <v>42008.678819444445</v>
      </c>
      <c r="E1176" s="37">
        <v>42008.685416666667</v>
      </c>
      <c r="I1176">
        <v>4</v>
      </c>
      <c r="J1176">
        <v>5</v>
      </c>
      <c r="K1176">
        <v>6</v>
      </c>
      <c r="N1176">
        <v>9</v>
      </c>
      <c r="Q1176">
        <v>12</v>
      </c>
      <c r="V1176" s="42" t="s">
        <v>23</v>
      </c>
      <c r="W1176" s="47">
        <v>5</v>
      </c>
    </row>
    <row r="1177" spans="1:23" hidden="1">
      <c r="A1177">
        <v>3674255383</v>
      </c>
      <c r="B1177">
        <v>57240262</v>
      </c>
      <c r="C1177" s="36" t="s">
        <v>1523</v>
      </c>
      <c r="D1177" s="37">
        <v>42008.733113425929</v>
      </c>
      <c r="E1177" s="37">
        <v>42008.737858796296</v>
      </c>
      <c r="U1177">
        <v>16</v>
      </c>
      <c r="W1177" s="47"/>
    </row>
    <row r="1178" spans="1:23" hidden="1">
      <c r="A1178">
        <v>3674258074</v>
      </c>
      <c r="B1178">
        <v>57240262</v>
      </c>
      <c r="C1178" s="36" t="s">
        <v>1524</v>
      </c>
      <c r="D1178" s="37">
        <v>42008.736608796295</v>
      </c>
      <c r="E1178" s="37">
        <v>42008.739976851852</v>
      </c>
      <c r="F1178">
        <v>1</v>
      </c>
      <c r="G1178">
        <v>2</v>
      </c>
      <c r="H1178">
        <v>3</v>
      </c>
      <c r="J1178">
        <v>5</v>
      </c>
      <c r="K1178">
        <v>6</v>
      </c>
      <c r="O1178">
        <v>10</v>
      </c>
      <c r="Q1178">
        <v>12</v>
      </c>
      <c r="R1178">
        <v>13</v>
      </c>
      <c r="W1178" s="47"/>
    </row>
    <row r="1179" spans="1:23" hidden="1">
      <c r="A1179">
        <v>3674269731</v>
      </c>
      <c r="B1179">
        <v>57240262</v>
      </c>
      <c r="C1179" s="36" t="s">
        <v>1525</v>
      </c>
      <c r="D1179" s="37">
        <v>42008.751655092594</v>
      </c>
      <c r="E1179" s="37">
        <v>42008.774606481478</v>
      </c>
      <c r="I1179">
        <v>4</v>
      </c>
      <c r="N1179">
        <v>9</v>
      </c>
      <c r="W1179" s="47"/>
    </row>
    <row r="1180" spans="1:23" ht="24">
      <c r="A1180">
        <v>3674285034</v>
      </c>
      <c r="B1180">
        <v>57240262</v>
      </c>
      <c r="C1180" s="36" t="s">
        <v>1526</v>
      </c>
      <c r="D1180" s="37">
        <v>42008.771631944444</v>
      </c>
      <c r="E1180" s="37">
        <v>42008.778564814813</v>
      </c>
      <c r="F1180">
        <v>1</v>
      </c>
      <c r="H1180">
        <v>3</v>
      </c>
      <c r="J1180">
        <v>5</v>
      </c>
      <c r="R1180">
        <v>13</v>
      </c>
      <c r="S1180">
        <v>14</v>
      </c>
      <c r="V1180" s="42" t="s">
        <v>133</v>
      </c>
      <c r="W1180" s="47">
        <v>14</v>
      </c>
    </row>
    <row r="1181" spans="1:23" hidden="1">
      <c r="A1181">
        <v>3674306476</v>
      </c>
      <c r="B1181">
        <v>57240262</v>
      </c>
      <c r="C1181" s="36" t="s">
        <v>1527</v>
      </c>
      <c r="D1181" s="37">
        <v>42008.798981481479</v>
      </c>
      <c r="E1181" s="37">
        <v>42008.805844907409</v>
      </c>
      <c r="N1181">
        <v>9</v>
      </c>
      <c r="U1181">
        <v>16</v>
      </c>
      <c r="W1181" s="47"/>
    </row>
    <row r="1182" spans="1:23" hidden="1">
      <c r="A1182">
        <v>3674308218</v>
      </c>
      <c r="B1182">
        <v>57240262</v>
      </c>
      <c r="C1182" s="36" t="s">
        <v>1528</v>
      </c>
      <c r="D1182" s="37">
        <v>42008.801493055558</v>
      </c>
      <c r="E1182" s="37">
        <v>42008.808564814812</v>
      </c>
      <c r="G1182">
        <v>2</v>
      </c>
      <c r="W1182" s="47"/>
    </row>
    <row r="1183" spans="1:23">
      <c r="A1183">
        <v>3674318271</v>
      </c>
      <c r="B1183">
        <v>57240262</v>
      </c>
      <c r="C1183" s="36" t="s">
        <v>1529</v>
      </c>
      <c r="D1183" s="37">
        <v>42008.813692129632</v>
      </c>
      <c r="E1183" s="37">
        <v>42008.818715277775</v>
      </c>
      <c r="F1183">
        <v>1</v>
      </c>
      <c r="H1183">
        <v>3</v>
      </c>
      <c r="I1183">
        <v>4</v>
      </c>
      <c r="K1183">
        <v>6</v>
      </c>
      <c r="V1183" s="42" t="s">
        <v>132</v>
      </c>
      <c r="W1183" s="47">
        <v>3</v>
      </c>
    </row>
    <row r="1184" spans="1:23" hidden="1">
      <c r="A1184">
        <v>3674340847</v>
      </c>
      <c r="B1184">
        <v>57240262</v>
      </c>
      <c r="C1184" s="36" t="s">
        <v>1530</v>
      </c>
      <c r="D1184" s="37">
        <v>42008.84233796296</v>
      </c>
      <c r="E1184" s="37">
        <v>42008.855671296296</v>
      </c>
      <c r="J1184">
        <v>5</v>
      </c>
      <c r="W1184" s="47"/>
    </row>
    <row r="1185" spans="1:23" hidden="1">
      <c r="A1185">
        <v>3674359339</v>
      </c>
      <c r="B1185">
        <v>57240262</v>
      </c>
      <c r="C1185" s="36" t="s">
        <v>1531</v>
      </c>
      <c r="D1185" s="37">
        <v>42008.865335648145</v>
      </c>
      <c r="E1185" s="37">
        <v>42008.868703703702</v>
      </c>
      <c r="U1185">
        <v>16</v>
      </c>
      <c r="W1185" s="47"/>
    </row>
    <row r="1186" spans="1:23" hidden="1">
      <c r="A1186">
        <v>3674420260</v>
      </c>
      <c r="B1186">
        <v>57240262</v>
      </c>
      <c r="C1186" s="36" t="s">
        <v>1532</v>
      </c>
      <c r="D1186" s="37">
        <v>42008.932962962965</v>
      </c>
      <c r="E1186" s="37">
        <v>42008.942372685182</v>
      </c>
      <c r="F1186">
        <v>1</v>
      </c>
      <c r="W1186" s="47"/>
    </row>
    <row r="1187" spans="1:23" ht="24">
      <c r="A1187">
        <v>3674448943</v>
      </c>
      <c r="B1187">
        <v>57240262</v>
      </c>
      <c r="C1187" s="36" t="s">
        <v>1533</v>
      </c>
      <c r="D1187" s="37">
        <v>42008.976365740738</v>
      </c>
      <c r="E1187" s="37">
        <v>42008.984120370369</v>
      </c>
      <c r="G1187">
        <v>2</v>
      </c>
      <c r="K1187">
        <v>6</v>
      </c>
      <c r="O1187">
        <v>10</v>
      </c>
      <c r="Q1187">
        <v>12</v>
      </c>
      <c r="V1187" s="42" t="s">
        <v>131</v>
      </c>
      <c r="W1187" s="47">
        <v>10</v>
      </c>
    </row>
    <row r="1188" spans="1:23" hidden="1">
      <c r="A1188">
        <v>3674453292</v>
      </c>
      <c r="B1188">
        <v>57240262</v>
      </c>
      <c r="C1188" s="36" t="s">
        <v>1534</v>
      </c>
      <c r="D1188" s="37">
        <v>42008.980937499997</v>
      </c>
      <c r="E1188" s="37">
        <v>42008.986585648148</v>
      </c>
      <c r="I1188">
        <v>4</v>
      </c>
      <c r="W1188" s="47"/>
    </row>
    <row r="1189" spans="1:23" hidden="1">
      <c r="A1189">
        <v>3674758255</v>
      </c>
      <c r="B1189">
        <v>57240262</v>
      </c>
      <c r="C1189" s="36" t="s">
        <v>1535</v>
      </c>
      <c r="D1189" s="37">
        <v>42009.391203703701</v>
      </c>
      <c r="E1189" s="37">
        <v>42009.398043981484</v>
      </c>
      <c r="U1189">
        <v>16</v>
      </c>
      <c r="W1189" s="47"/>
    </row>
    <row r="1190" spans="1:23" hidden="1">
      <c r="A1190">
        <v>3674783860</v>
      </c>
      <c r="B1190">
        <v>57240262</v>
      </c>
      <c r="C1190" s="36" t="s">
        <v>1536</v>
      </c>
      <c r="D1190" s="37">
        <v>42009.418449074074</v>
      </c>
      <c r="E1190" s="37">
        <v>42009.423587962963</v>
      </c>
      <c r="F1190">
        <v>1</v>
      </c>
      <c r="G1190">
        <v>2</v>
      </c>
      <c r="H1190">
        <v>3</v>
      </c>
      <c r="K1190">
        <v>6</v>
      </c>
      <c r="S1190">
        <v>14</v>
      </c>
      <c r="W1190" s="47"/>
    </row>
    <row r="1191" spans="1:23" hidden="1">
      <c r="A1191">
        <v>3674801874</v>
      </c>
      <c r="B1191">
        <v>57240262</v>
      </c>
      <c r="C1191" s="36" t="s">
        <v>1537</v>
      </c>
      <c r="D1191" s="37">
        <v>42009.433958333335</v>
      </c>
      <c r="E1191" s="37">
        <v>42009.444756944446</v>
      </c>
      <c r="U1191">
        <v>16</v>
      </c>
      <c r="W1191" s="47"/>
    </row>
    <row r="1192" spans="1:23" hidden="1">
      <c r="A1192">
        <v>3674817321</v>
      </c>
      <c r="B1192">
        <v>57240262</v>
      </c>
      <c r="C1192" s="36" t="s">
        <v>1538</v>
      </c>
      <c r="D1192" s="37">
        <v>42009.448252314818</v>
      </c>
      <c r="E1192" s="37">
        <v>42009.449976851851</v>
      </c>
      <c r="F1192">
        <v>1</v>
      </c>
      <c r="W1192" s="47"/>
    </row>
    <row r="1193" spans="1:23">
      <c r="A1193">
        <v>3674844258</v>
      </c>
      <c r="B1193">
        <v>57240262</v>
      </c>
      <c r="C1193" s="36" t="s">
        <v>1539</v>
      </c>
      <c r="D1193" s="37">
        <v>42009.460995370369</v>
      </c>
      <c r="E1193" s="37">
        <v>42009.47693287037</v>
      </c>
      <c r="F1193">
        <v>1</v>
      </c>
      <c r="K1193">
        <v>6</v>
      </c>
      <c r="V1193" s="42" t="s">
        <v>130</v>
      </c>
      <c r="W1193" s="47">
        <v>1</v>
      </c>
    </row>
    <row r="1194" spans="1:23" hidden="1">
      <c r="A1194">
        <v>3674841707</v>
      </c>
      <c r="B1194">
        <v>57240262</v>
      </c>
      <c r="C1194" s="36" t="s">
        <v>338</v>
      </c>
      <c r="D1194" s="37">
        <v>42009.468888888892</v>
      </c>
      <c r="E1194" s="37">
        <v>42009.477488425924</v>
      </c>
      <c r="F1194">
        <v>1</v>
      </c>
      <c r="W1194" s="47"/>
    </row>
    <row r="1195" spans="1:23">
      <c r="A1195">
        <v>3674916914</v>
      </c>
      <c r="B1195">
        <v>57240262</v>
      </c>
      <c r="C1195" s="36" t="s">
        <v>1540</v>
      </c>
      <c r="D1195" s="37">
        <v>42009.526631944442</v>
      </c>
      <c r="E1195" s="37">
        <v>42009.533784722225</v>
      </c>
      <c r="I1195">
        <v>4</v>
      </c>
      <c r="P1195">
        <v>11</v>
      </c>
      <c r="V1195" s="42" t="s">
        <v>129</v>
      </c>
      <c r="W1195" s="47">
        <v>4</v>
      </c>
    </row>
    <row r="1196" spans="1:23" hidden="1">
      <c r="A1196">
        <v>3674939837</v>
      </c>
      <c r="B1196">
        <v>57240262</v>
      </c>
      <c r="C1196" s="36" t="s">
        <v>1541</v>
      </c>
      <c r="D1196" s="37">
        <v>42009.542083333334</v>
      </c>
      <c r="E1196" s="37">
        <v>42009.554224537038</v>
      </c>
      <c r="F1196">
        <v>1</v>
      </c>
      <c r="W1196" s="47"/>
    </row>
    <row r="1197" spans="1:23">
      <c r="A1197">
        <v>3674969465</v>
      </c>
      <c r="B1197">
        <v>57240262</v>
      </c>
      <c r="C1197" s="36" t="s">
        <v>1542</v>
      </c>
      <c r="D1197" s="37">
        <v>42009.558564814812</v>
      </c>
      <c r="E1197" s="37">
        <v>42009.562291666669</v>
      </c>
      <c r="K1197">
        <v>6</v>
      </c>
      <c r="O1197">
        <v>10</v>
      </c>
      <c r="P1197">
        <v>11</v>
      </c>
      <c r="V1197" s="42" t="s">
        <v>128</v>
      </c>
      <c r="W1197" s="47">
        <v>10</v>
      </c>
    </row>
    <row r="1198" spans="1:23" hidden="1">
      <c r="A1198">
        <v>3674984083</v>
      </c>
      <c r="B1198">
        <v>57240262</v>
      </c>
      <c r="C1198" s="36" t="s">
        <v>1543</v>
      </c>
      <c r="D1198" s="37">
        <v>42009.566319444442</v>
      </c>
      <c r="E1198" s="37">
        <v>42009.569074074076</v>
      </c>
      <c r="U1198">
        <v>16</v>
      </c>
      <c r="W1198" s="47"/>
    </row>
    <row r="1199" spans="1:23" hidden="1">
      <c r="A1199">
        <v>3674985227</v>
      </c>
      <c r="B1199">
        <v>57240262</v>
      </c>
      <c r="C1199" s="36" t="s">
        <v>1544</v>
      </c>
      <c r="D1199" s="37">
        <v>42009.566689814812</v>
      </c>
      <c r="E1199" s="37">
        <v>42009.570023148146</v>
      </c>
      <c r="U1199">
        <v>16</v>
      </c>
      <c r="W1199" s="47"/>
    </row>
    <row r="1200" spans="1:23" hidden="1">
      <c r="A1200">
        <v>3674999839</v>
      </c>
      <c r="B1200">
        <v>57240262</v>
      </c>
      <c r="C1200" s="36" t="s">
        <v>1545</v>
      </c>
      <c r="D1200" s="37">
        <v>42009.573981481481</v>
      </c>
      <c r="E1200" s="37">
        <v>42009.575810185182</v>
      </c>
      <c r="H1200">
        <v>3</v>
      </c>
      <c r="W1200" s="47"/>
    </row>
    <row r="1201" spans="1:23">
      <c r="A1201">
        <v>3675051240</v>
      </c>
      <c r="B1201">
        <v>57240262</v>
      </c>
      <c r="C1201" s="36" t="s">
        <v>1546</v>
      </c>
      <c r="D1201" s="37">
        <v>42009.596921296295</v>
      </c>
      <c r="E1201" s="37">
        <v>42009.603703703702</v>
      </c>
      <c r="K1201">
        <v>6</v>
      </c>
      <c r="O1201">
        <v>10</v>
      </c>
      <c r="V1201" s="42" t="s">
        <v>127</v>
      </c>
      <c r="W1201" s="47">
        <v>10</v>
      </c>
    </row>
    <row r="1202" spans="1:23" hidden="1">
      <c r="A1202">
        <v>3675151660</v>
      </c>
      <c r="B1202">
        <v>57240262</v>
      </c>
      <c r="C1202" s="36" t="s">
        <v>1547</v>
      </c>
      <c r="D1202" s="37">
        <v>42009.63484953704</v>
      </c>
      <c r="E1202" s="37">
        <v>42009.641875000001</v>
      </c>
      <c r="N1202">
        <v>9</v>
      </c>
      <c r="W1202" s="47"/>
    </row>
    <row r="1203" spans="1:23" hidden="1">
      <c r="A1203">
        <v>3675220446</v>
      </c>
      <c r="B1203">
        <v>57240262</v>
      </c>
      <c r="C1203" s="36" t="s">
        <v>1548</v>
      </c>
      <c r="D1203" s="37">
        <v>42009.658726851849</v>
      </c>
      <c r="E1203" s="37">
        <v>42009.663356481484</v>
      </c>
      <c r="U1203">
        <v>16</v>
      </c>
      <c r="W1203" s="47"/>
    </row>
    <row r="1204" spans="1:23" hidden="1">
      <c r="A1204">
        <v>3675356899</v>
      </c>
      <c r="B1204">
        <v>57240262</v>
      </c>
      <c r="C1204" s="36" t="s">
        <v>1549</v>
      </c>
      <c r="D1204" s="37">
        <v>42009.702835648146</v>
      </c>
      <c r="E1204" s="37">
        <v>42009.706956018519</v>
      </c>
      <c r="U1204">
        <v>16</v>
      </c>
      <c r="W1204" s="47"/>
    </row>
    <row r="1205" spans="1:23">
      <c r="A1205">
        <v>3675372534</v>
      </c>
      <c r="B1205">
        <v>57240262</v>
      </c>
      <c r="C1205" s="36" t="s">
        <v>1550</v>
      </c>
      <c r="D1205" s="37">
        <v>42009.707986111112</v>
      </c>
      <c r="E1205" s="37">
        <v>42009.711388888885</v>
      </c>
      <c r="K1205">
        <v>6</v>
      </c>
      <c r="V1205" s="42" t="s">
        <v>126</v>
      </c>
      <c r="W1205" s="47">
        <v>10</v>
      </c>
    </row>
    <row r="1206" spans="1:23" hidden="1">
      <c r="A1206">
        <v>3675370701</v>
      </c>
      <c r="B1206">
        <v>57240262</v>
      </c>
      <c r="C1206" s="36" t="s">
        <v>339</v>
      </c>
      <c r="D1206" s="37">
        <v>42009.707430555558</v>
      </c>
      <c r="E1206" s="37">
        <v>42009.714502314811</v>
      </c>
      <c r="N1206">
        <v>9</v>
      </c>
      <c r="W1206" s="47"/>
    </row>
    <row r="1207" spans="1:23" hidden="1">
      <c r="A1207">
        <v>3675362635</v>
      </c>
      <c r="B1207">
        <v>57240262</v>
      </c>
      <c r="C1207" s="36" t="s">
        <v>340</v>
      </c>
      <c r="D1207" s="37">
        <v>42009.704745370371</v>
      </c>
      <c r="E1207" s="37">
        <v>42009.715532407405</v>
      </c>
      <c r="F1207">
        <v>1</v>
      </c>
      <c r="W1207" s="47"/>
    </row>
    <row r="1208" spans="1:23" hidden="1">
      <c r="A1208">
        <v>3675555256</v>
      </c>
      <c r="B1208">
        <v>57240262</v>
      </c>
      <c r="C1208" s="36" t="s">
        <v>1551</v>
      </c>
      <c r="D1208" s="37">
        <v>42009.770358796297</v>
      </c>
      <c r="E1208" s="37">
        <v>42009.773090277777</v>
      </c>
      <c r="F1208">
        <v>1</v>
      </c>
      <c r="W1208" s="47"/>
    </row>
    <row r="1209" spans="1:23" ht="24">
      <c r="A1209">
        <v>3675721956</v>
      </c>
      <c r="B1209">
        <v>57240262</v>
      </c>
      <c r="C1209" s="36" t="s">
        <v>1552</v>
      </c>
      <c r="D1209" s="37">
        <v>42009.826886574076</v>
      </c>
      <c r="E1209" s="37">
        <v>42009.835844907408</v>
      </c>
      <c r="F1209">
        <v>1</v>
      </c>
      <c r="G1209">
        <v>2</v>
      </c>
      <c r="H1209">
        <v>3</v>
      </c>
      <c r="K1209">
        <v>6</v>
      </c>
      <c r="N1209">
        <v>9</v>
      </c>
      <c r="O1209">
        <v>10</v>
      </c>
      <c r="Q1209">
        <v>12</v>
      </c>
      <c r="S1209">
        <v>14</v>
      </c>
      <c r="V1209" s="42" t="s">
        <v>125</v>
      </c>
      <c r="W1209" s="47">
        <v>10</v>
      </c>
    </row>
    <row r="1210" spans="1:23" hidden="1">
      <c r="A1210">
        <v>3675749395</v>
      </c>
      <c r="B1210">
        <v>57240262</v>
      </c>
      <c r="C1210" s="36" t="s">
        <v>1553</v>
      </c>
      <c r="D1210" s="37">
        <v>42009.836064814815</v>
      </c>
      <c r="E1210" s="37">
        <v>42009.840555555558</v>
      </c>
      <c r="I1210">
        <v>4</v>
      </c>
      <c r="W1210" s="47"/>
    </row>
    <row r="1211" spans="1:23">
      <c r="A1211">
        <v>3675757234</v>
      </c>
      <c r="B1211">
        <v>57240262</v>
      </c>
      <c r="C1211" s="36" t="s">
        <v>1554</v>
      </c>
      <c r="D1211" s="37">
        <v>42009.838263888887</v>
      </c>
      <c r="E1211" s="37">
        <v>42009.846805555557</v>
      </c>
      <c r="F1211">
        <v>1</v>
      </c>
      <c r="G1211">
        <v>2</v>
      </c>
      <c r="H1211">
        <v>3</v>
      </c>
      <c r="J1211">
        <v>5</v>
      </c>
      <c r="K1211">
        <v>6</v>
      </c>
      <c r="P1211">
        <v>11</v>
      </c>
      <c r="Q1211">
        <v>12</v>
      </c>
      <c r="R1211">
        <v>13</v>
      </c>
      <c r="V1211" s="42" t="s">
        <v>124</v>
      </c>
      <c r="W1211" s="47">
        <v>15</v>
      </c>
    </row>
    <row r="1212" spans="1:23">
      <c r="A1212">
        <v>3675769010</v>
      </c>
      <c r="B1212">
        <v>57240262</v>
      </c>
      <c r="C1212" s="36" t="s">
        <v>1555</v>
      </c>
      <c r="D1212" s="37">
        <v>42009.841863425929</v>
      </c>
      <c r="E1212" s="37">
        <v>42009.847037037034</v>
      </c>
      <c r="I1212">
        <v>4</v>
      </c>
      <c r="P1212">
        <v>11</v>
      </c>
      <c r="V1212" s="42" t="s">
        <v>123</v>
      </c>
      <c r="W1212" s="47">
        <v>4</v>
      </c>
    </row>
    <row r="1213" spans="1:23" hidden="1">
      <c r="A1213">
        <v>3674816719</v>
      </c>
      <c r="B1213">
        <v>57240262</v>
      </c>
      <c r="C1213" s="36" t="s">
        <v>2359</v>
      </c>
      <c r="D1213" s="37">
        <v>42009.447696759256</v>
      </c>
      <c r="E1213" s="37">
        <v>42009.853437500002</v>
      </c>
      <c r="W1213" s="47"/>
    </row>
    <row r="1214" spans="1:23" hidden="1">
      <c r="A1214">
        <v>3675788165</v>
      </c>
      <c r="B1214">
        <v>57240262</v>
      </c>
      <c r="C1214" s="36" t="s">
        <v>1556</v>
      </c>
      <c r="D1214" s="37">
        <v>42009.849293981482</v>
      </c>
      <c r="E1214" s="37">
        <v>42009.853761574072</v>
      </c>
      <c r="F1214">
        <v>1</v>
      </c>
      <c r="G1214">
        <v>2</v>
      </c>
      <c r="W1214" s="47"/>
    </row>
    <row r="1215" spans="1:23">
      <c r="A1215">
        <v>3675883845</v>
      </c>
      <c r="B1215">
        <v>57240262</v>
      </c>
      <c r="C1215" s="36" t="s">
        <v>1557</v>
      </c>
      <c r="D1215" s="37">
        <v>42009.882037037038</v>
      </c>
      <c r="E1215" s="37">
        <v>42009.894097222219</v>
      </c>
      <c r="F1215">
        <v>1</v>
      </c>
      <c r="G1215">
        <v>2</v>
      </c>
      <c r="H1215">
        <v>3</v>
      </c>
      <c r="I1215">
        <v>4</v>
      </c>
      <c r="K1215">
        <v>6</v>
      </c>
      <c r="O1215">
        <v>10</v>
      </c>
      <c r="P1215">
        <v>11</v>
      </c>
      <c r="V1215" s="42" t="s">
        <v>122</v>
      </c>
      <c r="W1215" s="47">
        <v>6</v>
      </c>
    </row>
    <row r="1216" spans="1:23" hidden="1">
      <c r="A1216">
        <v>3676101779</v>
      </c>
      <c r="B1216">
        <v>57240262</v>
      </c>
      <c r="C1216" s="36" t="s">
        <v>1558</v>
      </c>
      <c r="D1216" s="37">
        <v>42009.973483796297</v>
      </c>
      <c r="E1216" s="37">
        <v>42009.977962962963</v>
      </c>
      <c r="Q1216">
        <v>12</v>
      </c>
      <c r="W1216" s="47"/>
    </row>
    <row r="1217" spans="1:23">
      <c r="A1217">
        <v>3676115893</v>
      </c>
      <c r="B1217">
        <v>57240262</v>
      </c>
      <c r="C1217" s="36" t="s">
        <v>1559</v>
      </c>
      <c r="D1217" s="37">
        <v>42009.98065972222</v>
      </c>
      <c r="E1217" s="37">
        <v>42009.987268518518</v>
      </c>
      <c r="G1217">
        <v>2</v>
      </c>
      <c r="I1217">
        <v>4</v>
      </c>
      <c r="J1217">
        <v>5</v>
      </c>
      <c r="K1217">
        <v>6</v>
      </c>
      <c r="M1217">
        <v>8</v>
      </c>
      <c r="N1217">
        <v>9</v>
      </c>
      <c r="O1217">
        <v>10</v>
      </c>
      <c r="P1217">
        <v>11</v>
      </c>
      <c r="V1217" s="42" t="s">
        <v>30</v>
      </c>
      <c r="W1217" s="47">
        <v>2</v>
      </c>
    </row>
    <row r="1218" spans="1:23" hidden="1">
      <c r="A1218">
        <v>3676193144</v>
      </c>
      <c r="B1218">
        <v>57240262</v>
      </c>
      <c r="C1218" s="36" t="s">
        <v>1560</v>
      </c>
      <c r="D1218" s="37">
        <v>42010.025300925925</v>
      </c>
      <c r="E1218" s="37">
        <v>42010.02851851852</v>
      </c>
      <c r="J1218">
        <v>5</v>
      </c>
      <c r="W1218" s="47"/>
    </row>
    <row r="1219" spans="1:23" hidden="1">
      <c r="A1219">
        <v>3676576780</v>
      </c>
      <c r="B1219">
        <v>57240262</v>
      </c>
      <c r="C1219" s="36" t="s">
        <v>1561</v>
      </c>
      <c r="D1219" s="37">
        <v>42010.358078703706</v>
      </c>
      <c r="E1219" s="37">
        <v>42010.363344907404</v>
      </c>
      <c r="K1219">
        <v>6</v>
      </c>
      <c r="W1219" s="47"/>
    </row>
    <row r="1220" spans="1:23" hidden="1">
      <c r="A1220">
        <v>3676590107</v>
      </c>
      <c r="B1220">
        <v>57240262</v>
      </c>
      <c r="C1220" s="36" t="s">
        <v>343</v>
      </c>
      <c r="D1220" s="37">
        <v>42010.367361111108</v>
      </c>
      <c r="E1220" s="37">
        <v>42010.372164351851</v>
      </c>
      <c r="U1220">
        <v>16</v>
      </c>
      <c r="W1220" s="47"/>
    </row>
    <row r="1221" spans="1:23" hidden="1">
      <c r="A1221">
        <v>3676583188</v>
      </c>
      <c r="B1221">
        <v>57240262</v>
      </c>
      <c r="C1221" s="36" t="s">
        <v>1562</v>
      </c>
      <c r="D1221" s="37">
        <v>42010.363738425927</v>
      </c>
      <c r="E1221" s="37">
        <v>42010.374548611115</v>
      </c>
      <c r="I1221">
        <v>4</v>
      </c>
      <c r="M1221">
        <v>8</v>
      </c>
      <c r="O1221">
        <v>10</v>
      </c>
      <c r="Q1221">
        <v>12</v>
      </c>
      <c r="W1221" s="47"/>
    </row>
    <row r="1222" spans="1:23" hidden="1">
      <c r="A1222">
        <v>3676623594</v>
      </c>
      <c r="B1222">
        <v>57240262</v>
      </c>
      <c r="C1222" s="36" t="s">
        <v>1563</v>
      </c>
      <c r="D1222" s="37">
        <v>42010.396458333336</v>
      </c>
      <c r="E1222" s="37">
        <v>42010.398564814815</v>
      </c>
      <c r="U1222">
        <v>16</v>
      </c>
      <c r="W1222" s="47"/>
    </row>
    <row r="1223" spans="1:23" hidden="1">
      <c r="A1223">
        <v>3676700000</v>
      </c>
      <c r="B1223">
        <v>57240262</v>
      </c>
      <c r="C1223" s="36" t="s">
        <v>1564</v>
      </c>
      <c r="D1223" s="37">
        <v>42010.456736111111</v>
      </c>
      <c r="E1223" s="37">
        <v>42010.468171296299</v>
      </c>
      <c r="F1223">
        <v>1</v>
      </c>
      <c r="N1223">
        <v>9</v>
      </c>
      <c r="O1223">
        <v>10</v>
      </c>
      <c r="W1223" s="47"/>
    </row>
    <row r="1224" spans="1:23" hidden="1">
      <c r="A1224">
        <v>3676721959</v>
      </c>
      <c r="B1224">
        <v>57240262</v>
      </c>
      <c r="C1224" s="36" t="s">
        <v>1565</v>
      </c>
      <c r="D1224" s="37">
        <v>42010.473263888889</v>
      </c>
      <c r="E1224" s="37">
        <v>42010.477997685186</v>
      </c>
      <c r="J1224">
        <v>5</v>
      </c>
      <c r="K1224">
        <v>6</v>
      </c>
      <c r="N1224">
        <v>9</v>
      </c>
      <c r="O1224">
        <v>10</v>
      </c>
      <c r="W1224" s="47"/>
    </row>
    <row r="1225" spans="1:23" hidden="1">
      <c r="A1225">
        <v>3676734231</v>
      </c>
      <c r="B1225">
        <v>57240262</v>
      </c>
      <c r="C1225" s="36" t="s">
        <v>344</v>
      </c>
      <c r="D1225" s="37">
        <v>42010.481932870367</v>
      </c>
      <c r="E1225" s="37">
        <v>42010.485185185185</v>
      </c>
      <c r="U1225">
        <v>16</v>
      </c>
      <c r="W1225" s="47"/>
    </row>
    <row r="1226" spans="1:23" hidden="1">
      <c r="A1226">
        <v>3676733427</v>
      </c>
      <c r="B1226">
        <v>57240262</v>
      </c>
      <c r="C1226" s="36" t="s">
        <v>1566</v>
      </c>
      <c r="D1226" s="37">
        <v>42010.481446759259</v>
      </c>
      <c r="E1226" s="37">
        <v>42010.485486111109</v>
      </c>
      <c r="F1226">
        <v>1</v>
      </c>
      <c r="O1226">
        <v>10</v>
      </c>
      <c r="W1226" s="47"/>
    </row>
    <row r="1227" spans="1:23">
      <c r="A1227">
        <v>3676738761</v>
      </c>
      <c r="B1227">
        <v>57240262</v>
      </c>
      <c r="C1227" s="36" t="s">
        <v>1567</v>
      </c>
      <c r="D1227" s="37">
        <v>42010.484918981485</v>
      </c>
      <c r="E1227" s="37">
        <v>42010.488194444442</v>
      </c>
      <c r="F1227">
        <v>1</v>
      </c>
      <c r="I1227">
        <v>4</v>
      </c>
      <c r="K1227">
        <v>6</v>
      </c>
      <c r="V1227" s="42" t="s">
        <v>49</v>
      </c>
      <c r="W1227" s="47">
        <v>6</v>
      </c>
    </row>
    <row r="1228" spans="1:23" hidden="1">
      <c r="A1228">
        <v>3676739419</v>
      </c>
      <c r="B1228">
        <v>57240262</v>
      </c>
      <c r="C1228" s="36" t="s">
        <v>1568</v>
      </c>
      <c r="D1228" s="37">
        <v>42010.485266203701</v>
      </c>
      <c r="E1228" s="37">
        <v>42010.489699074074</v>
      </c>
      <c r="U1228">
        <v>16</v>
      </c>
      <c r="W1228" s="47"/>
    </row>
    <row r="1229" spans="1:23" hidden="1">
      <c r="A1229">
        <v>3676744992</v>
      </c>
      <c r="B1229">
        <v>57240262</v>
      </c>
      <c r="C1229" s="36" t="s">
        <v>1569</v>
      </c>
      <c r="D1229" s="37">
        <v>42010.487997685188</v>
      </c>
      <c r="E1229" s="37">
        <v>42010.492754629631</v>
      </c>
      <c r="K1229">
        <v>6</v>
      </c>
      <c r="W1229" s="47"/>
    </row>
    <row r="1230" spans="1:23" hidden="1">
      <c r="A1230">
        <v>3676757295</v>
      </c>
      <c r="B1230">
        <v>57240262</v>
      </c>
      <c r="C1230" s="36" t="s">
        <v>1570</v>
      </c>
      <c r="D1230" s="37">
        <v>42010.497037037036</v>
      </c>
      <c r="E1230" s="37">
        <v>42010.50277777778</v>
      </c>
      <c r="U1230">
        <v>16</v>
      </c>
      <c r="W1230" s="47"/>
    </row>
    <row r="1231" spans="1:23" hidden="1">
      <c r="A1231">
        <v>3676787391</v>
      </c>
      <c r="B1231">
        <v>57240262</v>
      </c>
      <c r="C1231" s="36" t="s">
        <v>1571</v>
      </c>
      <c r="D1231" s="37">
        <v>42010.516203703701</v>
      </c>
      <c r="E1231" s="37">
        <v>42010.519004629627</v>
      </c>
      <c r="U1231">
        <v>16</v>
      </c>
      <c r="W1231" s="47"/>
    </row>
    <row r="1232" spans="1:23" hidden="1">
      <c r="A1232">
        <v>3676832445</v>
      </c>
      <c r="B1232">
        <v>57240262</v>
      </c>
      <c r="C1232" s="36" t="s">
        <v>1572</v>
      </c>
      <c r="D1232" s="37">
        <v>42010.542048611111</v>
      </c>
      <c r="E1232" s="37">
        <v>42010.542893518519</v>
      </c>
      <c r="U1232">
        <v>16</v>
      </c>
      <c r="W1232" s="47"/>
    </row>
    <row r="1233" spans="1:23" hidden="1">
      <c r="A1233">
        <v>3676861730</v>
      </c>
      <c r="B1233">
        <v>57240262</v>
      </c>
      <c r="C1233" s="36" t="s">
        <v>1573</v>
      </c>
      <c r="D1233" s="37">
        <v>42010.555983796294</v>
      </c>
      <c r="E1233" s="37">
        <v>42010.562754629631</v>
      </c>
      <c r="U1233">
        <v>16</v>
      </c>
      <c r="W1233" s="47"/>
    </row>
    <row r="1234" spans="1:23" hidden="1">
      <c r="A1234">
        <v>3676861894</v>
      </c>
      <c r="B1234">
        <v>57240262</v>
      </c>
      <c r="C1234" s="36" t="s">
        <v>1574</v>
      </c>
      <c r="D1234" s="37">
        <v>42010.556805555556</v>
      </c>
      <c r="E1234" s="37">
        <v>42010.565729166665</v>
      </c>
      <c r="F1234">
        <v>1</v>
      </c>
      <c r="I1234">
        <v>4</v>
      </c>
      <c r="Q1234">
        <v>12</v>
      </c>
      <c r="W1234" s="47"/>
    </row>
    <row r="1235" spans="1:23">
      <c r="A1235">
        <v>3676941106</v>
      </c>
      <c r="B1235">
        <v>57240262</v>
      </c>
      <c r="C1235" s="36" t="s">
        <v>1575</v>
      </c>
      <c r="D1235" s="37">
        <v>42010.591446759259</v>
      </c>
      <c r="E1235" s="37">
        <v>42010.596990740742</v>
      </c>
      <c r="P1235">
        <v>11</v>
      </c>
      <c r="R1235">
        <v>13</v>
      </c>
      <c r="V1235" s="42" t="s">
        <v>121</v>
      </c>
      <c r="W1235" s="47">
        <v>13</v>
      </c>
    </row>
    <row r="1236" spans="1:23" hidden="1">
      <c r="A1236">
        <v>3676951580</v>
      </c>
      <c r="B1236">
        <v>57240262</v>
      </c>
      <c r="C1236" s="36" t="s">
        <v>1576</v>
      </c>
      <c r="D1236" s="37">
        <v>42010.595127314817</v>
      </c>
      <c r="E1236" s="37">
        <v>42010.59883101852</v>
      </c>
      <c r="U1236">
        <v>16</v>
      </c>
      <c r="W1236" s="47"/>
    </row>
    <row r="1237" spans="1:23" hidden="1">
      <c r="A1237">
        <v>3676996219</v>
      </c>
      <c r="B1237">
        <v>57240262</v>
      </c>
      <c r="C1237" s="36" t="s">
        <v>1577</v>
      </c>
      <c r="D1237" s="37">
        <v>42010.612395833334</v>
      </c>
      <c r="E1237" s="37">
        <v>42010.615451388891</v>
      </c>
      <c r="K1237">
        <v>6</v>
      </c>
      <c r="N1237">
        <v>9</v>
      </c>
      <c r="W1237" s="47"/>
    </row>
    <row r="1238" spans="1:23">
      <c r="A1238">
        <v>3677003268</v>
      </c>
      <c r="B1238">
        <v>57240262</v>
      </c>
      <c r="C1238" s="36" t="s">
        <v>347</v>
      </c>
      <c r="D1238" s="37">
        <v>42010.614976851852</v>
      </c>
      <c r="E1238" s="37">
        <v>42010.622997685183</v>
      </c>
      <c r="F1238">
        <v>1</v>
      </c>
      <c r="K1238">
        <v>6</v>
      </c>
      <c r="N1238">
        <v>9</v>
      </c>
      <c r="V1238" s="42" t="s">
        <v>84</v>
      </c>
      <c r="W1238" s="47">
        <v>1</v>
      </c>
    </row>
    <row r="1239" spans="1:23" hidden="1">
      <c r="A1239">
        <v>3676889804</v>
      </c>
      <c r="B1239">
        <v>57240262</v>
      </c>
      <c r="C1239" s="36" t="s">
        <v>345</v>
      </c>
      <c r="D1239" s="37">
        <v>42010.569976851853</v>
      </c>
      <c r="E1239" s="37">
        <v>42010.633703703701</v>
      </c>
      <c r="U1239">
        <v>16</v>
      </c>
      <c r="W1239" s="47"/>
    </row>
    <row r="1240" spans="1:23" hidden="1">
      <c r="A1240">
        <v>3677057521</v>
      </c>
      <c r="B1240">
        <v>57240262</v>
      </c>
      <c r="C1240" s="36" t="s">
        <v>2360</v>
      </c>
      <c r="D1240" s="37">
        <v>42010.633819444447</v>
      </c>
      <c r="E1240" s="37">
        <v>42010.634340277778</v>
      </c>
      <c r="W1240" s="47"/>
    </row>
    <row r="1241" spans="1:23" hidden="1">
      <c r="A1241">
        <v>3677049955</v>
      </c>
      <c r="B1241">
        <v>57240262</v>
      </c>
      <c r="C1241" s="36" t="s">
        <v>346</v>
      </c>
      <c r="D1241" s="37">
        <v>42010.631261574075</v>
      </c>
      <c r="E1241" s="37">
        <v>42010.634421296294</v>
      </c>
      <c r="U1241">
        <v>16</v>
      </c>
      <c r="W1241" s="47"/>
    </row>
    <row r="1242" spans="1:23" hidden="1">
      <c r="A1242">
        <v>3677088604</v>
      </c>
      <c r="B1242">
        <v>57240262</v>
      </c>
      <c r="C1242" s="36" t="s">
        <v>1578</v>
      </c>
      <c r="D1242" s="37">
        <v>42010.644259259258</v>
      </c>
      <c r="E1242" s="37">
        <v>42010.645844907405</v>
      </c>
      <c r="U1242">
        <v>16</v>
      </c>
      <c r="W1242" s="47"/>
    </row>
    <row r="1243" spans="1:23" hidden="1">
      <c r="A1243">
        <v>3677082597</v>
      </c>
      <c r="B1243">
        <v>57240262</v>
      </c>
      <c r="C1243" s="36" t="s">
        <v>381</v>
      </c>
      <c r="D1243" s="37">
        <v>42010.640138888892</v>
      </c>
      <c r="E1243" s="37">
        <v>42010.648425925923</v>
      </c>
      <c r="F1243">
        <v>1</v>
      </c>
      <c r="W1243" s="47"/>
    </row>
    <row r="1244" spans="1:23" ht="24">
      <c r="A1244">
        <v>3677142420</v>
      </c>
      <c r="B1244">
        <v>57240262</v>
      </c>
      <c r="C1244" s="36" t="s">
        <v>1579</v>
      </c>
      <c r="D1244" s="37">
        <v>42010.661493055559</v>
      </c>
      <c r="E1244" s="37">
        <v>42010.668171296296</v>
      </c>
      <c r="F1244">
        <v>1</v>
      </c>
      <c r="G1244">
        <v>2</v>
      </c>
      <c r="I1244">
        <v>4</v>
      </c>
      <c r="M1244">
        <v>8</v>
      </c>
      <c r="V1244" s="42" t="s">
        <v>120</v>
      </c>
      <c r="W1244" s="47">
        <v>4</v>
      </c>
    </row>
    <row r="1245" spans="1:23" hidden="1">
      <c r="A1245">
        <v>3677156701</v>
      </c>
      <c r="B1245">
        <v>57240262</v>
      </c>
      <c r="C1245" s="36" t="s">
        <v>1580</v>
      </c>
      <c r="D1245" s="37">
        <v>42010.6559375</v>
      </c>
      <c r="E1245" s="37">
        <v>42010.67287037037</v>
      </c>
      <c r="U1245">
        <v>16</v>
      </c>
      <c r="W1245" s="47"/>
    </row>
    <row r="1246" spans="1:23" hidden="1">
      <c r="A1246">
        <v>3677197209</v>
      </c>
      <c r="B1246">
        <v>57240262</v>
      </c>
      <c r="C1246" s="36" t="s">
        <v>1581</v>
      </c>
      <c r="D1246" s="37">
        <v>42010.678564814814</v>
      </c>
      <c r="E1246" s="37">
        <v>42010.684328703705</v>
      </c>
      <c r="U1246">
        <v>16</v>
      </c>
      <c r="W1246" s="47"/>
    </row>
    <row r="1247" spans="1:23" hidden="1">
      <c r="A1247">
        <v>3677213681</v>
      </c>
      <c r="B1247">
        <v>57240262</v>
      </c>
      <c r="C1247" s="36" t="s">
        <v>1582</v>
      </c>
      <c r="D1247" s="37">
        <v>42010.683692129627</v>
      </c>
      <c r="E1247" s="37">
        <v>42010.685891203706</v>
      </c>
      <c r="U1247">
        <v>16</v>
      </c>
      <c r="W1247" s="47"/>
    </row>
    <row r="1248" spans="1:23" hidden="1">
      <c r="A1248">
        <v>3677233930</v>
      </c>
      <c r="B1248">
        <v>57240262</v>
      </c>
      <c r="C1248" s="36" t="s">
        <v>1583</v>
      </c>
      <c r="D1248" s="37">
        <v>42010.690057870372</v>
      </c>
      <c r="E1248" s="37">
        <v>42010.696203703701</v>
      </c>
      <c r="O1248">
        <v>10</v>
      </c>
      <c r="W1248" s="47"/>
    </row>
    <row r="1249" spans="1:23">
      <c r="A1249">
        <v>3677452604</v>
      </c>
      <c r="B1249">
        <v>57240262</v>
      </c>
      <c r="C1249" s="36" t="s">
        <v>1584</v>
      </c>
      <c r="D1249" s="37">
        <v>42010.763136574074</v>
      </c>
      <c r="E1249" s="37">
        <v>42010.767129629632</v>
      </c>
      <c r="F1249">
        <v>1</v>
      </c>
      <c r="H1249">
        <v>3</v>
      </c>
      <c r="K1249">
        <v>6</v>
      </c>
      <c r="S1249">
        <v>14</v>
      </c>
      <c r="V1249" s="42" t="s">
        <v>51</v>
      </c>
      <c r="W1249" s="47">
        <v>6</v>
      </c>
    </row>
    <row r="1250" spans="1:23" hidden="1">
      <c r="A1250">
        <v>3677441575</v>
      </c>
      <c r="B1250">
        <v>57240262</v>
      </c>
      <c r="C1250" s="36" t="s">
        <v>348</v>
      </c>
      <c r="D1250" s="37">
        <v>42010.759236111109</v>
      </c>
      <c r="E1250" s="37">
        <v>42010.769976851851</v>
      </c>
      <c r="L1250">
        <v>7</v>
      </c>
      <c r="W1250" s="47"/>
    </row>
    <row r="1251" spans="1:23" hidden="1">
      <c r="A1251">
        <v>3677577853</v>
      </c>
      <c r="B1251">
        <v>57240262</v>
      </c>
      <c r="C1251" s="36" t="s">
        <v>1585</v>
      </c>
      <c r="D1251" s="37">
        <v>42010.805393518516</v>
      </c>
      <c r="E1251" s="37">
        <v>42010.80976851852</v>
      </c>
      <c r="U1251">
        <v>16</v>
      </c>
      <c r="W1251" s="47"/>
    </row>
    <row r="1252" spans="1:23" hidden="1">
      <c r="A1252">
        <v>3677579923</v>
      </c>
      <c r="B1252">
        <v>57240262</v>
      </c>
      <c r="C1252" s="36" t="s">
        <v>1586</v>
      </c>
      <c r="D1252" s="37">
        <v>42010.805821759262</v>
      </c>
      <c r="E1252" s="37">
        <v>42010.812488425923</v>
      </c>
      <c r="N1252">
        <v>9</v>
      </c>
      <c r="W1252" s="47"/>
    </row>
    <row r="1253" spans="1:23">
      <c r="A1253">
        <v>3677586792</v>
      </c>
      <c r="B1253">
        <v>57240262</v>
      </c>
      <c r="C1253" s="36" t="s">
        <v>1587</v>
      </c>
      <c r="D1253" s="37">
        <v>42010.808287037034</v>
      </c>
      <c r="E1253" s="37">
        <v>42010.813067129631</v>
      </c>
      <c r="F1253">
        <v>1</v>
      </c>
      <c r="I1253">
        <v>4</v>
      </c>
      <c r="K1253">
        <v>6</v>
      </c>
      <c r="O1253">
        <v>10</v>
      </c>
      <c r="P1253">
        <v>11</v>
      </c>
      <c r="Q1253">
        <v>12</v>
      </c>
      <c r="V1253" s="42" t="s">
        <v>119</v>
      </c>
      <c r="W1253" s="47">
        <v>11</v>
      </c>
    </row>
    <row r="1254" spans="1:23" hidden="1">
      <c r="A1254">
        <v>3677592401</v>
      </c>
      <c r="B1254">
        <v>57240262</v>
      </c>
      <c r="C1254" s="36" t="s">
        <v>1588</v>
      </c>
      <c r="D1254" s="37">
        <v>42010.81</v>
      </c>
      <c r="E1254" s="37">
        <v>42010.814340277779</v>
      </c>
      <c r="G1254">
        <v>2</v>
      </c>
      <c r="I1254">
        <v>4</v>
      </c>
      <c r="M1254">
        <v>8</v>
      </c>
      <c r="O1254">
        <v>10</v>
      </c>
      <c r="P1254">
        <v>11</v>
      </c>
      <c r="W1254" s="47"/>
    </row>
    <row r="1255" spans="1:23" hidden="1">
      <c r="A1255">
        <v>3677614109</v>
      </c>
      <c r="B1255">
        <v>57240262</v>
      </c>
      <c r="C1255" s="36" t="s">
        <v>1589</v>
      </c>
      <c r="D1255" s="37">
        <v>42010.817187499997</v>
      </c>
      <c r="E1255" s="37">
        <v>42010.823252314818</v>
      </c>
      <c r="U1255">
        <v>16</v>
      </c>
      <c r="W1255" s="47"/>
    </row>
    <row r="1256" spans="1:23" hidden="1">
      <c r="A1256">
        <v>3677615659</v>
      </c>
      <c r="B1256">
        <v>57240262</v>
      </c>
      <c r="C1256" s="36" t="s">
        <v>1590</v>
      </c>
      <c r="D1256" s="37">
        <v>42010.817673611113</v>
      </c>
      <c r="E1256" s="37">
        <v>42010.82371527778</v>
      </c>
      <c r="H1256">
        <v>3</v>
      </c>
      <c r="K1256">
        <v>6</v>
      </c>
      <c r="W1256" s="47"/>
    </row>
    <row r="1257" spans="1:23">
      <c r="A1257">
        <v>3677605362</v>
      </c>
      <c r="B1257">
        <v>57240262</v>
      </c>
      <c r="C1257" s="36" t="s">
        <v>349</v>
      </c>
      <c r="D1257" s="37">
        <v>42010.813692129632</v>
      </c>
      <c r="E1257" s="37">
        <v>42010.827418981484</v>
      </c>
      <c r="F1257">
        <v>1</v>
      </c>
      <c r="G1257">
        <v>2</v>
      </c>
      <c r="O1257">
        <v>10</v>
      </c>
      <c r="R1257">
        <v>13</v>
      </c>
      <c r="V1257" s="42" t="s">
        <v>118</v>
      </c>
      <c r="W1257" s="47">
        <v>2</v>
      </c>
    </row>
    <row r="1258" spans="1:23" hidden="1">
      <c r="A1258">
        <v>3677661523</v>
      </c>
      <c r="B1258">
        <v>57240262</v>
      </c>
      <c r="C1258" s="36" t="s">
        <v>1591</v>
      </c>
      <c r="D1258" s="37">
        <v>42010.832442129627</v>
      </c>
      <c r="E1258" s="37">
        <v>42010.836863425924</v>
      </c>
      <c r="N1258">
        <v>9</v>
      </c>
      <c r="W1258" s="47"/>
    </row>
    <row r="1259" spans="1:23" hidden="1">
      <c r="A1259">
        <v>3677666483</v>
      </c>
      <c r="B1259">
        <v>57240262</v>
      </c>
      <c r="C1259" s="36" t="s">
        <v>1592</v>
      </c>
      <c r="D1259" s="37">
        <v>42010.833912037036</v>
      </c>
      <c r="E1259" s="37">
        <v>42010.844270833331</v>
      </c>
      <c r="M1259">
        <v>8</v>
      </c>
      <c r="W1259" s="47"/>
    </row>
    <row r="1260" spans="1:23" hidden="1">
      <c r="A1260">
        <v>3677687432</v>
      </c>
      <c r="B1260">
        <v>57240262</v>
      </c>
      <c r="C1260" s="36" t="s">
        <v>1593</v>
      </c>
      <c r="D1260" s="37">
        <v>42010.840902777774</v>
      </c>
      <c r="E1260" s="37">
        <v>42010.849305555559</v>
      </c>
      <c r="I1260">
        <v>4</v>
      </c>
      <c r="W1260" s="47"/>
    </row>
    <row r="1261" spans="1:23" hidden="1">
      <c r="A1261">
        <v>3677704150</v>
      </c>
      <c r="B1261">
        <v>57240262</v>
      </c>
      <c r="C1261" s="36" t="s">
        <v>1594</v>
      </c>
      <c r="D1261" s="37">
        <v>42010.846712962964</v>
      </c>
      <c r="E1261" s="37">
        <v>42010.851898148147</v>
      </c>
      <c r="U1261">
        <v>16</v>
      </c>
      <c r="W1261" s="47"/>
    </row>
    <row r="1262" spans="1:23" hidden="1">
      <c r="A1262">
        <v>3677711423</v>
      </c>
      <c r="B1262">
        <v>57240262</v>
      </c>
      <c r="C1262" s="36" t="s">
        <v>1595</v>
      </c>
      <c r="D1262" s="37">
        <v>42010.849085648151</v>
      </c>
      <c r="E1262" s="37">
        <v>42010.852372685185</v>
      </c>
      <c r="U1262">
        <v>16</v>
      </c>
      <c r="W1262" s="47"/>
    </row>
    <row r="1263" spans="1:23" hidden="1">
      <c r="A1263">
        <v>3677711502</v>
      </c>
      <c r="B1263">
        <v>57240262</v>
      </c>
      <c r="C1263" s="36" t="s">
        <v>1596</v>
      </c>
      <c r="D1263" s="37">
        <v>42010.84915509259</v>
      </c>
      <c r="E1263" s="37">
        <v>42010.860277777778</v>
      </c>
      <c r="Q1263">
        <v>12</v>
      </c>
      <c r="R1263">
        <v>13</v>
      </c>
      <c r="W1263" s="47"/>
    </row>
    <row r="1264" spans="1:23" hidden="1">
      <c r="A1264">
        <v>3677768868</v>
      </c>
      <c r="B1264">
        <v>57240262</v>
      </c>
      <c r="C1264" s="36" t="s">
        <v>350</v>
      </c>
      <c r="D1264" s="37">
        <v>42010.868807870371</v>
      </c>
      <c r="E1264" s="37">
        <v>42010.877812500003</v>
      </c>
      <c r="H1264">
        <v>3</v>
      </c>
      <c r="W1264" s="47"/>
    </row>
    <row r="1265" spans="1:23" hidden="1">
      <c r="A1265">
        <v>3677732072</v>
      </c>
      <c r="B1265">
        <v>57240262</v>
      </c>
      <c r="C1265" s="36" t="s">
        <v>1597</v>
      </c>
      <c r="D1265" s="37">
        <v>42010.856087962966</v>
      </c>
      <c r="E1265" s="37">
        <v>42010.883888888886</v>
      </c>
      <c r="G1265">
        <v>2</v>
      </c>
      <c r="H1265">
        <v>3</v>
      </c>
      <c r="W1265" s="47"/>
    </row>
    <row r="1266" spans="1:23" hidden="1">
      <c r="A1266">
        <v>3677779569</v>
      </c>
      <c r="B1266">
        <v>57240262</v>
      </c>
      <c r="C1266" s="36" t="s">
        <v>1598</v>
      </c>
      <c r="D1266" s="37">
        <v>42010.872384259259</v>
      </c>
      <c r="E1266" s="37">
        <v>42010.893460648149</v>
      </c>
      <c r="J1266">
        <v>5</v>
      </c>
      <c r="W1266" s="47"/>
    </row>
    <row r="1267" spans="1:23" hidden="1">
      <c r="A1267">
        <v>3678017717</v>
      </c>
      <c r="B1267">
        <v>57240262</v>
      </c>
      <c r="C1267" s="36" t="s">
        <v>1599</v>
      </c>
      <c r="D1267" s="37">
        <v>42010.96361111111</v>
      </c>
      <c r="E1267" s="37">
        <v>42010.970613425925</v>
      </c>
      <c r="F1267">
        <v>1</v>
      </c>
      <c r="W1267" s="47"/>
    </row>
    <row r="1268" spans="1:23">
      <c r="A1268">
        <v>3678031434</v>
      </c>
      <c r="B1268">
        <v>57240262</v>
      </c>
      <c r="C1268" s="36" t="s">
        <v>1600</v>
      </c>
      <c r="D1268" s="37">
        <v>42010.970555555556</v>
      </c>
      <c r="E1268" s="37">
        <v>42010.977812500001</v>
      </c>
      <c r="L1268">
        <v>7</v>
      </c>
      <c r="M1268">
        <v>8</v>
      </c>
      <c r="P1268">
        <v>11</v>
      </c>
      <c r="V1268" s="42" t="s">
        <v>117</v>
      </c>
      <c r="W1268" s="47">
        <v>7</v>
      </c>
    </row>
    <row r="1269" spans="1:23" hidden="1">
      <c r="A1269">
        <v>3678146227</v>
      </c>
      <c r="B1269">
        <v>57240262</v>
      </c>
      <c r="C1269" s="36" t="s">
        <v>1602</v>
      </c>
      <c r="D1269" s="37">
        <v>42011.032847222225</v>
      </c>
      <c r="E1269" s="37">
        <v>42011.033634259256</v>
      </c>
      <c r="W1269" s="47"/>
    </row>
    <row r="1270" spans="1:23" hidden="1">
      <c r="A1270">
        <v>3678571709</v>
      </c>
      <c r="B1270">
        <v>57240262</v>
      </c>
      <c r="C1270" s="36" t="s">
        <v>1601</v>
      </c>
      <c r="D1270" s="37">
        <v>42011.367754629631</v>
      </c>
      <c r="E1270" s="37">
        <v>42011.368923611109</v>
      </c>
      <c r="I1270">
        <v>4</v>
      </c>
      <c r="K1270">
        <v>6</v>
      </c>
      <c r="W1270" s="47"/>
    </row>
    <row r="1271" spans="1:23" hidden="1">
      <c r="A1271">
        <v>3678539794</v>
      </c>
      <c r="B1271">
        <v>57240262</v>
      </c>
      <c r="C1271" s="36" t="s">
        <v>2361</v>
      </c>
      <c r="D1271" s="37">
        <v>42011.342789351853</v>
      </c>
      <c r="E1271" s="37">
        <v>42011.37940972222</v>
      </c>
      <c r="H1271">
        <v>3</v>
      </c>
      <c r="W1271" s="47"/>
    </row>
    <row r="1272" spans="1:23" hidden="1">
      <c r="A1272">
        <v>3678605064</v>
      </c>
      <c r="B1272">
        <v>57240262</v>
      </c>
      <c r="C1272" s="36" t="s">
        <v>1603</v>
      </c>
      <c r="D1272" s="37">
        <v>42011.3908912037</v>
      </c>
      <c r="E1272" s="37">
        <v>42011.398020833331</v>
      </c>
      <c r="U1272">
        <v>16</v>
      </c>
      <c r="W1272" s="47"/>
    </row>
    <row r="1273" spans="1:23" hidden="1">
      <c r="A1273">
        <v>3678614558</v>
      </c>
      <c r="B1273">
        <v>57240262</v>
      </c>
      <c r="C1273" s="36" t="s">
        <v>1604</v>
      </c>
      <c r="D1273" s="37">
        <v>42011.397511574076</v>
      </c>
      <c r="E1273" s="37">
        <v>42011.400509259256</v>
      </c>
      <c r="U1273">
        <v>16</v>
      </c>
      <c r="W1273" s="47"/>
    </row>
    <row r="1274" spans="1:23" hidden="1">
      <c r="A1274">
        <v>3678619519</v>
      </c>
      <c r="B1274">
        <v>57240262</v>
      </c>
      <c r="C1274" s="36" t="s">
        <v>1605</v>
      </c>
      <c r="D1274" s="37">
        <v>42011.400914351849</v>
      </c>
      <c r="E1274" s="37">
        <v>42011.404270833336</v>
      </c>
      <c r="U1274">
        <v>16</v>
      </c>
      <c r="W1274" s="47"/>
    </row>
    <row r="1275" spans="1:23" hidden="1">
      <c r="A1275">
        <v>3678617845</v>
      </c>
      <c r="B1275">
        <v>57240262</v>
      </c>
      <c r="C1275" s="36" t="s">
        <v>351</v>
      </c>
      <c r="D1275" s="37">
        <v>42011.399837962963</v>
      </c>
      <c r="E1275" s="37">
        <v>42011.405092592591</v>
      </c>
      <c r="U1275">
        <v>16</v>
      </c>
      <c r="W1275" s="47"/>
    </row>
    <row r="1276" spans="1:23" hidden="1">
      <c r="A1276">
        <v>3678636508</v>
      </c>
      <c r="B1276">
        <v>57240262</v>
      </c>
      <c r="C1276" s="36" t="s">
        <v>1606</v>
      </c>
      <c r="D1276" s="37">
        <v>42011.412291666667</v>
      </c>
      <c r="E1276" s="37">
        <v>42011.420810185184</v>
      </c>
      <c r="U1276">
        <v>16</v>
      </c>
      <c r="W1276" s="47"/>
    </row>
    <row r="1277" spans="1:23" hidden="1">
      <c r="A1277">
        <v>3678615966</v>
      </c>
      <c r="B1277">
        <v>57240262</v>
      </c>
      <c r="C1277" s="36" t="s">
        <v>352</v>
      </c>
      <c r="D1277" s="37">
        <v>42011.393854166665</v>
      </c>
      <c r="E1277" s="37">
        <v>42011.424409722225</v>
      </c>
      <c r="F1277">
        <v>1</v>
      </c>
      <c r="W1277" s="47"/>
    </row>
    <row r="1278" spans="1:23">
      <c r="A1278">
        <v>3678654909</v>
      </c>
      <c r="B1278">
        <v>57240262</v>
      </c>
      <c r="C1278" s="36" t="s">
        <v>1607</v>
      </c>
      <c r="D1278" s="37">
        <v>42011.423773148148</v>
      </c>
      <c r="E1278" s="37">
        <v>42011.431979166664</v>
      </c>
      <c r="F1278">
        <v>1</v>
      </c>
      <c r="N1278">
        <v>9</v>
      </c>
      <c r="Q1278">
        <v>12</v>
      </c>
      <c r="V1278" s="42" t="s">
        <v>25</v>
      </c>
      <c r="W1278" s="47">
        <v>1</v>
      </c>
    </row>
    <row r="1279" spans="1:23" hidden="1">
      <c r="A1279">
        <v>3678676131</v>
      </c>
      <c r="B1279">
        <v>57240262</v>
      </c>
      <c r="C1279" s="36" t="s">
        <v>1608</v>
      </c>
      <c r="D1279" s="37">
        <v>42011.438136574077</v>
      </c>
      <c r="E1279" s="37">
        <v>42011.444618055553</v>
      </c>
      <c r="R1279">
        <v>13</v>
      </c>
      <c r="W1279" s="47"/>
    </row>
    <row r="1280" spans="1:23" hidden="1">
      <c r="A1280">
        <v>3678675646</v>
      </c>
      <c r="B1280">
        <v>57240262</v>
      </c>
      <c r="C1280" s="36" t="s">
        <v>353</v>
      </c>
      <c r="D1280" s="37">
        <v>42011.437777777777</v>
      </c>
      <c r="E1280" s="37">
        <v>42011.446423611109</v>
      </c>
      <c r="F1280">
        <v>1</v>
      </c>
      <c r="W1280" s="47"/>
    </row>
    <row r="1281" spans="1:23" hidden="1">
      <c r="A1281">
        <v>3678631852</v>
      </c>
      <c r="B1281">
        <v>57240262</v>
      </c>
      <c r="C1281" s="36" t="s">
        <v>382</v>
      </c>
      <c r="D1281" s="37">
        <v>42011.408541666664</v>
      </c>
      <c r="E1281" s="37">
        <v>42011.458182870374</v>
      </c>
      <c r="R1281">
        <v>13</v>
      </c>
      <c r="W1281" s="47"/>
    </row>
    <row r="1282" spans="1:23" hidden="1">
      <c r="A1282">
        <v>3678749126</v>
      </c>
      <c r="B1282">
        <v>57240262</v>
      </c>
      <c r="C1282" s="36" t="s">
        <v>1609</v>
      </c>
      <c r="D1282" s="37">
        <v>42011.485567129632</v>
      </c>
      <c r="E1282" s="37">
        <v>42011.489224537036</v>
      </c>
      <c r="F1282">
        <v>1</v>
      </c>
      <c r="O1282">
        <v>10</v>
      </c>
      <c r="W1282" s="47"/>
    </row>
    <row r="1283" spans="1:23" hidden="1">
      <c r="A1283">
        <v>3678752056</v>
      </c>
      <c r="B1283">
        <v>57240262</v>
      </c>
      <c r="C1283" s="36" t="s">
        <v>1610</v>
      </c>
      <c r="D1283" s="37">
        <v>42011.487349537034</v>
      </c>
      <c r="E1283" s="37">
        <v>42011.491574074076</v>
      </c>
      <c r="U1283">
        <v>16</v>
      </c>
      <c r="W1283" s="47"/>
    </row>
    <row r="1284" spans="1:23">
      <c r="A1284">
        <v>3678811635</v>
      </c>
      <c r="B1284">
        <v>57240262</v>
      </c>
      <c r="C1284" s="36" t="s">
        <v>1611</v>
      </c>
      <c r="D1284" s="37">
        <v>42011.523113425923</v>
      </c>
      <c r="E1284" s="37">
        <v>42011.530057870368</v>
      </c>
      <c r="F1284">
        <v>1</v>
      </c>
      <c r="H1284">
        <v>3</v>
      </c>
      <c r="K1284">
        <v>6</v>
      </c>
      <c r="V1284" s="42" t="s">
        <v>101</v>
      </c>
      <c r="W1284" s="47">
        <v>1</v>
      </c>
    </row>
    <row r="1285" spans="1:23" hidden="1">
      <c r="A1285">
        <v>3678819473</v>
      </c>
      <c r="B1285">
        <v>57240262</v>
      </c>
      <c r="C1285" s="36" t="s">
        <v>2362</v>
      </c>
      <c r="D1285" s="37">
        <v>42011.52747685185</v>
      </c>
      <c r="E1285" s="37">
        <v>42011.53052083333</v>
      </c>
      <c r="W1285" s="47"/>
    </row>
    <row r="1286" spans="1:23" hidden="1">
      <c r="A1286">
        <v>3678824000</v>
      </c>
      <c r="B1286">
        <v>57240262</v>
      </c>
      <c r="C1286" s="36" t="s">
        <v>1612</v>
      </c>
      <c r="D1286" s="37">
        <v>42011.529803240737</v>
      </c>
      <c r="E1286" s="37">
        <v>42011.542025462964</v>
      </c>
      <c r="I1286">
        <v>4</v>
      </c>
      <c r="W1286" s="47"/>
    </row>
    <row r="1287" spans="1:23" hidden="1">
      <c r="A1287">
        <v>3678839436</v>
      </c>
      <c r="B1287">
        <v>57240262</v>
      </c>
      <c r="C1287" s="36" t="s">
        <v>1613</v>
      </c>
      <c r="D1287" s="37">
        <v>42011.538321759261</v>
      </c>
      <c r="E1287" s="37">
        <v>42011.543819444443</v>
      </c>
      <c r="U1287">
        <v>16</v>
      </c>
      <c r="W1287" s="47"/>
    </row>
    <row r="1288" spans="1:23" hidden="1">
      <c r="A1288">
        <v>3678865724</v>
      </c>
      <c r="B1288">
        <v>57240262</v>
      </c>
      <c r="C1288" s="36" t="s">
        <v>1614</v>
      </c>
      <c r="D1288" s="37">
        <v>42011.551087962966</v>
      </c>
      <c r="E1288" s="37">
        <v>42011.553437499999</v>
      </c>
      <c r="G1288">
        <v>2</v>
      </c>
      <c r="I1288">
        <v>4</v>
      </c>
      <c r="O1288">
        <v>10</v>
      </c>
      <c r="W1288" s="47"/>
    </row>
    <row r="1289" spans="1:23">
      <c r="A1289">
        <v>3678861767</v>
      </c>
      <c r="B1289">
        <v>57240262</v>
      </c>
      <c r="C1289" s="36" t="s">
        <v>354</v>
      </c>
      <c r="D1289" s="37">
        <v>42011.549560185187</v>
      </c>
      <c r="E1289" s="37">
        <v>42011.56</v>
      </c>
      <c r="I1289">
        <v>4</v>
      </c>
      <c r="J1289">
        <v>5</v>
      </c>
      <c r="K1289">
        <v>6</v>
      </c>
      <c r="M1289">
        <v>8</v>
      </c>
      <c r="O1289">
        <v>10</v>
      </c>
      <c r="V1289" s="42" t="s">
        <v>99</v>
      </c>
      <c r="W1289" s="47">
        <v>10</v>
      </c>
    </row>
    <row r="1290" spans="1:23" hidden="1">
      <c r="A1290">
        <v>3678878200</v>
      </c>
      <c r="B1290">
        <v>57240262</v>
      </c>
      <c r="C1290" s="36" t="s">
        <v>1615</v>
      </c>
      <c r="D1290" s="37">
        <v>42011.55709490741</v>
      </c>
      <c r="E1290" s="37">
        <v>42011.562164351853</v>
      </c>
      <c r="U1290">
        <v>16</v>
      </c>
      <c r="W1290" s="47"/>
    </row>
    <row r="1291" spans="1:23" hidden="1">
      <c r="A1291">
        <v>3678878155</v>
      </c>
      <c r="B1291">
        <v>57240262</v>
      </c>
      <c r="C1291" s="36" t="s">
        <v>383</v>
      </c>
      <c r="D1291" s="37">
        <v>42011.55704861111</v>
      </c>
      <c r="E1291" s="37">
        <v>42011.563715277778</v>
      </c>
      <c r="U1291">
        <v>16</v>
      </c>
      <c r="W1291" s="47"/>
    </row>
    <row r="1292" spans="1:23" hidden="1">
      <c r="A1292">
        <v>3678881348</v>
      </c>
      <c r="B1292">
        <v>57240262</v>
      </c>
      <c r="C1292" s="36" t="s">
        <v>1616</v>
      </c>
      <c r="D1292" s="37">
        <v>42011.558807870373</v>
      </c>
      <c r="E1292" s="37">
        <v>42011.564351851855</v>
      </c>
      <c r="U1292">
        <v>16</v>
      </c>
      <c r="W1292" s="47"/>
    </row>
    <row r="1293" spans="1:23" hidden="1">
      <c r="A1293">
        <v>3678897211</v>
      </c>
      <c r="B1293">
        <v>57240262</v>
      </c>
      <c r="C1293" s="36" t="s">
        <v>1617</v>
      </c>
      <c r="D1293" s="37">
        <v>42011.565763888888</v>
      </c>
      <c r="E1293" s="37">
        <v>42011.567303240743</v>
      </c>
      <c r="U1293">
        <v>16</v>
      </c>
      <c r="W1293" s="47"/>
    </row>
    <row r="1294" spans="1:23" hidden="1">
      <c r="A1294">
        <v>3678903931</v>
      </c>
      <c r="B1294">
        <v>57240262</v>
      </c>
      <c r="C1294" s="36" t="s">
        <v>1618</v>
      </c>
      <c r="D1294" s="37">
        <v>42011.56863425926</v>
      </c>
      <c r="E1294" s="37">
        <v>42011.572337962964</v>
      </c>
      <c r="U1294">
        <v>16</v>
      </c>
      <c r="W1294" s="47"/>
    </row>
    <row r="1295" spans="1:23" hidden="1">
      <c r="A1295">
        <v>3678909753</v>
      </c>
      <c r="B1295">
        <v>57240262</v>
      </c>
      <c r="C1295" s="36" t="s">
        <v>1619</v>
      </c>
      <c r="D1295" s="37">
        <v>42011.570868055554</v>
      </c>
      <c r="E1295" s="37">
        <v>42011.576064814813</v>
      </c>
      <c r="K1295">
        <v>6</v>
      </c>
      <c r="W1295" s="47"/>
    </row>
    <row r="1296" spans="1:23" hidden="1">
      <c r="A1296">
        <v>3678929717</v>
      </c>
      <c r="B1296">
        <v>57240262</v>
      </c>
      <c r="C1296" s="36" t="s">
        <v>1620</v>
      </c>
      <c r="D1296" s="37">
        <v>42011.578414351854</v>
      </c>
      <c r="E1296" s="37">
        <v>42011.579837962963</v>
      </c>
      <c r="U1296">
        <v>16</v>
      </c>
      <c r="W1296" s="47"/>
    </row>
    <row r="1297" spans="1:23" hidden="1">
      <c r="A1297">
        <v>3678936848</v>
      </c>
      <c r="B1297">
        <v>57240262</v>
      </c>
      <c r="C1297" s="36" t="s">
        <v>1621</v>
      </c>
      <c r="D1297" s="37">
        <v>42011.58116898148</v>
      </c>
      <c r="E1297" s="37">
        <v>42011.584062499998</v>
      </c>
      <c r="U1297">
        <v>16</v>
      </c>
      <c r="W1297" s="47"/>
    </row>
    <row r="1298" spans="1:23" hidden="1">
      <c r="A1298">
        <v>3678940366</v>
      </c>
      <c r="B1298">
        <v>57240262</v>
      </c>
      <c r="C1298" s="36" t="s">
        <v>1622</v>
      </c>
      <c r="D1298" s="37">
        <v>42011.582615740743</v>
      </c>
      <c r="E1298" s="37">
        <v>42011.586689814816</v>
      </c>
      <c r="U1298">
        <v>16</v>
      </c>
      <c r="W1298" s="47"/>
    </row>
    <row r="1299" spans="1:23" hidden="1">
      <c r="A1299">
        <v>3678936909</v>
      </c>
      <c r="B1299">
        <v>57240262</v>
      </c>
      <c r="C1299" s="36" t="s">
        <v>355</v>
      </c>
      <c r="D1299" s="37">
        <v>42011.581076388888</v>
      </c>
      <c r="E1299" s="37">
        <v>42011.589872685188</v>
      </c>
      <c r="H1299">
        <v>3</v>
      </c>
      <c r="W1299" s="47"/>
    </row>
    <row r="1300" spans="1:23" hidden="1">
      <c r="A1300">
        <v>3678962779</v>
      </c>
      <c r="B1300">
        <v>57240262</v>
      </c>
      <c r="C1300" s="36" t="s">
        <v>2363</v>
      </c>
      <c r="D1300" s="37">
        <v>42011.590451388889</v>
      </c>
      <c r="E1300" s="37">
        <v>42011.591608796298</v>
      </c>
      <c r="W1300" s="47"/>
    </row>
    <row r="1301" spans="1:23" hidden="1">
      <c r="A1301">
        <v>3679025376</v>
      </c>
      <c r="B1301">
        <v>57240262</v>
      </c>
      <c r="C1301" s="36" t="s">
        <v>357</v>
      </c>
      <c r="D1301" s="37">
        <v>42011.612349537034</v>
      </c>
      <c r="E1301" s="37">
        <v>42011.616388888891</v>
      </c>
      <c r="U1301">
        <v>16</v>
      </c>
      <c r="W1301" s="47"/>
    </row>
    <row r="1302" spans="1:23" hidden="1">
      <c r="A1302">
        <v>3678944156</v>
      </c>
      <c r="B1302">
        <v>57240262</v>
      </c>
      <c r="C1302" s="36" t="s">
        <v>1623</v>
      </c>
      <c r="D1302" s="37">
        <v>42011.580127314817</v>
      </c>
      <c r="E1302" s="37">
        <v>42011.617743055554</v>
      </c>
      <c r="G1302">
        <v>2</v>
      </c>
      <c r="W1302" s="47"/>
    </row>
    <row r="1303" spans="1:23" hidden="1">
      <c r="A1303">
        <v>3679032645</v>
      </c>
      <c r="B1303">
        <v>57240262</v>
      </c>
      <c r="C1303" s="36" t="s">
        <v>1624</v>
      </c>
      <c r="D1303" s="37">
        <v>42011.614699074074</v>
      </c>
      <c r="E1303" s="37">
        <v>42011.622430555559</v>
      </c>
      <c r="U1303">
        <v>16</v>
      </c>
      <c r="W1303" s="47"/>
    </row>
    <row r="1304" spans="1:23" hidden="1">
      <c r="A1304">
        <v>3679053983</v>
      </c>
      <c r="B1304">
        <v>57240262</v>
      </c>
      <c r="C1304" s="36" t="s">
        <v>1625</v>
      </c>
      <c r="D1304" s="37">
        <v>42011.622233796297</v>
      </c>
      <c r="E1304" s="37">
        <v>42011.628912037035</v>
      </c>
      <c r="K1304">
        <v>6</v>
      </c>
      <c r="W1304" s="47"/>
    </row>
    <row r="1305" spans="1:23" hidden="1">
      <c r="A1305">
        <v>3679072791</v>
      </c>
      <c r="B1305">
        <v>57240262</v>
      </c>
      <c r="C1305" s="36" t="s">
        <v>1626</v>
      </c>
      <c r="D1305" s="37">
        <v>42011.628668981481</v>
      </c>
      <c r="E1305" s="37">
        <v>42011.634687500002</v>
      </c>
      <c r="U1305">
        <v>16</v>
      </c>
      <c r="W1305" s="47"/>
    </row>
    <row r="1306" spans="1:23" hidden="1">
      <c r="A1306">
        <v>3679061256</v>
      </c>
      <c r="B1306">
        <v>57240262</v>
      </c>
      <c r="C1306" s="36" t="s">
        <v>358</v>
      </c>
      <c r="D1306" s="37">
        <v>42011.624918981484</v>
      </c>
      <c r="E1306" s="37">
        <v>42011.638356481482</v>
      </c>
      <c r="M1306">
        <v>8</v>
      </c>
      <c r="W1306" s="47"/>
    </row>
    <row r="1307" spans="1:23" hidden="1">
      <c r="A1307">
        <v>3679101054</v>
      </c>
      <c r="B1307">
        <v>57240262</v>
      </c>
      <c r="C1307" s="36" t="s">
        <v>1627</v>
      </c>
      <c r="D1307" s="37">
        <v>42011.637685185182</v>
      </c>
      <c r="E1307" s="37">
        <v>42011.640960648147</v>
      </c>
      <c r="F1307">
        <v>1</v>
      </c>
      <c r="N1307">
        <v>9</v>
      </c>
      <c r="W1307" s="47"/>
    </row>
    <row r="1308" spans="1:23" hidden="1">
      <c r="A1308">
        <v>3679099859</v>
      </c>
      <c r="B1308">
        <v>57240262</v>
      </c>
      <c r="C1308" s="36" t="s">
        <v>384</v>
      </c>
      <c r="D1308" s="37">
        <v>42011.637245370373</v>
      </c>
      <c r="E1308" s="37">
        <v>42011.642604166664</v>
      </c>
      <c r="U1308">
        <v>16</v>
      </c>
      <c r="W1308" s="47"/>
    </row>
    <row r="1309" spans="1:23" hidden="1">
      <c r="A1309">
        <v>3679200807</v>
      </c>
      <c r="B1309">
        <v>57240262</v>
      </c>
      <c r="C1309" s="36" t="s">
        <v>1628</v>
      </c>
      <c r="D1309" s="37">
        <v>42011.669085648151</v>
      </c>
      <c r="E1309" s="37">
        <v>42011.672939814816</v>
      </c>
      <c r="U1309">
        <v>16</v>
      </c>
      <c r="W1309" s="47"/>
    </row>
    <row r="1310" spans="1:23" hidden="1">
      <c r="A1310">
        <v>3679215457</v>
      </c>
      <c r="B1310">
        <v>57240262</v>
      </c>
      <c r="C1310" s="36" t="s">
        <v>1629</v>
      </c>
      <c r="D1310" s="37">
        <v>42011.673530092594</v>
      </c>
      <c r="E1310" s="37">
        <v>42011.675520833334</v>
      </c>
      <c r="U1310">
        <v>16</v>
      </c>
      <c r="W1310" s="47"/>
    </row>
    <row r="1311" spans="1:23" hidden="1">
      <c r="A1311">
        <v>3679324811</v>
      </c>
      <c r="B1311">
        <v>57240262</v>
      </c>
      <c r="C1311" s="36" t="s">
        <v>1630</v>
      </c>
      <c r="D1311" s="37">
        <v>42011.708599537036</v>
      </c>
      <c r="E1311" s="37">
        <v>42011.713043981479</v>
      </c>
      <c r="U1311">
        <v>16</v>
      </c>
      <c r="W1311" s="47"/>
    </row>
    <row r="1312" spans="1:23" ht="24">
      <c r="A1312">
        <v>3679313197</v>
      </c>
      <c r="B1312">
        <v>57240262</v>
      </c>
      <c r="C1312" s="36" t="s">
        <v>359</v>
      </c>
      <c r="D1312" s="37">
        <v>42011.704884259256</v>
      </c>
      <c r="E1312" s="37">
        <v>42011.714502314811</v>
      </c>
      <c r="F1312">
        <v>1</v>
      </c>
      <c r="K1312">
        <v>6</v>
      </c>
      <c r="L1312">
        <v>7</v>
      </c>
      <c r="M1312">
        <v>8</v>
      </c>
      <c r="N1312">
        <v>9</v>
      </c>
      <c r="O1312">
        <v>10</v>
      </c>
      <c r="Q1312">
        <v>12</v>
      </c>
      <c r="R1312">
        <v>13</v>
      </c>
      <c r="V1312" s="42" t="s">
        <v>116</v>
      </c>
      <c r="W1312" s="47">
        <v>10</v>
      </c>
    </row>
    <row r="1313" spans="1:23" hidden="1">
      <c r="A1313">
        <v>3679346184</v>
      </c>
      <c r="B1313">
        <v>57240262</v>
      </c>
      <c r="C1313" s="36" t="s">
        <v>1631</v>
      </c>
      <c r="D1313" s="37">
        <v>42011.715532407405</v>
      </c>
      <c r="E1313" s="37">
        <v>42011.722615740742</v>
      </c>
      <c r="U1313">
        <v>16</v>
      </c>
      <c r="W1313" s="47"/>
    </row>
    <row r="1314" spans="1:23">
      <c r="A1314">
        <v>3679391519</v>
      </c>
      <c r="B1314">
        <v>57240262</v>
      </c>
      <c r="C1314" s="36" t="s">
        <v>1632</v>
      </c>
      <c r="D1314" s="37">
        <v>42011.731620370374</v>
      </c>
      <c r="E1314" s="37">
        <v>42011.741446759261</v>
      </c>
      <c r="H1314">
        <v>3</v>
      </c>
      <c r="O1314">
        <v>10</v>
      </c>
      <c r="V1314" s="42" t="s">
        <v>109</v>
      </c>
      <c r="W1314" s="47">
        <v>3</v>
      </c>
    </row>
    <row r="1315" spans="1:23" hidden="1">
      <c r="A1315">
        <v>3679447380</v>
      </c>
      <c r="B1315">
        <v>57240262</v>
      </c>
      <c r="C1315" s="36" t="s">
        <v>1633</v>
      </c>
      <c r="D1315" s="37">
        <v>42011.75141203704</v>
      </c>
      <c r="E1315" s="37">
        <v>42011.768935185188</v>
      </c>
      <c r="M1315">
        <v>8</v>
      </c>
      <c r="O1315">
        <v>10</v>
      </c>
      <c r="W1315" s="47"/>
    </row>
    <row r="1316" spans="1:23">
      <c r="A1316">
        <v>3679515912</v>
      </c>
      <c r="B1316">
        <v>57240262</v>
      </c>
      <c r="C1316" s="36" t="s">
        <v>1634</v>
      </c>
      <c r="D1316" s="37">
        <v>42011.776828703703</v>
      </c>
      <c r="E1316" s="37">
        <v>42011.784710648149</v>
      </c>
      <c r="I1316">
        <v>4</v>
      </c>
      <c r="O1316">
        <v>10</v>
      </c>
      <c r="V1316" s="42" t="s">
        <v>38</v>
      </c>
      <c r="W1316" s="47">
        <v>4</v>
      </c>
    </row>
    <row r="1317" spans="1:23" hidden="1">
      <c r="A1317">
        <v>3679530573</v>
      </c>
      <c r="B1317">
        <v>57240262</v>
      </c>
      <c r="C1317" s="36" t="s">
        <v>1635</v>
      </c>
      <c r="D1317" s="37">
        <v>42011.782824074071</v>
      </c>
      <c r="E1317" s="37">
        <v>42011.789641203701</v>
      </c>
      <c r="U1317">
        <v>16</v>
      </c>
      <c r="W1317" s="47"/>
    </row>
    <row r="1318" spans="1:23" hidden="1">
      <c r="A1318">
        <v>3679562112</v>
      </c>
      <c r="B1318">
        <v>57240262</v>
      </c>
      <c r="C1318" s="36" t="s">
        <v>1636</v>
      </c>
      <c r="D1318" s="37">
        <v>42011.793935185182</v>
      </c>
      <c r="E1318" s="37">
        <v>42011.798229166663</v>
      </c>
      <c r="G1318">
        <v>2</v>
      </c>
      <c r="W1318" s="47"/>
    </row>
    <row r="1319" spans="1:23" hidden="1">
      <c r="A1319">
        <v>3679702897</v>
      </c>
      <c r="B1319">
        <v>57240262</v>
      </c>
      <c r="C1319" s="36" t="s">
        <v>1637</v>
      </c>
      <c r="D1319" s="37">
        <v>42011.844282407408</v>
      </c>
      <c r="E1319" s="37">
        <v>42011.850671296299</v>
      </c>
      <c r="U1319">
        <v>16</v>
      </c>
      <c r="W1319" s="47"/>
    </row>
    <row r="1320" spans="1:23" hidden="1">
      <c r="A1320">
        <v>3679778303</v>
      </c>
      <c r="B1320">
        <v>57240262</v>
      </c>
      <c r="C1320" s="36" t="s">
        <v>1638</v>
      </c>
      <c r="D1320" s="37">
        <v>42011.868275462963</v>
      </c>
      <c r="E1320" s="37">
        <v>42011.873495370368</v>
      </c>
      <c r="J1320">
        <v>5</v>
      </c>
      <c r="K1320">
        <v>6</v>
      </c>
      <c r="Q1320">
        <v>12</v>
      </c>
      <c r="W1320" s="47"/>
    </row>
    <row r="1321" spans="1:23" hidden="1">
      <c r="A1321">
        <v>3679795650</v>
      </c>
      <c r="B1321">
        <v>57240262</v>
      </c>
      <c r="C1321" s="36" t="s">
        <v>1639</v>
      </c>
      <c r="D1321" s="37">
        <v>42011.874421296299</v>
      </c>
      <c r="E1321" s="37">
        <v>42011.878275462965</v>
      </c>
      <c r="P1321">
        <v>11</v>
      </c>
      <c r="W1321" s="47"/>
    </row>
    <row r="1322" spans="1:23" hidden="1">
      <c r="A1322">
        <v>3679825607</v>
      </c>
      <c r="B1322">
        <v>57240262</v>
      </c>
      <c r="C1322" s="36" t="s">
        <v>1640</v>
      </c>
      <c r="D1322" s="37">
        <v>42011.885208333333</v>
      </c>
      <c r="E1322" s="37">
        <v>42011.889594907407</v>
      </c>
      <c r="O1322">
        <v>10</v>
      </c>
      <c r="W1322" s="47"/>
    </row>
    <row r="1323" spans="1:23" hidden="1">
      <c r="A1323">
        <v>3679988253</v>
      </c>
      <c r="B1323">
        <v>57240262</v>
      </c>
      <c r="C1323" s="36" t="s">
        <v>1641</v>
      </c>
      <c r="D1323" s="37">
        <v>42011.952847222223</v>
      </c>
      <c r="E1323" s="37">
        <v>42011.960486111115</v>
      </c>
      <c r="M1323">
        <v>8</v>
      </c>
      <c r="W1323" s="47"/>
    </row>
    <row r="1324" spans="1:23" ht="24">
      <c r="A1324">
        <v>3679971958</v>
      </c>
      <c r="B1324">
        <v>57240262</v>
      </c>
      <c r="C1324" s="36" t="s">
        <v>360</v>
      </c>
      <c r="D1324" s="37">
        <v>42011.945902777778</v>
      </c>
      <c r="E1324" s="37">
        <v>42011.969988425924</v>
      </c>
      <c r="H1324">
        <v>3</v>
      </c>
      <c r="I1324">
        <v>4</v>
      </c>
      <c r="O1324">
        <v>10</v>
      </c>
      <c r="V1324" s="42" t="s">
        <v>111</v>
      </c>
      <c r="W1324" s="47">
        <v>10</v>
      </c>
    </row>
    <row r="1325" spans="1:23" hidden="1">
      <c r="A1325">
        <v>3680002717</v>
      </c>
      <c r="B1325">
        <v>57240262</v>
      </c>
      <c r="C1325" s="36" t="s">
        <v>1642</v>
      </c>
      <c r="D1325" s="37">
        <v>42011.960428240738</v>
      </c>
      <c r="E1325" s="37">
        <v>42011.970416666663</v>
      </c>
      <c r="F1325">
        <v>1</v>
      </c>
      <c r="G1325">
        <v>2</v>
      </c>
      <c r="W1325" s="47"/>
    </row>
    <row r="1326" spans="1:23">
      <c r="A1326">
        <v>3680520579</v>
      </c>
      <c r="B1326">
        <v>57240262</v>
      </c>
      <c r="C1326" s="36" t="s">
        <v>1643</v>
      </c>
      <c r="D1326" s="37">
        <v>42012.339814814812</v>
      </c>
      <c r="E1326" s="37">
        <v>42012.343182870369</v>
      </c>
      <c r="F1326">
        <v>1</v>
      </c>
      <c r="K1326">
        <v>6</v>
      </c>
      <c r="N1326">
        <v>9</v>
      </c>
      <c r="V1326" s="42" t="s">
        <v>34</v>
      </c>
      <c r="W1326" s="47">
        <v>6</v>
      </c>
    </row>
    <row r="1327" spans="1:23" hidden="1">
      <c r="A1327">
        <v>3680523792</v>
      </c>
      <c r="B1327">
        <v>57240262</v>
      </c>
      <c r="C1327" s="36" t="s">
        <v>1644</v>
      </c>
      <c r="D1327" s="37">
        <v>42012.341423611113</v>
      </c>
      <c r="E1327" s="37">
        <v>42012.34884259259</v>
      </c>
      <c r="F1327">
        <v>1</v>
      </c>
      <c r="W1327" s="47"/>
    </row>
    <row r="1328" spans="1:23" hidden="1">
      <c r="A1328">
        <v>3680530986</v>
      </c>
      <c r="B1328">
        <v>57240262</v>
      </c>
      <c r="C1328" s="36" t="s">
        <v>1645</v>
      </c>
      <c r="D1328" s="37">
        <v>42012.346666666665</v>
      </c>
      <c r="E1328" s="37">
        <v>42012.35224537037</v>
      </c>
      <c r="U1328">
        <v>16</v>
      </c>
      <c r="W1328" s="47"/>
    </row>
    <row r="1329" spans="1:23" hidden="1">
      <c r="A1329">
        <v>3680558531</v>
      </c>
      <c r="B1329">
        <v>57240262</v>
      </c>
      <c r="C1329" s="36" t="s">
        <v>1646</v>
      </c>
      <c r="D1329" s="37">
        <v>42012.36928240741</v>
      </c>
      <c r="E1329" s="37">
        <v>42012.370162037034</v>
      </c>
      <c r="U1329">
        <v>16</v>
      </c>
      <c r="W1329" s="47"/>
    </row>
    <row r="1330" spans="1:23" hidden="1">
      <c r="A1330">
        <v>3680610638</v>
      </c>
      <c r="B1330">
        <v>57240262</v>
      </c>
      <c r="C1330" s="36" t="s">
        <v>1647</v>
      </c>
      <c r="D1330" s="37">
        <v>42012.408541666664</v>
      </c>
      <c r="E1330" s="37">
        <v>42012.417696759258</v>
      </c>
      <c r="M1330">
        <v>8</v>
      </c>
      <c r="W1330" s="47"/>
    </row>
    <row r="1331" spans="1:23" hidden="1">
      <c r="A1331">
        <v>3680616709</v>
      </c>
      <c r="B1331">
        <v>57240262</v>
      </c>
      <c r="C1331" s="36" t="s">
        <v>1648</v>
      </c>
      <c r="D1331" s="37">
        <v>42012.413541666669</v>
      </c>
      <c r="E1331" s="37">
        <v>42012.419328703705</v>
      </c>
      <c r="R1331">
        <v>13</v>
      </c>
      <c r="W1331" s="47"/>
    </row>
    <row r="1332" spans="1:23" hidden="1">
      <c r="A1332">
        <v>3680658857</v>
      </c>
      <c r="B1332">
        <v>57240262</v>
      </c>
      <c r="C1332" s="36" t="s">
        <v>1649</v>
      </c>
      <c r="D1332" s="37">
        <v>42012.442824074074</v>
      </c>
      <c r="E1332" s="37">
        <v>42012.444293981483</v>
      </c>
      <c r="K1332">
        <v>6</v>
      </c>
      <c r="W1332" s="47"/>
    </row>
    <row r="1333" spans="1:23" hidden="1">
      <c r="A1333">
        <v>3680680288</v>
      </c>
      <c r="B1333">
        <v>57240262</v>
      </c>
      <c r="C1333" s="36" t="s">
        <v>1650</v>
      </c>
      <c r="D1333" s="37">
        <v>42012.457094907404</v>
      </c>
      <c r="E1333" s="37">
        <v>42012.462569444448</v>
      </c>
      <c r="U1333">
        <v>16</v>
      </c>
      <c r="W1333" s="47"/>
    </row>
    <row r="1334" spans="1:23" hidden="1">
      <c r="A1334">
        <v>3680736053</v>
      </c>
      <c r="B1334">
        <v>57240262</v>
      </c>
      <c r="C1334" s="36" t="s">
        <v>1651</v>
      </c>
      <c r="D1334" s="37">
        <v>42012.493356481478</v>
      </c>
      <c r="E1334" s="37">
        <v>42012.497881944444</v>
      </c>
      <c r="U1334">
        <v>16</v>
      </c>
      <c r="W1334" s="47"/>
    </row>
    <row r="1335" spans="1:23" hidden="1">
      <c r="A1335">
        <v>3680755211</v>
      </c>
      <c r="B1335">
        <v>57240262</v>
      </c>
      <c r="C1335" s="36" t="s">
        <v>1652</v>
      </c>
      <c r="D1335" s="37">
        <v>42012.505196759259</v>
      </c>
      <c r="E1335" s="37">
        <v>42012.507094907407</v>
      </c>
      <c r="U1335">
        <v>16</v>
      </c>
      <c r="W1335" s="47"/>
    </row>
    <row r="1336" spans="1:23" hidden="1">
      <c r="A1336">
        <v>3680763115</v>
      </c>
      <c r="B1336">
        <v>57240262</v>
      </c>
      <c r="C1336" s="36" t="s">
        <v>1653</v>
      </c>
      <c r="D1336" s="37">
        <v>42012.509814814817</v>
      </c>
      <c r="E1336" s="37">
        <v>42012.518935185188</v>
      </c>
      <c r="U1336">
        <v>16</v>
      </c>
      <c r="W1336" s="47"/>
    </row>
    <row r="1337" spans="1:23" hidden="1">
      <c r="A1337">
        <v>3680799296</v>
      </c>
      <c r="B1337">
        <v>57240262</v>
      </c>
      <c r="C1337" s="36" t="s">
        <v>1654</v>
      </c>
      <c r="D1337" s="37">
        <v>42012.530300925922</v>
      </c>
      <c r="E1337" s="37">
        <v>42012.535277777781</v>
      </c>
      <c r="U1337">
        <v>16</v>
      </c>
      <c r="W1337" s="47"/>
    </row>
    <row r="1338" spans="1:23" hidden="1">
      <c r="A1338">
        <v>3680813372</v>
      </c>
      <c r="B1338">
        <v>57240262</v>
      </c>
      <c r="C1338" s="36" t="s">
        <v>1655</v>
      </c>
      <c r="D1338" s="37">
        <v>42012.537974537037</v>
      </c>
      <c r="E1338" s="37">
        <v>42012.544918981483</v>
      </c>
      <c r="G1338">
        <v>2</v>
      </c>
      <c r="H1338">
        <v>3</v>
      </c>
      <c r="W1338" s="47"/>
    </row>
    <row r="1339" spans="1:23" hidden="1">
      <c r="A1339">
        <v>3680844772</v>
      </c>
      <c r="B1339">
        <v>57240262</v>
      </c>
      <c r="C1339" s="36" t="s">
        <v>1656</v>
      </c>
      <c r="D1339" s="37">
        <v>42012.553171296298</v>
      </c>
      <c r="E1339" s="37">
        <v>42012.55804398148</v>
      </c>
      <c r="U1339">
        <v>16</v>
      </c>
      <c r="W1339" s="47"/>
    </row>
    <row r="1340" spans="1:23" hidden="1">
      <c r="A1340">
        <v>3680866782</v>
      </c>
      <c r="B1340">
        <v>57240262</v>
      </c>
      <c r="C1340" s="36" t="s">
        <v>1657</v>
      </c>
      <c r="D1340" s="37">
        <v>42012.563518518517</v>
      </c>
      <c r="E1340" s="37">
        <v>42012.567824074074</v>
      </c>
      <c r="G1340">
        <v>2</v>
      </c>
      <c r="W1340" s="47"/>
    </row>
    <row r="1341" spans="1:23" hidden="1">
      <c r="A1341">
        <v>3680883489</v>
      </c>
      <c r="B1341">
        <v>57240262</v>
      </c>
      <c r="C1341" s="36" t="s">
        <v>1658</v>
      </c>
      <c r="D1341" s="37">
        <v>42012.570671296293</v>
      </c>
      <c r="E1341" s="37">
        <v>42012.574004629627</v>
      </c>
      <c r="U1341">
        <v>16</v>
      </c>
      <c r="W1341" s="47"/>
    </row>
    <row r="1342" spans="1:23" hidden="1">
      <c r="A1342">
        <v>3680899403</v>
      </c>
      <c r="B1342">
        <v>57240262</v>
      </c>
      <c r="C1342" s="36" t="s">
        <v>1659</v>
      </c>
      <c r="D1342" s="37">
        <v>42012.577268518522</v>
      </c>
      <c r="E1342" s="37">
        <v>42012.578483796293</v>
      </c>
      <c r="J1342">
        <v>5</v>
      </c>
      <c r="Q1342">
        <v>12</v>
      </c>
      <c r="W1342" s="47"/>
    </row>
    <row r="1343" spans="1:23" hidden="1">
      <c r="A1343">
        <v>3680887712</v>
      </c>
      <c r="B1343">
        <v>57240262</v>
      </c>
      <c r="C1343" s="36" t="s">
        <v>362</v>
      </c>
      <c r="D1343" s="37">
        <v>42012.572442129633</v>
      </c>
      <c r="E1343" s="37">
        <v>42012.578483796293</v>
      </c>
      <c r="G1343">
        <v>2</v>
      </c>
      <c r="N1343">
        <v>9</v>
      </c>
      <c r="W1343" s="47"/>
    </row>
    <row r="1344" spans="1:23" hidden="1">
      <c r="A1344">
        <v>3680901538</v>
      </c>
      <c r="B1344">
        <v>57240262</v>
      </c>
      <c r="C1344" s="36" t="s">
        <v>1660</v>
      </c>
      <c r="D1344" s="37">
        <v>42012.5781712963</v>
      </c>
      <c r="E1344" s="37">
        <v>42012.581770833334</v>
      </c>
      <c r="O1344">
        <v>10</v>
      </c>
      <c r="W1344" s="47"/>
    </row>
    <row r="1345" spans="1:23" hidden="1">
      <c r="A1345">
        <v>3680894852</v>
      </c>
      <c r="B1345">
        <v>57240262</v>
      </c>
      <c r="C1345" s="36" t="s">
        <v>361</v>
      </c>
      <c r="D1345" s="37">
        <v>42012.574120370373</v>
      </c>
      <c r="E1345" s="37">
        <v>42012.58488425926</v>
      </c>
      <c r="G1345">
        <v>2</v>
      </c>
      <c r="I1345">
        <v>4</v>
      </c>
      <c r="J1345">
        <v>5</v>
      </c>
      <c r="W1345" s="47"/>
    </row>
    <row r="1346" spans="1:23" hidden="1">
      <c r="A1346">
        <v>3680911106</v>
      </c>
      <c r="B1346">
        <v>57240262</v>
      </c>
      <c r="C1346" s="36" t="s">
        <v>1661</v>
      </c>
      <c r="D1346" s="37">
        <v>42012.581712962965</v>
      </c>
      <c r="E1346" s="37">
        <v>42012.587187500001</v>
      </c>
      <c r="P1346">
        <v>11</v>
      </c>
      <c r="W1346" s="47"/>
    </row>
    <row r="1347" spans="1:23" hidden="1">
      <c r="A1347">
        <v>3680940149</v>
      </c>
      <c r="B1347">
        <v>57240262</v>
      </c>
      <c r="C1347" s="36" t="s">
        <v>1662</v>
      </c>
      <c r="D1347" s="37">
        <v>42012.590763888889</v>
      </c>
      <c r="E1347" s="37">
        <v>42012.593344907407</v>
      </c>
      <c r="U1347">
        <v>16</v>
      </c>
      <c r="W1347" s="47"/>
    </row>
    <row r="1348" spans="1:23" hidden="1">
      <c r="A1348">
        <v>3680946015</v>
      </c>
      <c r="B1348">
        <v>57240262</v>
      </c>
      <c r="C1348" s="36" t="s">
        <v>1663</v>
      </c>
      <c r="D1348" s="37">
        <v>42012.592499999999</v>
      </c>
      <c r="E1348" s="37">
        <v>42012.59611111111</v>
      </c>
      <c r="U1348">
        <v>16</v>
      </c>
      <c r="W1348" s="47"/>
    </row>
    <row r="1349" spans="1:23" hidden="1">
      <c r="A1349">
        <v>3680972671</v>
      </c>
      <c r="B1349">
        <v>57240262</v>
      </c>
      <c r="C1349" s="36" t="s">
        <v>1664</v>
      </c>
      <c r="D1349" s="37">
        <v>42012.600046296298</v>
      </c>
      <c r="E1349" s="37">
        <v>42012.613819444443</v>
      </c>
      <c r="F1349">
        <v>1</v>
      </c>
      <c r="I1349">
        <v>4</v>
      </c>
      <c r="W1349" s="47"/>
    </row>
    <row r="1350" spans="1:23" hidden="1">
      <c r="A1350">
        <v>3681053483</v>
      </c>
      <c r="B1350">
        <v>57240262</v>
      </c>
      <c r="C1350" s="36" t="s">
        <v>1665</v>
      </c>
      <c r="D1350" s="37">
        <v>42012.623865740738</v>
      </c>
      <c r="E1350" s="37">
        <v>42012.628912037035</v>
      </c>
      <c r="N1350">
        <v>9</v>
      </c>
      <c r="W1350" s="47"/>
    </row>
    <row r="1351" spans="1:23" hidden="1">
      <c r="A1351">
        <v>3681156348</v>
      </c>
      <c r="B1351">
        <v>57240262</v>
      </c>
      <c r="C1351" s="36" t="s">
        <v>1666</v>
      </c>
      <c r="D1351" s="37">
        <v>42012.653668981482</v>
      </c>
      <c r="E1351" s="37">
        <v>42012.6559375</v>
      </c>
      <c r="U1351">
        <v>16</v>
      </c>
      <c r="W1351" s="47"/>
    </row>
    <row r="1352" spans="1:23" hidden="1">
      <c r="A1352">
        <v>3681157263</v>
      </c>
      <c r="B1352">
        <v>57240262</v>
      </c>
      <c r="C1352" s="36" t="s">
        <v>364</v>
      </c>
      <c r="D1352" s="37">
        <v>42012.653101851851</v>
      </c>
      <c r="E1352" s="37">
        <v>42012.661493055559</v>
      </c>
      <c r="U1352">
        <v>16</v>
      </c>
      <c r="W1352" s="47"/>
    </row>
    <row r="1353" spans="1:23" hidden="1">
      <c r="A1353">
        <v>3681259950</v>
      </c>
      <c r="B1353">
        <v>57240262</v>
      </c>
      <c r="C1353" s="36" t="s">
        <v>1667</v>
      </c>
      <c r="D1353" s="37">
        <v>42012.688148148147</v>
      </c>
      <c r="E1353" s="37">
        <v>42012.691122685188</v>
      </c>
      <c r="G1353">
        <v>2</v>
      </c>
      <c r="K1353">
        <v>6</v>
      </c>
      <c r="W1353" s="47"/>
    </row>
    <row r="1354" spans="1:23" hidden="1">
      <c r="A1354">
        <v>3681259689</v>
      </c>
      <c r="B1354">
        <v>57240262</v>
      </c>
      <c r="C1354" s="36" t="s">
        <v>363</v>
      </c>
      <c r="D1354" s="37">
        <v>42012.687986111108</v>
      </c>
      <c r="E1354" s="37">
        <v>42012.6953125</v>
      </c>
      <c r="Q1354">
        <v>12</v>
      </c>
      <c r="W1354" s="47"/>
    </row>
    <row r="1355" spans="1:23" hidden="1">
      <c r="A1355">
        <v>3681472147</v>
      </c>
      <c r="B1355">
        <v>57240262</v>
      </c>
      <c r="C1355" s="36" t="s">
        <v>1668</v>
      </c>
      <c r="D1355" s="37">
        <v>42012.746504629627</v>
      </c>
      <c r="E1355" s="37">
        <v>42012.7503125</v>
      </c>
      <c r="U1355">
        <v>16</v>
      </c>
      <c r="W1355" s="47"/>
    </row>
    <row r="1356" spans="1:23" hidden="1">
      <c r="A1356">
        <v>3681739213</v>
      </c>
      <c r="B1356">
        <v>57240262</v>
      </c>
      <c r="C1356" s="36" t="s">
        <v>1669</v>
      </c>
      <c r="D1356" s="37">
        <v>42012.830717592595</v>
      </c>
      <c r="E1356" s="37">
        <v>42012.839224537034</v>
      </c>
      <c r="F1356">
        <v>1</v>
      </c>
      <c r="G1356">
        <v>2</v>
      </c>
      <c r="H1356">
        <v>3</v>
      </c>
      <c r="M1356">
        <v>8</v>
      </c>
      <c r="N1356">
        <v>9</v>
      </c>
      <c r="O1356">
        <v>10</v>
      </c>
      <c r="Q1356">
        <v>12</v>
      </c>
      <c r="R1356">
        <v>13</v>
      </c>
      <c r="W1356" s="47"/>
    </row>
    <row r="1357" spans="1:23" hidden="1">
      <c r="A1357">
        <v>3681878707</v>
      </c>
      <c r="B1357">
        <v>57240262</v>
      </c>
      <c r="C1357" s="36" t="s">
        <v>1670</v>
      </c>
      <c r="D1357" s="37">
        <v>42012.876006944447</v>
      </c>
      <c r="E1357" s="37">
        <v>42012.880324074074</v>
      </c>
      <c r="F1357">
        <v>1</v>
      </c>
      <c r="W1357" s="47"/>
    </row>
    <row r="1358" spans="1:23">
      <c r="A1358">
        <v>3681879216</v>
      </c>
      <c r="B1358">
        <v>57240262</v>
      </c>
      <c r="C1358" s="36" t="s">
        <v>1671</v>
      </c>
      <c r="D1358" s="37">
        <v>42012.876180555555</v>
      </c>
      <c r="E1358" s="37">
        <v>42012.887928240743</v>
      </c>
      <c r="J1358">
        <v>5</v>
      </c>
      <c r="M1358">
        <v>8</v>
      </c>
      <c r="N1358">
        <v>9</v>
      </c>
      <c r="Q1358">
        <v>12</v>
      </c>
      <c r="V1358" s="42" t="s">
        <v>115</v>
      </c>
      <c r="W1358" s="47">
        <v>5</v>
      </c>
    </row>
    <row r="1359" spans="1:23" hidden="1">
      <c r="A1359">
        <v>3682050515</v>
      </c>
      <c r="B1359">
        <v>57240262</v>
      </c>
      <c r="C1359" s="36" t="s">
        <v>1673</v>
      </c>
      <c r="D1359" s="37">
        <v>42012.935659722221</v>
      </c>
      <c r="E1359" s="37">
        <v>42012.936365740738</v>
      </c>
      <c r="W1359" s="47"/>
    </row>
    <row r="1360" spans="1:23" hidden="1">
      <c r="A1360">
        <v>3682084871</v>
      </c>
      <c r="B1360">
        <v>57240262</v>
      </c>
      <c r="C1360" s="36" t="s">
        <v>1672</v>
      </c>
      <c r="D1360" s="37">
        <v>42012.949305555558</v>
      </c>
      <c r="E1360" s="37">
        <v>42012.950300925928</v>
      </c>
      <c r="H1360">
        <v>3</v>
      </c>
      <c r="P1360">
        <v>11</v>
      </c>
      <c r="W1360" s="47"/>
    </row>
    <row r="1361" spans="1:23">
      <c r="A1361">
        <v>3682055035</v>
      </c>
      <c r="B1361">
        <v>57240262</v>
      </c>
      <c r="C1361" s="36" t="s">
        <v>2364</v>
      </c>
      <c r="D1361" s="37">
        <v>42012.937349537038</v>
      </c>
      <c r="E1361" s="37">
        <v>42012.95516203704</v>
      </c>
      <c r="I1361">
        <v>4</v>
      </c>
      <c r="J1361">
        <v>5</v>
      </c>
      <c r="K1361">
        <v>6</v>
      </c>
      <c r="V1361" s="42" t="s">
        <v>114</v>
      </c>
      <c r="W1361" s="47">
        <v>5</v>
      </c>
    </row>
    <row r="1362" spans="1:23" hidden="1">
      <c r="A1362">
        <v>3682129568</v>
      </c>
      <c r="B1362">
        <v>57240262</v>
      </c>
      <c r="C1362" s="36" t="s">
        <v>1674</v>
      </c>
      <c r="D1362" s="37">
        <v>42012.968611111108</v>
      </c>
      <c r="E1362" s="37">
        <v>42012.973749999997</v>
      </c>
      <c r="F1362">
        <v>1</v>
      </c>
      <c r="I1362">
        <v>4</v>
      </c>
      <c r="K1362">
        <v>6</v>
      </c>
      <c r="N1362">
        <v>9</v>
      </c>
      <c r="P1362">
        <v>11</v>
      </c>
      <c r="W1362" s="47"/>
    </row>
    <row r="1363" spans="1:23" hidden="1">
      <c r="A1363">
        <v>3682661193</v>
      </c>
      <c r="B1363">
        <v>57240262</v>
      </c>
      <c r="C1363" s="36" t="s">
        <v>1675</v>
      </c>
      <c r="D1363" s="37">
        <v>42013.365578703706</v>
      </c>
      <c r="E1363" s="37">
        <v>42013.370011574072</v>
      </c>
      <c r="U1363">
        <v>16</v>
      </c>
      <c r="W1363" s="47"/>
    </row>
    <row r="1364" spans="1:23" hidden="1">
      <c r="A1364">
        <v>3682697578</v>
      </c>
      <c r="B1364">
        <v>57240262</v>
      </c>
      <c r="C1364" s="36" t="s">
        <v>1676</v>
      </c>
      <c r="D1364" s="37">
        <v>42013.394293981481</v>
      </c>
      <c r="E1364" s="37">
        <v>42013.399606481478</v>
      </c>
      <c r="U1364">
        <v>16</v>
      </c>
      <c r="W1364" s="47"/>
    </row>
    <row r="1365" spans="1:23" hidden="1">
      <c r="A1365">
        <v>3682705675</v>
      </c>
      <c r="B1365">
        <v>57240262</v>
      </c>
      <c r="C1365" s="36" t="s">
        <v>2365</v>
      </c>
      <c r="D1365" s="37">
        <v>42013.401550925926</v>
      </c>
      <c r="E1365" s="37">
        <v>42013.402187500003</v>
      </c>
      <c r="W1365" s="47"/>
    </row>
    <row r="1366" spans="1:23" hidden="1">
      <c r="A1366">
        <v>3682702368</v>
      </c>
      <c r="B1366">
        <v>57240262</v>
      </c>
      <c r="C1366" s="36" t="s">
        <v>365</v>
      </c>
      <c r="D1366" s="37">
        <v>42013.398784722223</v>
      </c>
      <c r="E1366" s="37">
        <v>42013.408773148149</v>
      </c>
      <c r="U1366">
        <v>16</v>
      </c>
      <c r="W1366" s="47"/>
    </row>
    <row r="1367" spans="1:23" hidden="1">
      <c r="A1367">
        <v>3682710215</v>
      </c>
      <c r="B1367">
        <v>57240262</v>
      </c>
      <c r="C1367" s="36" t="s">
        <v>1677</v>
      </c>
      <c r="D1367" s="37">
        <v>42013.405277777776</v>
      </c>
      <c r="E1367" s="37">
        <v>42013.411712962959</v>
      </c>
      <c r="U1367">
        <v>16</v>
      </c>
      <c r="W1367" s="47"/>
    </row>
    <row r="1368" spans="1:23" hidden="1">
      <c r="A1368">
        <v>3682721181</v>
      </c>
      <c r="B1368">
        <v>57240262</v>
      </c>
      <c r="C1368" s="36" t="s">
        <v>366</v>
      </c>
      <c r="D1368" s="37">
        <v>42013.413773148146</v>
      </c>
      <c r="E1368" s="37">
        <v>42013.418645833335</v>
      </c>
      <c r="R1368">
        <v>13</v>
      </c>
      <c r="W1368" s="47"/>
    </row>
    <row r="1369" spans="1:23" hidden="1">
      <c r="A1369">
        <v>3682717060</v>
      </c>
      <c r="B1369">
        <v>57240262</v>
      </c>
      <c r="C1369" s="36" t="s">
        <v>1678</v>
      </c>
      <c r="D1369" s="37">
        <v>42013.41064814815</v>
      </c>
      <c r="E1369" s="37">
        <v>42013.424849537034</v>
      </c>
      <c r="F1369">
        <v>1</v>
      </c>
      <c r="W1369" s="47"/>
    </row>
    <row r="1370" spans="1:23" hidden="1">
      <c r="A1370">
        <v>3682759088</v>
      </c>
      <c r="B1370">
        <v>57240262</v>
      </c>
      <c r="C1370" s="36" t="s">
        <v>1679</v>
      </c>
      <c r="D1370" s="37">
        <v>42013.442071759258</v>
      </c>
      <c r="E1370" s="37">
        <v>42013.450879629629</v>
      </c>
      <c r="F1370">
        <v>1</v>
      </c>
      <c r="W1370" s="47"/>
    </row>
    <row r="1371" spans="1:23" hidden="1">
      <c r="A1371">
        <v>3682838899</v>
      </c>
      <c r="B1371">
        <v>57240262</v>
      </c>
      <c r="C1371" s="36" t="s">
        <v>1680</v>
      </c>
      <c r="D1371" s="37">
        <v>42013.495752314811</v>
      </c>
      <c r="E1371" s="37">
        <v>42013.500625000001</v>
      </c>
      <c r="Q1371">
        <v>12</v>
      </c>
      <c r="W1371" s="47"/>
    </row>
    <row r="1372" spans="1:23" ht="24">
      <c r="A1372">
        <v>3683000158</v>
      </c>
      <c r="B1372">
        <v>57240262</v>
      </c>
      <c r="C1372" s="36" t="s">
        <v>1681</v>
      </c>
      <c r="D1372" s="37">
        <v>42013.578032407408</v>
      </c>
      <c r="E1372" s="37">
        <v>42013.585752314815</v>
      </c>
      <c r="F1372">
        <v>1</v>
      </c>
      <c r="G1372">
        <v>2</v>
      </c>
      <c r="H1372">
        <v>3</v>
      </c>
      <c r="M1372">
        <v>8</v>
      </c>
      <c r="O1372">
        <v>10</v>
      </c>
      <c r="R1372">
        <v>13</v>
      </c>
      <c r="V1372" s="42" t="s">
        <v>113</v>
      </c>
      <c r="W1372" s="47">
        <v>3</v>
      </c>
    </row>
    <row r="1373" spans="1:23" hidden="1">
      <c r="A1373">
        <v>3683017946</v>
      </c>
      <c r="B1373">
        <v>57240262</v>
      </c>
      <c r="C1373" s="36" t="s">
        <v>1682</v>
      </c>
      <c r="D1373" s="37">
        <v>42013.584861111114</v>
      </c>
      <c r="E1373" s="37">
        <v>42013.592731481483</v>
      </c>
      <c r="U1373">
        <v>16</v>
      </c>
      <c r="W1373" s="47"/>
    </row>
    <row r="1374" spans="1:23" hidden="1">
      <c r="A1374">
        <v>3683066925</v>
      </c>
      <c r="B1374">
        <v>57240262</v>
      </c>
      <c r="C1374" s="36" t="s">
        <v>1683</v>
      </c>
      <c r="D1374" s="37">
        <v>42013.602638888886</v>
      </c>
      <c r="E1374" s="37">
        <v>42013.609282407408</v>
      </c>
      <c r="G1374">
        <v>2</v>
      </c>
      <c r="W1374" s="47"/>
    </row>
    <row r="1375" spans="1:23" hidden="1">
      <c r="A1375">
        <v>3683086395</v>
      </c>
      <c r="B1375">
        <v>57240262</v>
      </c>
      <c r="C1375" s="36" t="s">
        <v>1684</v>
      </c>
      <c r="D1375" s="37">
        <v>42013.609513888892</v>
      </c>
      <c r="E1375" s="37">
        <v>42013.615925925929</v>
      </c>
      <c r="F1375">
        <v>1</v>
      </c>
      <c r="G1375">
        <v>2</v>
      </c>
      <c r="H1375">
        <v>3</v>
      </c>
      <c r="I1375">
        <v>4</v>
      </c>
      <c r="K1375">
        <v>6</v>
      </c>
      <c r="R1375">
        <v>13</v>
      </c>
      <c r="W1375" s="47"/>
    </row>
    <row r="1376" spans="1:23" hidden="1">
      <c r="A1376">
        <v>3683108141</v>
      </c>
      <c r="B1376">
        <v>57240262</v>
      </c>
      <c r="C1376" s="36" t="s">
        <v>2366</v>
      </c>
      <c r="D1376" s="37">
        <v>42013.616782407407</v>
      </c>
      <c r="E1376" s="37">
        <v>42013.6172337963</v>
      </c>
      <c r="W1376" s="47"/>
    </row>
    <row r="1377" spans="1:23" hidden="1">
      <c r="A1377">
        <v>3683147976</v>
      </c>
      <c r="B1377">
        <v>57240262</v>
      </c>
      <c r="C1377" s="36" t="s">
        <v>2367</v>
      </c>
      <c r="D1377" s="37">
        <v>42013.629606481481</v>
      </c>
      <c r="E1377" s="37">
        <v>42013.630972222221</v>
      </c>
      <c r="W1377" s="47"/>
    </row>
    <row r="1378" spans="1:23" hidden="1">
      <c r="A1378">
        <v>3683439918</v>
      </c>
      <c r="B1378">
        <v>57240262</v>
      </c>
      <c r="C1378" s="36" t="s">
        <v>1685</v>
      </c>
      <c r="D1378" s="37">
        <v>42013.721446759257</v>
      </c>
      <c r="E1378" s="37">
        <v>42013.725868055553</v>
      </c>
      <c r="O1378">
        <v>10</v>
      </c>
      <c r="W1378" s="47"/>
    </row>
    <row r="1379" spans="1:23" hidden="1">
      <c r="A1379">
        <v>3683508688</v>
      </c>
      <c r="B1379">
        <v>57240262</v>
      </c>
      <c r="C1379" s="36" t="s">
        <v>1686</v>
      </c>
      <c r="D1379" s="37">
        <v>42013.744270833333</v>
      </c>
      <c r="E1379" s="37">
        <v>42013.748865740738</v>
      </c>
      <c r="H1379">
        <v>3</v>
      </c>
      <c r="W1379" s="47"/>
    </row>
    <row r="1380" spans="1:23" hidden="1">
      <c r="A1380">
        <v>3684553000</v>
      </c>
      <c r="B1380">
        <v>57240262</v>
      </c>
      <c r="C1380" s="36" t="s">
        <v>1687</v>
      </c>
      <c r="D1380" s="37">
        <v>42014.385162037041</v>
      </c>
      <c r="E1380" s="37">
        <v>42014.39875</v>
      </c>
      <c r="G1380">
        <v>2</v>
      </c>
      <c r="H1380">
        <v>3</v>
      </c>
      <c r="K1380">
        <v>6</v>
      </c>
      <c r="L1380">
        <v>7</v>
      </c>
      <c r="R1380">
        <v>13</v>
      </c>
      <c r="W1380" s="47"/>
    </row>
    <row r="1381" spans="1:23" hidden="1">
      <c r="A1381">
        <v>3684569486</v>
      </c>
      <c r="B1381">
        <v>57240262</v>
      </c>
      <c r="C1381" s="36" t="s">
        <v>1688</v>
      </c>
      <c r="D1381" s="37">
        <v>42014.40662037037</v>
      </c>
      <c r="E1381" s="37">
        <v>42014.411354166667</v>
      </c>
      <c r="K1381">
        <v>6</v>
      </c>
      <c r="W1381" s="47"/>
    </row>
    <row r="1382" spans="1:23" hidden="1">
      <c r="A1382">
        <v>3684575149</v>
      </c>
      <c r="B1382">
        <v>57240262</v>
      </c>
      <c r="C1382" s="36" t="s">
        <v>1689</v>
      </c>
      <c r="D1382" s="37">
        <v>42014.414189814815</v>
      </c>
      <c r="E1382" s="37">
        <v>42014.415208333332</v>
      </c>
      <c r="I1382">
        <v>4</v>
      </c>
      <c r="W1382" s="47"/>
    </row>
    <row r="1383" spans="1:23">
      <c r="A1383">
        <v>3684636115</v>
      </c>
      <c r="B1383">
        <v>57240262</v>
      </c>
      <c r="C1383" s="36" t="s">
        <v>1690</v>
      </c>
      <c r="D1383" s="37">
        <v>42014.488877314812</v>
      </c>
      <c r="E1383" s="37">
        <v>42014.500092592592</v>
      </c>
      <c r="F1383">
        <v>1</v>
      </c>
      <c r="G1383">
        <v>2</v>
      </c>
      <c r="K1383">
        <v>6</v>
      </c>
      <c r="M1383">
        <v>8</v>
      </c>
      <c r="P1383">
        <v>11</v>
      </c>
      <c r="V1383" s="42" t="s">
        <v>95</v>
      </c>
      <c r="W1383" s="47">
        <v>2</v>
      </c>
    </row>
    <row r="1384" spans="1:23" hidden="1">
      <c r="A1384">
        <v>3684771778</v>
      </c>
      <c r="B1384">
        <v>57240262</v>
      </c>
      <c r="C1384" s="36" t="s">
        <v>1691</v>
      </c>
      <c r="D1384" s="37">
        <v>42014.617094907408</v>
      </c>
      <c r="E1384" s="37">
        <v>42014.623263888891</v>
      </c>
      <c r="J1384">
        <v>5</v>
      </c>
      <c r="O1384">
        <v>10</v>
      </c>
      <c r="S1384">
        <v>14</v>
      </c>
      <c r="W1384" s="47"/>
    </row>
    <row r="1385" spans="1:23" hidden="1">
      <c r="A1385">
        <v>3684797280</v>
      </c>
      <c r="B1385">
        <v>57240262</v>
      </c>
      <c r="C1385" s="36" t="s">
        <v>1692</v>
      </c>
      <c r="D1385" s="37">
        <v>42014.63652777778</v>
      </c>
      <c r="E1385" s="37">
        <v>42014.641956018517</v>
      </c>
      <c r="Q1385">
        <v>12</v>
      </c>
      <c r="W1385" s="47"/>
    </row>
    <row r="1386" spans="1:23" hidden="1">
      <c r="A1386">
        <v>3684859866</v>
      </c>
      <c r="B1386">
        <v>57240262</v>
      </c>
      <c r="C1386" s="36" t="s">
        <v>1693</v>
      </c>
      <c r="D1386" s="37">
        <v>42014.67931712963</v>
      </c>
      <c r="E1386" s="37">
        <v>42014.684537037036</v>
      </c>
      <c r="U1386">
        <v>16</v>
      </c>
      <c r="W1386" s="47"/>
    </row>
    <row r="1387" spans="1:23">
      <c r="A1387">
        <v>3684908851</v>
      </c>
      <c r="B1387">
        <v>57240262</v>
      </c>
      <c r="C1387" s="36" t="s">
        <v>368</v>
      </c>
      <c r="D1387" s="37">
        <v>42014.714421296296</v>
      </c>
      <c r="E1387" s="37">
        <v>42014.72079861111</v>
      </c>
      <c r="J1387">
        <v>5</v>
      </c>
      <c r="K1387">
        <v>6</v>
      </c>
      <c r="N1387">
        <v>9</v>
      </c>
      <c r="O1387">
        <v>10</v>
      </c>
      <c r="V1387" s="42" t="s">
        <v>34</v>
      </c>
      <c r="W1387" s="47">
        <v>6</v>
      </c>
    </row>
    <row r="1388" spans="1:23" hidden="1">
      <c r="A1388">
        <v>3685029139</v>
      </c>
      <c r="B1388">
        <v>57240262</v>
      </c>
      <c r="C1388" s="36" t="s">
        <v>1694</v>
      </c>
      <c r="D1388" s="37">
        <v>42014.816111111111</v>
      </c>
      <c r="E1388" s="37">
        <v>42014.820231481484</v>
      </c>
      <c r="U1388">
        <v>16</v>
      </c>
      <c r="W1388" s="47"/>
    </row>
    <row r="1389" spans="1:23" hidden="1">
      <c r="A1389">
        <v>3685069331</v>
      </c>
      <c r="B1389">
        <v>57240262</v>
      </c>
      <c r="C1389" s="36" t="s">
        <v>1695</v>
      </c>
      <c r="D1389" s="37">
        <v>42014.852789351855</v>
      </c>
      <c r="E1389" s="37">
        <v>42014.854988425926</v>
      </c>
      <c r="U1389">
        <v>16</v>
      </c>
      <c r="W1389" s="47"/>
    </row>
    <row r="1390" spans="1:23" hidden="1">
      <c r="A1390">
        <v>3685071193</v>
      </c>
      <c r="B1390">
        <v>57240262</v>
      </c>
      <c r="C1390" s="36" t="s">
        <v>1696</v>
      </c>
      <c r="D1390" s="37">
        <v>42014.854212962964</v>
      </c>
      <c r="E1390" s="37">
        <v>42014.862662037034</v>
      </c>
      <c r="U1390">
        <v>16</v>
      </c>
      <c r="W1390" s="47"/>
    </row>
    <row r="1391" spans="1:23" hidden="1">
      <c r="A1391">
        <v>3685101189</v>
      </c>
      <c r="B1391">
        <v>57240262</v>
      </c>
      <c r="C1391" s="36" t="s">
        <v>385</v>
      </c>
      <c r="D1391" s="37">
        <v>42014.881932870368</v>
      </c>
      <c r="E1391" s="37">
        <v>42014.887129629627</v>
      </c>
      <c r="S1391">
        <v>14</v>
      </c>
      <c r="W1391" s="47"/>
    </row>
    <row r="1392" spans="1:23">
      <c r="A1392">
        <v>3684993667</v>
      </c>
      <c r="B1392">
        <v>57240262</v>
      </c>
      <c r="C1392" s="36" t="s">
        <v>367</v>
      </c>
      <c r="D1392" s="37">
        <v>42014.783900462964</v>
      </c>
      <c r="E1392" s="37">
        <v>42014.888101851851</v>
      </c>
      <c r="F1392">
        <v>1</v>
      </c>
      <c r="K1392">
        <v>6</v>
      </c>
      <c r="V1392" s="42" t="s">
        <v>112</v>
      </c>
      <c r="W1392" s="47">
        <v>1</v>
      </c>
    </row>
    <row r="1393" spans="1:23" hidden="1">
      <c r="A1393">
        <v>3685121344</v>
      </c>
      <c r="B1393">
        <v>57240262</v>
      </c>
      <c r="C1393" s="36" t="s">
        <v>1697</v>
      </c>
      <c r="D1393" s="37">
        <v>42014.902592592596</v>
      </c>
      <c r="E1393" s="37">
        <v>42014.904004629629</v>
      </c>
      <c r="S1393">
        <v>14</v>
      </c>
      <c r="W1393" s="47"/>
    </row>
    <row r="1394" spans="1:23" hidden="1">
      <c r="A1394">
        <v>3685466898</v>
      </c>
      <c r="B1394">
        <v>57240262</v>
      </c>
      <c r="C1394" s="36" t="s">
        <v>1698</v>
      </c>
      <c r="D1394" s="37">
        <v>42015.421157407407</v>
      </c>
      <c r="E1394" s="37">
        <v>42015.425625000003</v>
      </c>
      <c r="F1394">
        <v>1</v>
      </c>
      <c r="G1394">
        <v>2</v>
      </c>
      <c r="W1394" s="47"/>
    </row>
    <row r="1395" spans="1:23" hidden="1">
      <c r="A1395">
        <v>3685471780</v>
      </c>
      <c r="B1395">
        <v>57240262</v>
      </c>
      <c r="C1395" s="36" t="s">
        <v>1699</v>
      </c>
      <c r="D1395" s="37">
        <v>42015.429583333331</v>
      </c>
      <c r="E1395" s="37">
        <v>42015.433287037034</v>
      </c>
      <c r="U1395">
        <v>16</v>
      </c>
      <c r="W1395" s="47"/>
    </row>
    <row r="1396" spans="1:23" hidden="1">
      <c r="A1396">
        <v>3685539065</v>
      </c>
      <c r="B1396">
        <v>57240262</v>
      </c>
      <c r="C1396" s="36" t="s">
        <v>1700</v>
      </c>
      <c r="D1396" s="37">
        <v>42015.52789351852</v>
      </c>
      <c r="E1396" s="37">
        <v>42015.532627314817</v>
      </c>
      <c r="U1396">
        <v>16</v>
      </c>
      <c r="W1396" s="47"/>
    </row>
    <row r="1397" spans="1:23" hidden="1">
      <c r="A1397">
        <v>3685561363</v>
      </c>
      <c r="B1397">
        <v>57240262</v>
      </c>
      <c r="C1397" s="36" t="s">
        <v>1701</v>
      </c>
      <c r="D1397" s="37">
        <v>42015.555300925924</v>
      </c>
      <c r="E1397" s="37">
        <v>42015.560532407406</v>
      </c>
      <c r="H1397">
        <v>3</v>
      </c>
      <c r="K1397">
        <v>6</v>
      </c>
      <c r="W1397" s="47"/>
    </row>
    <row r="1398" spans="1:23" hidden="1">
      <c r="A1398">
        <v>3685633985</v>
      </c>
      <c r="B1398">
        <v>57240262</v>
      </c>
      <c r="C1398" s="36" t="s">
        <v>1702</v>
      </c>
      <c r="D1398" s="37">
        <v>42015.635081018518</v>
      </c>
      <c r="E1398" s="37">
        <v>42015.639907407407</v>
      </c>
      <c r="M1398">
        <v>8</v>
      </c>
      <c r="W1398" s="47"/>
    </row>
    <row r="1399" spans="1:23" ht="24">
      <c r="A1399">
        <v>3686114132</v>
      </c>
      <c r="B1399">
        <v>57240262</v>
      </c>
      <c r="C1399" s="36" t="s">
        <v>1703</v>
      </c>
      <c r="D1399" s="37">
        <v>42016.094837962963</v>
      </c>
      <c r="E1399" s="37">
        <v>42016.111134259256</v>
      </c>
      <c r="O1399">
        <v>10</v>
      </c>
      <c r="R1399">
        <v>13</v>
      </c>
      <c r="V1399" s="42" t="s">
        <v>111</v>
      </c>
      <c r="W1399" s="47">
        <v>10</v>
      </c>
    </row>
    <row r="1400" spans="1:23">
      <c r="A1400">
        <v>3686410613</v>
      </c>
      <c r="B1400">
        <v>57240262</v>
      </c>
      <c r="C1400" s="36" t="s">
        <v>1704</v>
      </c>
      <c r="D1400" s="37">
        <v>42016.38559027778</v>
      </c>
      <c r="E1400" s="37">
        <v>42016.388483796298</v>
      </c>
      <c r="F1400">
        <v>1</v>
      </c>
      <c r="S1400">
        <v>14</v>
      </c>
      <c r="V1400" s="42" t="s">
        <v>25</v>
      </c>
      <c r="W1400" s="47">
        <v>1</v>
      </c>
    </row>
    <row r="1401" spans="1:23" hidden="1">
      <c r="A1401">
        <v>3686416853</v>
      </c>
      <c r="B1401">
        <v>57240262</v>
      </c>
      <c r="C1401" s="36" t="s">
        <v>1705</v>
      </c>
      <c r="D1401" s="37">
        <v>42016.390046296299</v>
      </c>
      <c r="E1401" s="37">
        <v>42016.392754629633</v>
      </c>
      <c r="U1401">
        <v>16</v>
      </c>
      <c r="W1401" s="47"/>
    </row>
    <row r="1402" spans="1:23" hidden="1">
      <c r="A1402">
        <v>3686448021</v>
      </c>
      <c r="B1402">
        <v>57240262</v>
      </c>
      <c r="C1402" s="36" t="s">
        <v>1706</v>
      </c>
      <c r="D1402" s="37">
        <v>42016.411365740743</v>
      </c>
      <c r="E1402" s="37">
        <v>42016.413298611114</v>
      </c>
      <c r="F1402">
        <v>1</v>
      </c>
      <c r="G1402">
        <v>2</v>
      </c>
      <c r="H1402">
        <v>3</v>
      </c>
      <c r="K1402">
        <v>6</v>
      </c>
      <c r="M1402">
        <v>8</v>
      </c>
      <c r="N1402">
        <v>9</v>
      </c>
      <c r="W1402" s="47"/>
    </row>
    <row r="1403" spans="1:23" hidden="1">
      <c r="A1403">
        <v>3686456654</v>
      </c>
      <c r="B1403">
        <v>57240262</v>
      </c>
      <c r="C1403" s="36" t="s">
        <v>1707</v>
      </c>
      <c r="D1403" s="37">
        <v>42016.417256944442</v>
      </c>
      <c r="E1403" s="37">
        <v>42016.425532407404</v>
      </c>
      <c r="N1403">
        <v>9</v>
      </c>
      <c r="R1403">
        <v>13</v>
      </c>
      <c r="W1403" s="47"/>
    </row>
    <row r="1404" spans="1:23" hidden="1">
      <c r="A1404">
        <v>3686470962</v>
      </c>
      <c r="B1404">
        <v>57240262</v>
      </c>
      <c r="C1404" s="36" t="s">
        <v>1708</v>
      </c>
      <c r="D1404" s="37">
        <v>42016.426817129628</v>
      </c>
      <c r="E1404" s="37">
        <v>42016.429236111115</v>
      </c>
      <c r="U1404">
        <v>16</v>
      </c>
      <c r="W1404" s="47"/>
    </row>
    <row r="1405" spans="1:23" hidden="1">
      <c r="A1405">
        <v>3686724420</v>
      </c>
      <c r="B1405">
        <v>57240262</v>
      </c>
      <c r="C1405" s="36" t="s">
        <v>1709</v>
      </c>
      <c r="D1405" s="37">
        <v>42016.564814814818</v>
      </c>
      <c r="E1405" s="37">
        <v>42016.578379629631</v>
      </c>
      <c r="Q1405">
        <v>12</v>
      </c>
      <c r="W1405" s="47"/>
    </row>
    <row r="1406" spans="1:23" hidden="1">
      <c r="A1406">
        <v>3686820262</v>
      </c>
      <c r="B1406">
        <v>57240262</v>
      </c>
      <c r="C1406" s="36" t="s">
        <v>1710</v>
      </c>
      <c r="D1406" s="37">
        <v>42016.592037037037</v>
      </c>
      <c r="E1406" s="37">
        <v>42016.596909722219</v>
      </c>
      <c r="O1406">
        <v>10</v>
      </c>
      <c r="W1406" s="47"/>
    </row>
    <row r="1407" spans="1:23" hidden="1">
      <c r="A1407">
        <v>3686875412</v>
      </c>
      <c r="B1407">
        <v>57240262</v>
      </c>
      <c r="C1407" s="36" t="s">
        <v>2368</v>
      </c>
      <c r="D1407" s="37">
        <v>42016.60597222222</v>
      </c>
      <c r="E1407" s="37">
        <v>42016.606782407405</v>
      </c>
      <c r="W1407" s="47"/>
    </row>
    <row r="1408" spans="1:23" hidden="1">
      <c r="A1408">
        <v>3687126747</v>
      </c>
      <c r="B1408">
        <v>57240262</v>
      </c>
      <c r="C1408" s="36" t="s">
        <v>1711</v>
      </c>
      <c r="D1408" s="37">
        <v>42016.667291666665</v>
      </c>
      <c r="E1408" s="37">
        <v>42016.673541666663</v>
      </c>
      <c r="U1408">
        <v>16</v>
      </c>
      <c r="W1408" s="47"/>
    </row>
    <row r="1409" spans="1:23" hidden="1">
      <c r="A1409">
        <v>3687160058</v>
      </c>
      <c r="B1409">
        <v>57240262</v>
      </c>
      <c r="C1409" s="36" t="s">
        <v>1712</v>
      </c>
      <c r="D1409" s="37">
        <v>42016.674664351849</v>
      </c>
      <c r="E1409" s="37">
        <v>42016.677245370367</v>
      </c>
      <c r="U1409">
        <v>16</v>
      </c>
      <c r="W1409" s="47"/>
    </row>
    <row r="1410" spans="1:23" hidden="1">
      <c r="A1410">
        <v>3687187564</v>
      </c>
      <c r="B1410">
        <v>57240262</v>
      </c>
      <c r="C1410" s="36" t="s">
        <v>1713</v>
      </c>
      <c r="D1410" s="37">
        <v>42016.680023148147</v>
      </c>
      <c r="E1410" s="37">
        <v>42016.688657407409</v>
      </c>
      <c r="H1410">
        <v>3</v>
      </c>
      <c r="W1410" s="47"/>
    </row>
    <row r="1411" spans="1:23" hidden="1">
      <c r="A1411">
        <v>3687218297</v>
      </c>
      <c r="B1411">
        <v>57240262</v>
      </c>
      <c r="C1411" s="36" t="s">
        <v>1714</v>
      </c>
      <c r="D1411" s="37">
        <v>42016.685324074075</v>
      </c>
      <c r="E1411" s="37">
        <v>42016.692430555559</v>
      </c>
      <c r="U1411">
        <v>16</v>
      </c>
      <c r="W1411" s="47"/>
    </row>
    <row r="1412" spans="1:23" hidden="1">
      <c r="A1412">
        <v>3687191902</v>
      </c>
      <c r="B1412">
        <v>57240262</v>
      </c>
      <c r="C1412" s="36" t="s">
        <v>369</v>
      </c>
      <c r="D1412" s="37">
        <v>42016.682025462964</v>
      </c>
      <c r="E1412" s="37">
        <v>42016.692997685182</v>
      </c>
      <c r="Q1412">
        <v>12</v>
      </c>
      <c r="W1412" s="47"/>
    </row>
    <row r="1413" spans="1:23" hidden="1">
      <c r="A1413">
        <v>3687376676</v>
      </c>
      <c r="B1413">
        <v>57240262</v>
      </c>
      <c r="C1413" s="36" t="s">
        <v>2369</v>
      </c>
      <c r="D1413" s="37">
        <v>42016.726342592592</v>
      </c>
      <c r="E1413" s="37">
        <v>42016.727106481485</v>
      </c>
      <c r="W1413" s="47"/>
    </row>
    <row r="1414" spans="1:23" hidden="1">
      <c r="A1414">
        <v>3687890291</v>
      </c>
      <c r="B1414">
        <v>57240262</v>
      </c>
      <c r="C1414" s="36" t="s">
        <v>1715</v>
      </c>
      <c r="D1414" s="37">
        <v>42016.864212962966</v>
      </c>
      <c r="E1414" s="37">
        <v>42016.882476851853</v>
      </c>
      <c r="H1414">
        <v>3</v>
      </c>
      <c r="W1414" s="47"/>
    </row>
    <row r="1415" spans="1:23" hidden="1">
      <c r="A1415">
        <v>3688240512</v>
      </c>
      <c r="B1415">
        <v>57240262</v>
      </c>
      <c r="C1415" s="36" t="s">
        <v>1716</v>
      </c>
      <c r="D1415" s="37">
        <v>42016.98065972222</v>
      </c>
      <c r="E1415" s="37">
        <v>42016.983530092592</v>
      </c>
      <c r="U1415">
        <v>16</v>
      </c>
      <c r="W1415" s="47"/>
    </row>
    <row r="1416" spans="1:23">
      <c r="A1416">
        <v>3688334642</v>
      </c>
      <c r="B1416">
        <v>57240262</v>
      </c>
      <c r="C1416" s="36" t="s">
        <v>1717</v>
      </c>
      <c r="D1416" s="37">
        <v>42017.02375</v>
      </c>
      <c r="E1416" s="37">
        <v>42017.025497685187</v>
      </c>
      <c r="F1416">
        <v>1</v>
      </c>
      <c r="G1416">
        <v>2</v>
      </c>
      <c r="K1416">
        <v>6</v>
      </c>
      <c r="N1416">
        <v>9</v>
      </c>
      <c r="Q1416">
        <v>12</v>
      </c>
      <c r="V1416" s="42" t="s">
        <v>110</v>
      </c>
      <c r="W1416" s="47">
        <v>2</v>
      </c>
    </row>
    <row r="1417" spans="1:23" hidden="1">
      <c r="A1417">
        <v>3688335537</v>
      </c>
      <c r="B1417">
        <v>57240262</v>
      </c>
      <c r="C1417" s="36" t="s">
        <v>1718</v>
      </c>
      <c r="D1417" s="37">
        <v>42017.024456018517</v>
      </c>
      <c r="E1417" s="37">
        <v>42017.033819444441</v>
      </c>
      <c r="I1417">
        <v>4</v>
      </c>
      <c r="P1417">
        <v>11</v>
      </c>
      <c r="W1417" s="47"/>
    </row>
    <row r="1418" spans="1:23">
      <c r="A1418">
        <v>3689029527</v>
      </c>
      <c r="B1418">
        <v>57240262</v>
      </c>
      <c r="C1418" s="36" t="s">
        <v>1719</v>
      </c>
      <c r="D1418" s="37">
        <v>42017.484456018516</v>
      </c>
      <c r="E1418" s="37">
        <v>42017.488981481481</v>
      </c>
      <c r="G1418">
        <v>2</v>
      </c>
      <c r="H1418">
        <v>3</v>
      </c>
      <c r="O1418">
        <v>10</v>
      </c>
      <c r="V1418" s="42" t="s">
        <v>109</v>
      </c>
      <c r="W1418" s="47">
        <v>3</v>
      </c>
    </row>
    <row r="1419" spans="1:23" hidden="1">
      <c r="A1419">
        <v>3689056902</v>
      </c>
      <c r="B1419">
        <v>57240262</v>
      </c>
      <c r="C1419" s="36" t="s">
        <v>1720</v>
      </c>
      <c r="D1419" s="37">
        <v>42017.498541666668</v>
      </c>
      <c r="E1419" s="37">
        <v>42017.506562499999</v>
      </c>
      <c r="G1419">
        <v>2</v>
      </c>
      <c r="W1419" s="47"/>
    </row>
    <row r="1420" spans="1:23" hidden="1">
      <c r="A1420">
        <v>3689141678</v>
      </c>
      <c r="B1420">
        <v>57240262</v>
      </c>
      <c r="C1420" s="36" t="s">
        <v>1721</v>
      </c>
      <c r="D1420" s="37">
        <v>42017.538321759261</v>
      </c>
      <c r="E1420" s="37">
        <v>42017.542870370373</v>
      </c>
      <c r="U1420">
        <v>16</v>
      </c>
      <c r="W1420" s="47"/>
    </row>
    <row r="1421" spans="1:23" hidden="1">
      <c r="A1421">
        <v>3689167733</v>
      </c>
      <c r="B1421">
        <v>57240262</v>
      </c>
      <c r="C1421" s="36" t="s">
        <v>1722</v>
      </c>
      <c r="D1421" s="37">
        <v>42017.549131944441</v>
      </c>
      <c r="E1421" s="37">
        <v>42017.550729166665</v>
      </c>
      <c r="F1421">
        <v>1</v>
      </c>
      <c r="K1421">
        <v>6</v>
      </c>
      <c r="W1421" s="47"/>
    </row>
    <row r="1422" spans="1:23" hidden="1">
      <c r="A1422">
        <v>3689212856</v>
      </c>
      <c r="B1422">
        <v>57240262</v>
      </c>
      <c r="C1422" s="36" t="s">
        <v>1723</v>
      </c>
      <c r="D1422" s="37">
        <v>42017.566516203704</v>
      </c>
      <c r="E1422" s="37">
        <v>42017.567824074074</v>
      </c>
      <c r="U1422">
        <v>16</v>
      </c>
      <c r="W1422" s="47"/>
    </row>
    <row r="1423" spans="1:23" hidden="1">
      <c r="A1423">
        <v>3689245674</v>
      </c>
      <c r="B1423">
        <v>57240262</v>
      </c>
      <c r="C1423" s="36" t="s">
        <v>1724</v>
      </c>
      <c r="D1423" s="37">
        <v>42017.578425925924</v>
      </c>
      <c r="E1423" s="37">
        <v>42017.583599537036</v>
      </c>
      <c r="F1423">
        <v>1</v>
      </c>
      <c r="W1423" s="47"/>
    </row>
    <row r="1424" spans="1:23" hidden="1">
      <c r="A1424">
        <v>3689262124</v>
      </c>
      <c r="B1424">
        <v>57240262</v>
      </c>
      <c r="C1424" s="36" t="s">
        <v>1725</v>
      </c>
      <c r="D1424" s="37">
        <v>42017.584108796298</v>
      </c>
      <c r="E1424" s="37">
        <v>42017.588275462964</v>
      </c>
      <c r="U1424">
        <v>16</v>
      </c>
      <c r="W1424" s="47"/>
    </row>
    <row r="1425" spans="1:23" hidden="1">
      <c r="A1425">
        <v>3689289348</v>
      </c>
      <c r="B1425">
        <v>57240262</v>
      </c>
      <c r="C1425" s="36" t="s">
        <v>1726</v>
      </c>
      <c r="D1425" s="37">
        <v>42017.592835648145</v>
      </c>
      <c r="E1425" s="37">
        <v>42017.600972222222</v>
      </c>
      <c r="G1425">
        <v>2</v>
      </c>
      <c r="W1425" s="47"/>
    </row>
    <row r="1426" spans="1:23" hidden="1">
      <c r="A1426">
        <v>3689259671</v>
      </c>
      <c r="B1426">
        <v>57240262</v>
      </c>
      <c r="C1426" s="36" t="s">
        <v>374</v>
      </c>
      <c r="D1426" s="37">
        <v>42017.583240740743</v>
      </c>
      <c r="E1426" s="37">
        <v>42017.602025462962</v>
      </c>
      <c r="U1426">
        <v>16</v>
      </c>
      <c r="W1426" s="47"/>
    </row>
    <row r="1427" spans="1:23">
      <c r="A1427">
        <v>3689323109</v>
      </c>
      <c r="B1427">
        <v>57240262</v>
      </c>
      <c r="C1427" s="36" t="s">
        <v>1727</v>
      </c>
      <c r="D1427" s="37">
        <v>42017.603090277778</v>
      </c>
      <c r="E1427" s="37">
        <v>42017.61614583333</v>
      </c>
      <c r="F1427">
        <v>1</v>
      </c>
      <c r="K1427">
        <v>6</v>
      </c>
      <c r="M1427">
        <v>8</v>
      </c>
      <c r="Q1427">
        <v>12</v>
      </c>
      <c r="V1427" s="42" t="s">
        <v>25</v>
      </c>
      <c r="W1427" s="47">
        <v>1</v>
      </c>
    </row>
    <row r="1428" spans="1:23">
      <c r="A1428">
        <v>3689434147</v>
      </c>
      <c r="B1428">
        <v>57240262</v>
      </c>
      <c r="C1428" s="36" t="s">
        <v>1728</v>
      </c>
      <c r="D1428" s="37">
        <v>42017.634664351855</v>
      </c>
      <c r="E1428" s="37">
        <v>42017.635983796295</v>
      </c>
      <c r="M1428">
        <v>8</v>
      </c>
      <c r="N1428">
        <v>9</v>
      </c>
      <c r="V1428" s="42" t="s">
        <v>96</v>
      </c>
      <c r="W1428" s="47">
        <v>8</v>
      </c>
    </row>
    <row r="1429" spans="1:23" hidden="1">
      <c r="A1429">
        <v>3689662074</v>
      </c>
      <c r="B1429">
        <v>57240262</v>
      </c>
      <c r="C1429" s="36" t="s">
        <v>1729</v>
      </c>
      <c r="D1429" s="37">
        <v>42017.695775462962</v>
      </c>
      <c r="E1429" s="37">
        <v>42017.702592592592</v>
      </c>
      <c r="Q1429">
        <v>12</v>
      </c>
      <c r="W1429" s="47"/>
    </row>
    <row r="1430" spans="1:23" hidden="1">
      <c r="A1430">
        <v>3689588715</v>
      </c>
      <c r="B1430">
        <v>57240262</v>
      </c>
      <c r="C1430" s="36" t="s">
        <v>375</v>
      </c>
      <c r="D1430" s="37">
        <v>42017.676249999997</v>
      </c>
      <c r="E1430" s="37">
        <v>42017.711018518516</v>
      </c>
      <c r="K1430">
        <v>6</v>
      </c>
      <c r="M1430">
        <v>8</v>
      </c>
      <c r="N1430">
        <v>9</v>
      </c>
      <c r="O1430">
        <v>10</v>
      </c>
      <c r="W1430" s="47"/>
    </row>
    <row r="1431" spans="1:23">
      <c r="A1431">
        <v>3689815403</v>
      </c>
      <c r="B1431">
        <v>57240262</v>
      </c>
      <c r="C1431" s="36" t="s">
        <v>1730</v>
      </c>
      <c r="D1431" s="37">
        <v>42017.739212962966</v>
      </c>
      <c r="E1431" s="37">
        <v>42017.751342592594</v>
      </c>
      <c r="H1431">
        <v>3</v>
      </c>
      <c r="M1431">
        <v>8</v>
      </c>
      <c r="V1431" s="42" t="s">
        <v>107</v>
      </c>
      <c r="W1431" s="47">
        <v>3</v>
      </c>
    </row>
    <row r="1432" spans="1:23" hidden="1">
      <c r="A1432">
        <v>3689906446</v>
      </c>
      <c r="B1432">
        <v>57240262</v>
      </c>
      <c r="C1432" s="36" t="s">
        <v>2370</v>
      </c>
      <c r="D1432" s="37">
        <v>42017.765844907408</v>
      </c>
      <c r="E1432" s="37">
        <v>42017.766365740739</v>
      </c>
      <c r="W1432" s="47"/>
    </row>
    <row r="1433" spans="1:23" hidden="1">
      <c r="A1433">
        <v>3690066328</v>
      </c>
      <c r="B1433">
        <v>57240262</v>
      </c>
      <c r="C1433" s="36" t="s">
        <v>1731</v>
      </c>
      <c r="D1433" s="37">
        <v>42017.430706018517</v>
      </c>
      <c r="E1433" s="37">
        <v>42017.816180555557</v>
      </c>
      <c r="U1433">
        <v>16</v>
      </c>
      <c r="W1433" s="47"/>
    </row>
    <row r="1434" spans="1:23" hidden="1">
      <c r="A1434">
        <v>3690296370</v>
      </c>
      <c r="B1434">
        <v>57240262</v>
      </c>
      <c r="C1434" s="36" t="s">
        <v>1732</v>
      </c>
      <c r="D1434" s="37">
        <v>42017.878865740742</v>
      </c>
      <c r="E1434" s="37">
        <v>42017.887673611112</v>
      </c>
      <c r="J1434">
        <v>5</v>
      </c>
      <c r="W1434" s="47"/>
    </row>
    <row r="1435" spans="1:23">
      <c r="A1435">
        <v>3691016037</v>
      </c>
      <c r="B1435">
        <v>57240262</v>
      </c>
      <c r="C1435" s="36" t="s">
        <v>377</v>
      </c>
      <c r="D1435" s="37">
        <v>42018.202847222223</v>
      </c>
      <c r="E1435" s="37">
        <v>42018.22347222222</v>
      </c>
      <c r="F1435">
        <v>1</v>
      </c>
      <c r="G1435">
        <v>2</v>
      </c>
      <c r="V1435" s="42" t="s">
        <v>30</v>
      </c>
      <c r="W1435" s="47">
        <v>2</v>
      </c>
    </row>
    <row r="1436" spans="1:23" hidden="1">
      <c r="A1436">
        <v>3691053367</v>
      </c>
      <c r="B1436">
        <v>57240262</v>
      </c>
      <c r="C1436" s="36" t="s">
        <v>1733</v>
      </c>
      <c r="D1436" s="37">
        <v>42018.235335648147</v>
      </c>
      <c r="E1436" s="37">
        <v>42018.238958333335</v>
      </c>
      <c r="U1436">
        <v>16</v>
      </c>
      <c r="W1436" s="47"/>
    </row>
    <row r="1437" spans="1:23" hidden="1">
      <c r="A1437">
        <v>3691060577</v>
      </c>
      <c r="B1437">
        <v>57240262</v>
      </c>
      <c r="C1437" s="36" t="s">
        <v>1734</v>
      </c>
      <c r="D1437" s="37">
        <v>42018.242106481484</v>
      </c>
      <c r="E1437" s="37">
        <v>42018.245787037034</v>
      </c>
      <c r="K1437">
        <v>6</v>
      </c>
      <c r="O1437">
        <v>10</v>
      </c>
      <c r="W1437" s="47"/>
    </row>
    <row r="1438" spans="1:23" hidden="1">
      <c r="A1438">
        <v>3691067671</v>
      </c>
      <c r="B1438">
        <v>57240262</v>
      </c>
      <c r="C1438" s="36" t="s">
        <v>1735</v>
      </c>
      <c r="D1438" s="37">
        <v>42018.248437499999</v>
      </c>
      <c r="E1438" s="37">
        <v>42018.251168981478</v>
      </c>
      <c r="F1438">
        <v>1</v>
      </c>
      <c r="K1438">
        <v>6</v>
      </c>
      <c r="O1438">
        <v>10</v>
      </c>
      <c r="W1438" s="47"/>
    </row>
    <row r="1439" spans="1:23" hidden="1">
      <c r="A1439">
        <v>3691061163</v>
      </c>
      <c r="B1439">
        <v>57240262</v>
      </c>
      <c r="C1439" s="36" t="s">
        <v>378</v>
      </c>
      <c r="D1439" s="37">
        <v>42018.242546296293</v>
      </c>
      <c r="E1439" s="37">
        <v>42018.253425925926</v>
      </c>
      <c r="F1439">
        <v>1</v>
      </c>
      <c r="K1439">
        <v>6</v>
      </c>
      <c r="W1439" s="47"/>
    </row>
    <row r="1440" spans="1:23">
      <c r="A1440">
        <v>3691068842</v>
      </c>
      <c r="B1440">
        <v>57240262</v>
      </c>
      <c r="C1440" s="36" t="s">
        <v>1736</v>
      </c>
      <c r="D1440" s="37">
        <v>42018.249664351853</v>
      </c>
      <c r="E1440" s="37">
        <v>42018.264872685184</v>
      </c>
      <c r="F1440">
        <v>1</v>
      </c>
      <c r="K1440">
        <v>6</v>
      </c>
      <c r="V1440" s="42" t="s">
        <v>51</v>
      </c>
      <c r="W1440" s="47">
        <v>6</v>
      </c>
    </row>
    <row r="1441" spans="1:23">
      <c r="A1441">
        <v>3691082800</v>
      </c>
      <c r="B1441">
        <v>57240262</v>
      </c>
      <c r="C1441" s="36" t="s">
        <v>1737</v>
      </c>
      <c r="D1441" s="37">
        <v>42018.262928240743</v>
      </c>
      <c r="E1441" s="37">
        <v>42018.270648148151</v>
      </c>
      <c r="F1441">
        <v>1</v>
      </c>
      <c r="J1441">
        <v>5</v>
      </c>
      <c r="K1441">
        <v>6</v>
      </c>
      <c r="O1441">
        <v>10</v>
      </c>
      <c r="V1441" s="42" t="s">
        <v>108</v>
      </c>
      <c r="W1441" s="47">
        <v>10</v>
      </c>
    </row>
    <row r="1442" spans="1:23">
      <c r="A1442">
        <v>3691097999</v>
      </c>
      <c r="B1442">
        <v>57240262</v>
      </c>
      <c r="C1442" s="36" t="s">
        <v>386</v>
      </c>
      <c r="D1442" s="37">
        <v>42018.277395833335</v>
      </c>
      <c r="E1442" s="37">
        <v>42018.284328703703</v>
      </c>
      <c r="H1442">
        <v>3</v>
      </c>
      <c r="O1442">
        <v>10</v>
      </c>
      <c r="Q1442">
        <v>12</v>
      </c>
      <c r="V1442" s="42" t="s">
        <v>107</v>
      </c>
      <c r="W1442" s="47">
        <v>3</v>
      </c>
    </row>
    <row r="1443" spans="1:23" hidden="1">
      <c r="A1443">
        <v>3691045795</v>
      </c>
      <c r="B1443">
        <v>57240262</v>
      </c>
      <c r="C1443" s="36" t="s">
        <v>376</v>
      </c>
      <c r="D1443" s="37">
        <v>42018.228680555556</v>
      </c>
      <c r="E1443" s="37">
        <v>42018.289548611108</v>
      </c>
      <c r="F1443">
        <v>1</v>
      </c>
      <c r="G1443">
        <v>2</v>
      </c>
      <c r="N1443">
        <v>9</v>
      </c>
      <c r="S1443">
        <v>14</v>
      </c>
      <c r="W1443" s="47"/>
    </row>
    <row r="1444" spans="1:23" ht="24">
      <c r="A1444">
        <v>3691117596</v>
      </c>
      <c r="B1444">
        <v>57240262</v>
      </c>
      <c r="C1444" s="36" t="s">
        <v>1738</v>
      </c>
      <c r="D1444" s="37">
        <v>42018.295648148145</v>
      </c>
      <c r="E1444" s="37">
        <v>42018.30096064815</v>
      </c>
      <c r="F1444">
        <v>1</v>
      </c>
      <c r="O1444">
        <v>10</v>
      </c>
      <c r="V1444" s="42" t="s">
        <v>106</v>
      </c>
      <c r="W1444" s="47">
        <v>10</v>
      </c>
    </row>
    <row r="1445" spans="1:23">
      <c r="A1445">
        <v>3691120377</v>
      </c>
      <c r="B1445">
        <v>57240262</v>
      </c>
      <c r="C1445" s="36" t="s">
        <v>1739</v>
      </c>
      <c r="D1445" s="37">
        <v>42018.298078703701</v>
      </c>
      <c r="E1445" s="37">
        <v>42018.309386574074</v>
      </c>
      <c r="G1445">
        <v>2</v>
      </c>
      <c r="K1445">
        <v>6</v>
      </c>
      <c r="M1445">
        <v>8</v>
      </c>
      <c r="Q1445">
        <v>12</v>
      </c>
      <c r="V1445" s="42" t="s">
        <v>105</v>
      </c>
      <c r="W1445" s="47">
        <v>6</v>
      </c>
    </row>
    <row r="1446" spans="1:23" hidden="1">
      <c r="A1446">
        <v>3691132041</v>
      </c>
      <c r="B1446">
        <v>57240262</v>
      </c>
      <c r="C1446" s="36" t="s">
        <v>1740</v>
      </c>
      <c r="D1446" s="37">
        <v>42018.309548611112</v>
      </c>
      <c r="E1446" s="37">
        <v>42018.312476851854</v>
      </c>
      <c r="U1446">
        <v>16</v>
      </c>
      <c r="W1446" s="47"/>
    </row>
    <row r="1447" spans="1:23" ht="24">
      <c r="A1447">
        <v>3691129078</v>
      </c>
      <c r="B1447">
        <v>57240262</v>
      </c>
      <c r="C1447" s="36" t="s">
        <v>304</v>
      </c>
      <c r="D1447" s="37">
        <v>42018.306493055556</v>
      </c>
      <c r="E1447" s="37">
        <v>42018.313113425924</v>
      </c>
      <c r="F1447">
        <v>1</v>
      </c>
      <c r="G1447">
        <v>2</v>
      </c>
      <c r="H1447">
        <v>3</v>
      </c>
      <c r="K1447">
        <v>6</v>
      </c>
      <c r="O1447">
        <v>10</v>
      </c>
      <c r="Q1447">
        <v>12</v>
      </c>
      <c r="V1447" s="42" t="s">
        <v>103</v>
      </c>
      <c r="W1447" s="47">
        <v>12</v>
      </c>
    </row>
    <row r="1448" spans="1:23">
      <c r="A1448">
        <v>3691130101</v>
      </c>
      <c r="B1448">
        <v>57240262</v>
      </c>
      <c r="C1448" s="36" t="s">
        <v>303</v>
      </c>
      <c r="D1448" s="37">
        <v>42018.307627314818</v>
      </c>
      <c r="E1448" s="37">
        <v>42018.313587962963</v>
      </c>
      <c r="F1448">
        <v>1</v>
      </c>
      <c r="J1448">
        <v>5</v>
      </c>
      <c r="K1448">
        <v>6</v>
      </c>
      <c r="R1448">
        <v>13</v>
      </c>
      <c r="V1448" s="42" t="s">
        <v>84</v>
      </c>
      <c r="W1448" s="47">
        <v>1</v>
      </c>
    </row>
    <row r="1449" spans="1:23">
      <c r="A1449">
        <v>3691129475</v>
      </c>
      <c r="B1449">
        <v>57240262</v>
      </c>
      <c r="C1449" s="36" t="s">
        <v>302</v>
      </c>
      <c r="D1449" s="37">
        <v>42018.30709490741</v>
      </c>
      <c r="E1449" s="37">
        <v>42018.314699074072</v>
      </c>
      <c r="F1449">
        <v>1</v>
      </c>
      <c r="I1449">
        <v>4</v>
      </c>
      <c r="N1449">
        <v>9</v>
      </c>
      <c r="V1449" s="42" t="s">
        <v>101</v>
      </c>
      <c r="W1449" s="47">
        <v>1</v>
      </c>
    </row>
    <row r="1450" spans="1:23" ht="24">
      <c r="A1450">
        <v>3691127042</v>
      </c>
      <c r="B1450">
        <v>57240262</v>
      </c>
      <c r="C1450" s="36" t="s">
        <v>387</v>
      </c>
      <c r="D1450" s="37">
        <v>42018.304814814815</v>
      </c>
      <c r="E1450" s="37">
        <v>42018.316076388888</v>
      </c>
      <c r="F1450">
        <v>1</v>
      </c>
      <c r="G1450">
        <v>2</v>
      </c>
      <c r="V1450" s="42" t="s">
        <v>104</v>
      </c>
      <c r="W1450" s="47">
        <v>2</v>
      </c>
    </row>
    <row r="1451" spans="1:23" hidden="1">
      <c r="A1451">
        <v>3691138288</v>
      </c>
      <c r="B1451">
        <v>57240262</v>
      </c>
      <c r="C1451" s="36" t="s">
        <v>388</v>
      </c>
      <c r="D1451" s="37">
        <v>42018.315300925926</v>
      </c>
      <c r="E1451" s="37">
        <v>42018.318645833337</v>
      </c>
      <c r="F1451">
        <v>1</v>
      </c>
      <c r="W1451" s="47"/>
    </row>
    <row r="1452" spans="1:23">
      <c r="A1452">
        <v>3691148533</v>
      </c>
      <c r="B1452">
        <v>57240262</v>
      </c>
      <c r="C1452" s="36" t="s">
        <v>391</v>
      </c>
      <c r="D1452" s="37">
        <v>42018.324201388888</v>
      </c>
      <c r="E1452" s="37">
        <v>42018.33284722222</v>
      </c>
      <c r="F1452">
        <v>1</v>
      </c>
      <c r="G1452">
        <v>2</v>
      </c>
      <c r="R1452">
        <v>13</v>
      </c>
      <c r="V1452" s="42" t="s">
        <v>102</v>
      </c>
      <c r="W1452" s="47">
        <v>1</v>
      </c>
    </row>
    <row r="1453" spans="1:23" hidden="1">
      <c r="A1453">
        <v>3691144334</v>
      </c>
      <c r="B1453">
        <v>57240262</v>
      </c>
      <c r="C1453" s="36" t="s">
        <v>389</v>
      </c>
      <c r="D1453" s="37">
        <v>42018.320289351854</v>
      </c>
      <c r="E1453" s="37">
        <v>42018.332858796297</v>
      </c>
      <c r="F1453">
        <v>1</v>
      </c>
      <c r="W1453" s="47"/>
    </row>
    <row r="1454" spans="1:23" hidden="1">
      <c r="A1454">
        <v>3691152839</v>
      </c>
      <c r="B1454">
        <v>57240262</v>
      </c>
      <c r="C1454" s="36" t="s">
        <v>390</v>
      </c>
      <c r="D1454" s="37">
        <v>42018.328287037039</v>
      </c>
      <c r="E1454" s="37">
        <v>42018.33315972222</v>
      </c>
      <c r="Q1454">
        <v>12</v>
      </c>
      <c r="W1454" s="47"/>
    </row>
    <row r="1455" spans="1:23">
      <c r="A1455">
        <v>3691145303</v>
      </c>
      <c r="B1455">
        <v>57240262</v>
      </c>
      <c r="C1455" s="36" t="s">
        <v>392</v>
      </c>
      <c r="D1455" s="37">
        <v>42018.321550925924</v>
      </c>
      <c r="E1455" s="37">
        <v>42018.334745370368</v>
      </c>
      <c r="F1455">
        <v>1</v>
      </c>
      <c r="G1455">
        <v>2</v>
      </c>
      <c r="H1455">
        <v>3</v>
      </c>
      <c r="J1455">
        <v>5</v>
      </c>
      <c r="M1455">
        <v>8</v>
      </c>
      <c r="N1455">
        <v>9</v>
      </c>
      <c r="S1455">
        <v>14</v>
      </c>
      <c r="V1455" s="42" t="s">
        <v>91</v>
      </c>
      <c r="W1455" s="47">
        <v>9</v>
      </c>
    </row>
    <row r="1456" spans="1:23">
      <c r="A1456">
        <v>3691175427</v>
      </c>
      <c r="B1456">
        <v>57240262</v>
      </c>
      <c r="C1456" s="36" t="s">
        <v>1741</v>
      </c>
      <c r="D1456" s="37">
        <v>42018.347673611112</v>
      </c>
      <c r="E1456" s="37">
        <v>42018.357708333337</v>
      </c>
      <c r="F1456">
        <v>1</v>
      </c>
      <c r="P1456">
        <v>11</v>
      </c>
      <c r="V1456" s="42" t="s">
        <v>101</v>
      </c>
      <c r="W1456" s="47">
        <v>1</v>
      </c>
    </row>
    <row r="1457" spans="1:23">
      <c r="A1457">
        <v>3691183356</v>
      </c>
      <c r="B1457">
        <v>57240262</v>
      </c>
      <c r="C1457" s="36" t="s">
        <v>1742</v>
      </c>
      <c r="D1457" s="37">
        <v>42018.35396990741</v>
      </c>
      <c r="E1457" s="37">
        <v>42018.371770833335</v>
      </c>
      <c r="G1457">
        <v>2</v>
      </c>
      <c r="O1457">
        <v>10</v>
      </c>
      <c r="Q1457">
        <v>12</v>
      </c>
      <c r="V1457" s="42" t="s">
        <v>40</v>
      </c>
      <c r="W1457" s="47">
        <v>12</v>
      </c>
    </row>
    <row r="1458" spans="1:23" hidden="1">
      <c r="A1458">
        <v>3691197530</v>
      </c>
      <c r="B1458">
        <v>57240262</v>
      </c>
      <c r="C1458" s="36" t="s">
        <v>394</v>
      </c>
      <c r="D1458" s="37">
        <v>42018.364293981482</v>
      </c>
      <c r="E1458" s="37">
        <v>42018.375486111108</v>
      </c>
      <c r="F1458">
        <v>1</v>
      </c>
      <c r="G1458">
        <v>2</v>
      </c>
      <c r="J1458">
        <v>5</v>
      </c>
      <c r="W1458" s="47"/>
    </row>
    <row r="1459" spans="1:23" hidden="1">
      <c r="A1459">
        <v>3691216880</v>
      </c>
      <c r="B1459">
        <v>57240262</v>
      </c>
      <c r="C1459" s="36" t="s">
        <v>529</v>
      </c>
      <c r="D1459" s="37">
        <v>42018.377534722225</v>
      </c>
      <c r="E1459" s="37">
        <v>42018.379594907405</v>
      </c>
      <c r="F1459">
        <v>1</v>
      </c>
      <c r="W1459" s="47"/>
    </row>
    <row r="1460" spans="1:23" hidden="1">
      <c r="A1460">
        <v>3691215788</v>
      </c>
      <c r="B1460">
        <v>57240262</v>
      </c>
      <c r="C1460" s="36" t="s">
        <v>1743</v>
      </c>
      <c r="D1460" s="37">
        <v>42018.37704861111</v>
      </c>
      <c r="E1460" s="37">
        <v>42018.380393518521</v>
      </c>
      <c r="I1460">
        <v>4</v>
      </c>
      <c r="W1460" s="47"/>
    </row>
    <row r="1461" spans="1:23" hidden="1">
      <c r="A1461">
        <v>3691225764</v>
      </c>
      <c r="B1461">
        <v>57240262</v>
      </c>
      <c r="C1461" s="36" t="s">
        <v>395</v>
      </c>
      <c r="D1461" s="37">
        <v>42018.383287037039</v>
      </c>
      <c r="E1461" s="37">
        <v>42018.384641203702</v>
      </c>
      <c r="K1461">
        <v>6</v>
      </c>
      <c r="W1461" s="47"/>
    </row>
    <row r="1462" spans="1:23">
      <c r="A1462">
        <v>3691214115</v>
      </c>
      <c r="B1462">
        <v>57240262</v>
      </c>
      <c r="C1462" s="36" t="s">
        <v>393</v>
      </c>
      <c r="D1462" s="37">
        <v>42018.375856481478</v>
      </c>
      <c r="E1462" s="37">
        <v>42018.38553240741</v>
      </c>
      <c r="M1462">
        <v>8</v>
      </c>
      <c r="O1462">
        <v>10</v>
      </c>
      <c r="Q1462">
        <v>12</v>
      </c>
      <c r="V1462" s="42" t="s">
        <v>40</v>
      </c>
      <c r="W1462" s="47">
        <v>12</v>
      </c>
    </row>
    <row r="1463" spans="1:23" hidden="1">
      <c r="A1463">
        <v>3691223929</v>
      </c>
      <c r="B1463">
        <v>57240262</v>
      </c>
      <c r="C1463" s="36" t="s">
        <v>396</v>
      </c>
      <c r="D1463" s="37">
        <v>42018.382280092592</v>
      </c>
      <c r="E1463" s="37">
        <v>42018.387233796297</v>
      </c>
      <c r="F1463">
        <v>1</v>
      </c>
      <c r="W1463" s="47"/>
    </row>
    <row r="1464" spans="1:23">
      <c r="A1464">
        <v>3691242235</v>
      </c>
      <c r="B1464">
        <v>57240262</v>
      </c>
      <c r="C1464" s="36" t="s">
        <v>1744</v>
      </c>
      <c r="D1464" s="37">
        <v>42018.393912037034</v>
      </c>
      <c r="E1464" s="37">
        <v>42018.402268518519</v>
      </c>
      <c r="F1464">
        <v>1</v>
      </c>
      <c r="O1464">
        <v>10</v>
      </c>
      <c r="V1464" s="42" t="s">
        <v>100</v>
      </c>
      <c r="W1464" s="47">
        <v>1</v>
      </c>
    </row>
    <row r="1465" spans="1:23">
      <c r="A1465">
        <v>3691261537</v>
      </c>
      <c r="B1465">
        <v>57240262</v>
      </c>
      <c r="C1465" s="36" t="s">
        <v>1745</v>
      </c>
      <c r="D1465" s="37">
        <v>42018.406446759262</v>
      </c>
      <c r="E1465" s="37">
        <v>42018.411909722221</v>
      </c>
      <c r="F1465">
        <v>1</v>
      </c>
      <c r="O1465">
        <v>10</v>
      </c>
      <c r="S1465">
        <v>14</v>
      </c>
      <c r="V1465" s="42" t="s">
        <v>99</v>
      </c>
      <c r="W1465" s="47">
        <v>10</v>
      </c>
    </row>
    <row r="1466" spans="1:23" hidden="1">
      <c r="A1466">
        <v>3691263508</v>
      </c>
      <c r="B1466">
        <v>57240262</v>
      </c>
      <c r="C1466" s="36" t="s">
        <v>398</v>
      </c>
      <c r="D1466" s="37">
        <v>42018.407523148147</v>
      </c>
      <c r="E1466" s="37">
        <v>42018.412164351852</v>
      </c>
      <c r="G1466">
        <v>2</v>
      </c>
      <c r="W1466" s="47"/>
    </row>
    <row r="1467" spans="1:23" hidden="1">
      <c r="A1467">
        <v>3691266245</v>
      </c>
      <c r="B1467">
        <v>57240262</v>
      </c>
      <c r="C1467" s="36" t="s">
        <v>1746</v>
      </c>
      <c r="D1467" s="37">
        <v>42018.409467592595</v>
      </c>
      <c r="E1467" s="37">
        <v>42018.413842592592</v>
      </c>
      <c r="Q1467">
        <v>12</v>
      </c>
      <c r="W1467" s="47"/>
    </row>
    <row r="1468" spans="1:23" hidden="1">
      <c r="A1468">
        <v>3691264329</v>
      </c>
      <c r="B1468">
        <v>57240262</v>
      </c>
      <c r="C1468" s="36" t="s">
        <v>397</v>
      </c>
      <c r="D1468" s="37">
        <v>42018.408217592594</v>
      </c>
      <c r="E1468" s="37">
        <v>42018.415497685186</v>
      </c>
      <c r="O1468">
        <v>10</v>
      </c>
      <c r="W1468" s="47"/>
    </row>
    <row r="1469" spans="1:23" hidden="1">
      <c r="A1469">
        <v>3691280326</v>
      </c>
      <c r="B1469">
        <v>57240262</v>
      </c>
      <c r="C1469" s="36" t="s">
        <v>1747</v>
      </c>
      <c r="D1469" s="37">
        <v>42018.418912037036</v>
      </c>
      <c r="E1469" s="37">
        <v>42018.424502314818</v>
      </c>
      <c r="K1469">
        <v>6</v>
      </c>
      <c r="Q1469">
        <v>12</v>
      </c>
      <c r="W1469" s="47"/>
    </row>
    <row r="1470" spans="1:23" hidden="1">
      <c r="A1470">
        <v>3691292762</v>
      </c>
      <c r="B1470">
        <v>57240262</v>
      </c>
      <c r="C1470" s="36" t="s">
        <v>1748</v>
      </c>
      <c r="D1470" s="37">
        <v>42018.427233796298</v>
      </c>
      <c r="E1470" s="37">
        <v>42018.428472222222</v>
      </c>
      <c r="F1470">
        <v>1</v>
      </c>
      <c r="G1470">
        <v>2</v>
      </c>
      <c r="W1470" s="47"/>
    </row>
    <row r="1471" spans="1:23" hidden="1">
      <c r="A1471">
        <v>3691300219</v>
      </c>
      <c r="B1471">
        <v>57240262</v>
      </c>
      <c r="C1471" s="36" t="s">
        <v>1749</v>
      </c>
      <c r="D1471" s="37">
        <v>42018.431886574072</v>
      </c>
      <c r="E1471" s="37">
        <v>42018.436481481483</v>
      </c>
      <c r="U1471">
        <v>16</v>
      </c>
      <c r="W1471" s="47"/>
    </row>
    <row r="1472" spans="1:23">
      <c r="A1472">
        <v>3691290739</v>
      </c>
      <c r="B1472">
        <v>57240262</v>
      </c>
      <c r="C1472" s="36" t="s">
        <v>399</v>
      </c>
      <c r="D1472" s="37">
        <v>42018.425798611112</v>
      </c>
      <c r="E1472" s="37">
        <v>42018.439259259256</v>
      </c>
      <c r="F1472">
        <v>1</v>
      </c>
      <c r="G1472">
        <v>2</v>
      </c>
      <c r="O1472">
        <v>10</v>
      </c>
      <c r="V1472" s="42" t="s">
        <v>98</v>
      </c>
      <c r="W1472" s="47">
        <v>2</v>
      </c>
    </row>
    <row r="1473" spans="1:23">
      <c r="A1473">
        <v>3691309951</v>
      </c>
      <c r="B1473">
        <v>57240262</v>
      </c>
      <c r="C1473" s="36" t="s">
        <v>1750</v>
      </c>
      <c r="D1473" s="37">
        <v>42018.43822916667</v>
      </c>
      <c r="E1473" s="37">
        <v>42018.446631944447</v>
      </c>
      <c r="G1473">
        <v>2</v>
      </c>
      <c r="H1473">
        <v>3</v>
      </c>
      <c r="M1473">
        <v>8</v>
      </c>
      <c r="O1473">
        <v>10</v>
      </c>
      <c r="V1473" s="42" t="s">
        <v>97</v>
      </c>
      <c r="W1473" s="47">
        <v>2</v>
      </c>
    </row>
    <row r="1474" spans="1:23" hidden="1">
      <c r="A1474">
        <v>3691314576</v>
      </c>
      <c r="B1474">
        <v>57240262</v>
      </c>
      <c r="C1474" s="36" t="s">
        <v>1751</v>
      </c>
      <c r="D1474" s="37">
        <v>42018.441550925927</v>
      </c>
      <c r="E1474" s="37">
        <v>42018.447951388887</v>
      </c>
      <c r="F1474">
        <v>1</v>
      </c>
      <c r="G1474">
        <v>2</v>
      </c>
      <c r="H1474">
        <v>3</v>
      </c>
      <c r="I1474">
        <v>4</v>
      </c>
      <c r="W1474" s="47"/>
    </row>
    <row r="1475" spans="1:23" hidden="1">
      <c r="A1475">
        <v>3691317968</v>
      </c>
      <c r="B1475">
        <v>57240262</v>
      </c>
      <c r="C1475" s="36" t="s">
        <v>1752</v>
      </c>
      <c r="D1475" s="37">
        <v>42018.443229166667</v>
      </c>
      <c r="E1475" s="37">
        <v>42018.453009259261</v>
      </c>
      <c r="J1475">
        <v>5</v>
      </c>
      <c r="Q1475">
        <v>12</v>
      </c>
      <c r="S1475">
        <v>14</v>
      </c>
      <c r="W1475" s="47"/>
    </row>
    <row r="1476" spans="1:23" hidden="1">
      <c r="A1476">
        <v>3691326346</v>
      </c>
      <c r="B1476">
        <v>57240262</v>
      </c>
      <c r="C1476" s="36" t="s">
        <v>404</v>
      </c>
      <c r="D1476" s="37">
        <v>42018.448993055557</v>
      </c>
      <c r="E1476" s="37">
        <v>42018.454317129632</v>
      </c>
      <c r="G1476">
        <v>2</v>
      </c>
      <c r="Q1476">
        <v>12</v>
      </c>
      <c r="W1476" s="47"/>
    </row>
    <row r="1477" spans="1:23" hidden="1">
      <c r="A1477">
        <v>3691340093</v>
      </c>
      <c r="B1477">
        <v>57240262</v>
      </c>
      <c r="C1477" s="36" t="s">
        <v>1753</v>
      </c>
      <c r="D1477" s="37">
        <v>42018.457557870373</v>
      </c>
      <c r="E1477" s="37">
        <v>42018.459699074076</v>
      </c>
      <c r="F1477">
        <v>1</v>
      </c>
      <c r="G1477">
        <v>2</v>
      </c>
      <c r="W1477" s="47"/>
    </row>
    <row r="1478" spans="1:23">
      <c r="A1478">
        <v>3691338334</v>
      </c>
      <c r="B1478">
        <v>57240262</v>
      </c>
      <c r="C1478" s="36" t="s">
        <v>403</v>
      </c>
      <c r="D1478" s="37">
        <v>42018.456504629627</v>
      </c>
      <c r="E1478" s="37">
        <v>42018.462847222225</v>
      </c>
      <c r="F1478">
        <v>1</v>
      </c>
      <c r="G1478">
        <v>2</v>
      </c>
      <c r="K1478">
        <v>6</v>
      </c>
      <c r="M1478">
        <v>8</v>
      </c>
      <c r="O1478">
        <v>10</v>
      </c>
      <c r="Q1478">
        <v>12</v>
      </c>
      <c r="V1478" s="42" t="s">
        <v>31</v>
      </c>
      <c r="W1478" s="47">
        <v>2</v>
      </c>
    </row>
    <row r="1479" spans="1:23">
      <c r="A1479">
        <v>3691352748</v>
      </c>
      <c r="B1479">
        <v>57240262</v>
      </c>
      <c r="C1479" s="36" t="s">
        <v>1754</v>
      </c>
      <c r="D1479" s="37">
        <v>42018.465254629627</v>
      </c>
      <c r="E1479" s="37">
        <v>42018.473298611112</v>
      </c>
      <c r="G1479">
        <v>2</v>
      </c>
      <c r="M1479">
        <v>8</v>
      </c>
      <c r="N1479">
        <v>9</v>
      </c>
      <c r="V1479" s="42" t="s">
        <v>96</v>
      </c>
      <c r="W1479" s="47">
        <v>8</v>
      </c>
    </row>
    <row r="1480" spans="1:23" hidden="1">
      <c r="A1480">
        <v>3691366831</v>
      </c>
      <c r="B1480">
        <v>57240262</v>
      </c>
      <c r="C1480" s="36" t="s">
        <v>1755</v>
      </c>
      <c r="D1480" s="37">
        <v>42018.473854166667</v>
      </c>
      <c r="E1480" s="37">
        <v>42018.483530092592</v>
      </c>
      <c r="U1480">
        <v>16</v>
      </c>
      <c r="W1480" s="47"/>
    </row>
    <row r="1481" spans="1:23" hidden="1">
      <c r="A1481">
        <v>3691386173</v>
      </c>
      <c r="B1481">
        <v>57240262</v>
      </c>
      <c r="C1481" s="36" t="s">
        <v>1756</v>
      </c>
      <c r="D1481" s="37">
        <v>42018.485347222224</v>
      </c>
      <c r="E1481" s="37">
        <v>42018.490636574075</v>
      </c>
      <c r="K1481">
        <v>6</v>
      </c>
      <c r="W1481" s="47"/>
    </row>
    <row r="1482" spans="1:23">
      <c r="A1482">
        <v>3691366420</v>
      </c>
      <c r="B1482">
        <v>57240262</v>
      </c>
      <c r="C1482" s="36" t="s">
        <v>405</v>
      </c>
      <c r="D1482" s="37">
        <v>42018.473680555559</v>
      </c>
      <c r="E1482" s="37">
        <v>42018.492696759262</v>
      </c>
      <c r="F1482">
        <v>1</v>
      </c>
      <c r="G1482">
        <v>2</v>
      </c>
      <c r="K1482">
        <v>6</v>
      </c>
      <c r="V1482" s="42" t="s">
        <v>95</v>
      </c>
      <c r="W1482" s="47">
        <v>2</v>
      </c>
    </row>
    <row r="1483" spans="1:23" hidden="1">
      <c r="A1483">
        <v>3691542713</v>
      </c>
      <c r="B1483">
        <v>57240262</v>
      </c>
      <c r="C1483" s="36" t="s">
        <v>410</v>
      </c>
      <c r="D1483" s="37">
        <v>42018.559328703705</v>
      </c>
      <c r="E1483" s="37">
        <v>42018.567002314812</v>
      </c>
      <c r="U1483">
        <v>16</v>
      </c>
      <c r="W1483" s="47"/>
    </row>
    <row r="1484" spans="1:23">
      <c r="A1484">
        <v>3691533039</v>
      </c>
      <c r="B1484">
        <v>57240262</v>
      </c>
      <c r="C1484" s="36" t="s">
        <v>1757</v>
      </c>
      <c r="D1484" s="37">
        <v>42018.555497685185</v>
      </c>
      <c r="E1484" s="37">
        <v>42018.573194444441</v>
      </c>
      <c r="G1484">
        <v>2</v>
      </c>
      <c r="K1484">
        <v>6</v>
      </c>
      <c r="N1484">
        <v>9</v>
      </c>
      <c r="O1484">
        <v>10</v>
      </c>
      <c r="V1484" s="42" t="s">
        <v>20</v>
      </c>
      <c r="W1484" s="47">
        <v>2</v>
      </c>
    </row>
    <row r="1485" spans="1:23" hidden="1">
      <c r="A1485">
        <v>3691552159</v>
      </c>
      <c r="B1485">
        <v>57240262</v>
      </c>
      <c r="C1485" s="36" t="s">
        <v>409</v>
      </c>
      <c r="D1485" s="37">
        <v>42018.563055555554</v>
      </c>
      <c r="E1485" s="37">
        <v>42018.574120370373</v>
      </c>
      <c r="O1485">
        <v>10</v>
      </c>
      <c r="W1485" s="47"/>
    </row>
    <row r="1486" spans="1:23" hidden="1">
      <c r="A1486">
        <v>3691593180</v>
      </c>
      <c r="B1486">
        <v>57240262</v>
      </c>
      <c r="C1486" s="36" t="s">
        <v>408</v>
      </c>
      <c r="D1486" s="37">
        <v>42018.578460648147</v>
      </c>
      <c r="E1486" s="37">
        <v>42018.583518518521</v>
      </c>
      <c r="F1486">
        <v>1</v>
      </c>
      <c r="W1486" s="47"/>
    </row>
    <row r="1487" spans="1:23" hidden="1">
      <c r="A1487">
        <v>3691677195</v>
      </c>
      <c r="B1487">
        <v>57240262</v>
      </c>
      <c r="C1487" s="36" t="s">
        <v>407</v>
      </c>
      <c r="D1487" s="37">
        <v>42018.605613425927</v>
      </c>
      <c r="E1487" s="37">
        <v>42018.61209490741</v>
      </c>
      <c r="F1487">
        <v>1</v>
      </c>
      <c r="K1487">
        <v>6</v>
      </c>
      <c r="W1487" s="47"/>
    </row>
    <row r="1488" spans="1:23">
      <c r="A1488">
        <v>3691371120</v>
      </c>
      <c r="B1488">
        <v>57240262</v>
      </c>
      <c r="C1488" s="36" t="s">
        <v>406</v>
      </c>
      <c r="D1488" s="37">
        <v>42018.476423611108</v>
      </c>
      <c r="E1488" s="37">
        <v>42018.613009259258</v>
      </c>
      <c r="I1488">
        <v>4</v>
      </c>
      <c r="K1488">
        <v>6</v>
      </c>
      <c r="V1488" s="42" t="s">
        <v>43</v>
      </c>
      <c r="W1488" s="47">
        <v>4</v>
      </c>
    </row>
    <row r="1489" spans="1:23" hidden="1">
      <c r="A1489">
        <v>3691723570</v>
      </c>
      <c r="B1489">
        <v>57240262</v>
      </c>
      <c r="C1489" s="36" t="s">
        <v>1758</v>
      </c>
      <c r="D1489" s="37">
        <v>42018.619490740741</v>
      </c>
      <c r="E1489" s="37">
        <v>42018.625937500001</v>
      </c>
      <c r="U1489">
        <v>16</v>
      </c>
      <c r="W1489" s="47"/>
    </row>
    <row r="1490" spans="1:23" hidden="1">
      <c r="A1490">
        <v>3691885583</v>
      </c>
      <c r="B1490">
        <v>57240262</v>
      </c>
      <c r="C1490" s="36" t="s">
        <v>1759</v>
      </c>
      <c r="D1490" s="37">
        <v>42018.663055555553</v>
      </c>
      <c r="E1490" s="37">
        <v>42018.66946759259</v>
      </c>
      <c r="U1490">
        <v>16</v>
      </c>
      <c r="W1490" s="47"/>
    </row>
    <row r="1491" spans="1:23" hidden="1">
      <c r="A1491">
        <v>3691941228</v>
      </c>
      <c r="B1491">
        <v>57240262</v>
      </c>
      <c r="C1491" s="36" t="s">
        <v>1760</v>
      </c>
      <c r="D1491" s="37">
        <v>42018.677534722221</v>
      </c>
      <c r="E1491" s="37">
        <v>42018.685300925928</v>
      </c>
      <c r="F1491">
        <v>1</v>
      </c>
      <c r="G1491">
        <v>2</v>
      </c>
      <c r="O1491">
        <v>10</v>
      </c>
      <c r="W1491" s="47"/>
    </row>
    <row r="1492" spans="1:23" hidden="1">
      <c r="A1492">
        <v>3691950445</v>
      </c>
      <c r="B1492">
        <v>57240262</v>
      </c>
      <c r="C1492" s="36" t="s">
        <v>1761</v>
      </c>
      <c r="D1492" s="37">
        <v>42018.679803240739</v>
      </c>
      <c r="E1492" s="37">
        <v>42018.693506944444</v>
      </c>
      <c r="M1492">
        <v>8</v>
      </c>
      <c r="W1492" s="47"/>
    </row>
    <row r="1493" spans="1:23" hidden="1">
      <c r="A1493">
        <v>3692081198</v>
      </c>
      <c r="B1493">
        <v>57240262</v>
      </c>
      <c r="C1493" s="36" t="s">
        <v>1762</v>
      </c>
      <c r="D1493" s="37">
        <v>42018.714618055557</v>
      </c>
      <c r="E1493" s="37">
        <v>42018.719131944446</v>
      </c>
      <c r="G1493">
        <v>2</v>
      </c>
      <c r="W1493" s="47"/>
    </row>
    <row r="1494" spans="1:23" hidden="1">
      <c r="A1494">
        <v>3692225991</v>
      </c>
      <c r="B1494">
        <v>57240262</v>
      </c>
      <c r="C1494" s="36" t="s">
        <v>1763</v>
      </c>
      <c r="D1494" s="37">
        <v>42018.755428240744</v>
      </c>
      <c r="E1494" s="37">
        <v>42018.764016203706</v>
      </c>
      <c r="F1494">
        <v>1</v>
      </c>
      <c r="K1494">
        <v>6</v>
      </c>
      <c r="M1494">
        <v>8</v>
      </c>
      <c r="O1494">
        <v>10</v>
      </c>
      <c r="Q1494">
        <v>12</v>
      </c>
      <c r="S1494">
        <v>14</v>
      </c>
      <c r="W1494" s="47"/>
    </row>
    <row r="1495" spans="1:23" hidden="1">
      <c r="A1495">
        <v>3692254539</v>
      </c>
      <c r="B1495">
        <v>57240262</v>
      </c>
      <c r="C1495" s="36" t="s">
        <v>1764</v>
      </c>
      <c r="D1495" s="37">
        <v>42018.763101851851</v>
      </c>
      <c r="E1495" s="37">
        <v>42018.767523148148</v>
      </c>
      <c r="G1495">
        <v>2</v>
      </c>
      <c r="J1495">
        <v>5</v>
      </c>
      <c r="W1495" s="47"/>
    </row>
    <row r="1496" spans="1:23" hidden="1">
      <c r="A1496">
        <v>3692370442</v>
      </c>
      <c r="B1496">
        <v>57240262</v>
      </c>
      <c r="C1496" s="36" t="s">
        <v>1765</v>
      </c>
      <c r="D1496" s="37">
        <v>42018.796122685184</v>
      </c>
      <c r="E1496" s="37">
        <v>42018.802766203706</v>
      </c>
      <c r="U1496">
        <v>16</v>
      </c>
      <c r="W1496" s="47"/>
    </row>
    <row r="1497" spans="1:23" hidden="1">
      <c r="A1497">
        <v>3692397056</v>
      </c>
      <c r="B1497">
        <v>57240262</v>
      </c>
      <c r="C1497" s="36" t="s">
        <v>1766</v>
      </c>
      <c r="D1497" s="37">
        <v>42018.803981481484</v>
      </c>
      <c r="E1497" s="37">
        <v>42018.807905092595</v>
      </c>
      <c r="K1497">
        <v>6</v>
      </c>
      <c r="M1497">
        <v>8</v>
      </c>
      <c r="W1497" s="47"/>
    </row>
    <row r="1498" spans="1:23" hidden="1">
      <c r="A1498">
        <v>3692542064</v>
      </c>
      <c r="B1498">
        <v>57240262</v>
      </c>
      <c r="C1498" s="36" t="s">
        <v>1767</v>
      </c>
      <c r="D1498" s="37">
        <v>42018.845729166664</v>
      </c>
      <c r="E1498" s="37">
        <v>42018.850682870368</v>
      </c>
      <c r="U1498">
        <v>16</v>
      </c>
      <c r="W1498" s="47"/>
    </row>
    <row r="1499" spans="1:23" hidden="1">
      <c r="A1499">
        <v>3692612917</v>
      </c>
      <c r="B1499">
        <v>57240262</v>
      </c>
      <c r="C1499" s="36" t="s">
        <v>2371</v>
      </c>
      <c r="D1499" s="37">
        <v>42018.866249999999</v>
      </c>
      <c r="E1499" s="37">
        <v>42018.866886574076</v>
      </c>
      <c r="W1499" s="47"/>
    </row>
    <row r="1500" spans="1:23" hidden="1">
      <c r="A1500">
        <v>3692749984</v>
      </c>
      <c r="B1500">
        <v>57240262</v>
      </c>
      <c r="C1500" s="36" t="s">
        <v>1768</v>
      </c>
      <c r="D1500" s="37">
        <v>42018.907986111109</v>
      </c>
      <c r="E1500" s="37">
        <v>42018.912175925929</v>
      </c>
      <c r="U1500">
        <v>16</v>
      </c>
      <c r="W1500" s="47"/>
    </row>
    <row r="1501" spans="1:23">
      <c r="A1501">
        <v>3692779548</v>
      </c>
      <c r="B1501">
        <v>57240262</v>
      </c>
      <c r="C1501" s="36" t="s">
        <v>1769</v>
      </c>
      <c r="D1501" s="37">
        <v>42018.917881944442</v>
      </c>
      <c r="E1501" s="37">
        <v>42018.92864583333</v>
      </c>
      <c r="F1501">
        <v>1</v>
      </c>
      <c r="G1501">
        <v>2</v>
      </c>
      <c r="K1501">
        <v>6</v>
      </c>
      <c r="O1501">
        <v>10</v>
      </c>
      <c r="P1501">
        <v>11</v>
      </c>
      <c r="V1501" s="42" t="s">
        <v>84</v>
      </c>
      <c r="W1501" s="47">
        <v>1</v>
      </c>
    </row>
    <row r="1502" spans="1:23" hidden="1">
      <c r="A1502">
        <v>3692806063</v>
      </c>
      <c r="B1502">
        <v>57240262</v>
      </c>
      <c r="C1502" s="36" t="s">
        <v>1770</v>
      </c>
      <c r="D1502" s="37">
        <v>42018.927268518521</v>
      </c>
      <c r="E1502" s="37">
        <v>42018.93041666667</v>
      </c>
      <c r="U1502">
        <v>16</v>
      </c>
      <c r="W1502" s="47"/>
    </row>
    <row r="1503" spans="1:23">
      <c r="A1503">
        <v>3692995456</v>
      </c>
      <c r="B1503">
        <v>57240262</v>
      </c>
      <c r="C1503" s="36" t="s">
        <v>1771</v>
      </c>
      <c r="D1503" s="37">
        <v>42019.005173611113</v>
      </c>
      <c r="E1503" s="37">
        <v>42019.010254629633</v>
      </c>
      <c r="F1503">
        <v>1</v>
      </c>
      <c r="G1503">
        <v>2</v>
      </c>
      <c r="K1503">
        <v>6</v>
      </c>
      <c r="O1503">
        <v>10</v>
      </c>
      <c r="V1503" s="42" t="s">
        <v>83</v>
      </c>
      <c r="W1503" s="47">
        <v>2</v>
      </c>
    </row>
    <row r="1504" spans="1:23" ht="24">
      <c r="A1504">
        <v>3693011511</v>
      </c>
      <c r="B1504">
        <v>57240262</v>
      </c>
      <c r="C1504" s="36" t="s">
        <v>1772</v>
      </c>
      <c r="D1504" s="37">
        <v>42019.012696759259</v>
      </c>
      <c r="E1504" s="37">
        <v>42019.017951388887</v>
      </c>
      <c r="G1504">
        <v>2</v>
      </c>
      <c r="O1504">
        <v>10</v>
      </c>
      <c r="R1504">
        <v>13</v>
      </c>
      <c r="S1504">
        <v>14</v>
      </c>
      <c r="V1504" s="42" t="s">
        <v>94</v>
      </c>
      <c r="W1504" s="47">
        <v>15</v>
      </c>
    </row>
    <row r="1505" spans="1:23" hidden="1">
      <c r="A1505">
        <v>3693488961</v>
      </c>
      <c r="B1505">
        <v>57240262</v>
      </c>
      <c r="C1505" s="36" t="s">
        <v>1773</v>
      </c>
      <c r="D1505" s="37">
        <v>42019.356817129628</v>
      </c>
      <c r="E1505" s="37">
        <v>42019.362627314818</v>
      </c>
      <c r="U1505">
        <v>16</v>
      </c>
      <c r="W1505" s="47"/>
    </row>
    <row r="1506" spans="1:23" hidden="1">
      <c r="A1506">
        <v>3693491249</v>
      </c>
      <c r="B1506">
        <v>57240262</v>
      </c>
      <c r="C1506" s="36" t="s">
        <v>1774</v>
      </c>
      <c r="D1506" s="37">
        <v>42019.358449074076</v>
      </c>
      <c r="E1506" s="37">
        <v>42019.366041666668</v>
      </c>
      <c r="M1506">
        <v>8</v>
      </c>
      <c r="W1506" s="47"/>
    </row>
    <row r="1507" spans="1:23" hidden="1">
      <c r="A1507">
        <v>3693584862</v>
      </c>
      <c r="B1507">
        <v>57240262</v>
      </c>
      <c r="C1507" s="36" t="s">
        <v>1775</v>
      </c>
      <c r="D1507" s="37">
        <v>42019.422638888886</v>
      </c>
      <c r="E1507" s="37">
        <v>42019.435324074075</v>
      </c>
      <c r="F1507">
        <v>1</v>
      </c>
      <c r="G1507">
        <v>2</v>
      </c>
      <c r="O1507">
        <v>10</v>
      </c>
      <c r="W1507" s="47"/>
    </row>
    <row r="1508" spans="1:23" hidden="1">
      <c r="A1508">
        <v>3693676448</v>
      </c>
      <c r="B1508">
        <v>57240262</v>
      </c>
      <c r="C1508" s="36" t="s">
        <v>1776</v>
      </c>
      <c r="D1508" s="37">
        <v>42019.479363425926</v>
      </c>
      <c r="E1508" s="37">
        <v>42019.507453703707</v>
      </c>
      <c r="F1508">
        <v>1</v>
      </c>
      <c r="G1508">
        <v>2</v>
      </c>
      <c r="H1508">
        <v>3</v>
      </c>
      <c r="J1508">
        <v>5</v>
      </c>
      <c r="K1508">
        <v>6</v>
      </c>
      <c r="M1508">
        <v>8</v>
      </c>
      <c r="O1508">
        <v>10</v>
      </c>
      <c r="W1508" s="47"/>
    </row>
    <row r="1509" spans="1:23" hidden="1">
      <c r="A1509">
        <v>3693827386</v>
      </c>
      <c r="B1509">
        <v>57240262</v>
      </c>
      <c r="C1509" s="36" t="s">
        <v>1777</v>
      </c>
      <c r="D1509" s="37">
        <v>42019.556111111109</v>
      </c>
      <c r="E1509" s="37">
        <v>42019.566134259258</v>
      </c>
      <c r="N1509">
        <v>9</v>
      </c>
      <c r="W1509" s="47"/>
    </row>
    <row r="1510" spans="1:23" hidden="1">
      <c r="A1510">
        <v>3693953633</v>
      </c>
      <c r="B1510">
        <v>57240262</v>
      </c>
      <c r="C1510" s="36" t="s">
        <v>1778</v>
      </c>
      <c r="D1510" s="37">
        <v>42019.600358796299</v>
      </c>
      <c r="E1510" s="37">
        <v>42019.604155092595</v>
      </c>
      <c r="U1510">
        <v>16</v>
      </c>
      <c r="W1510" s="47"/>
    </row>
    <row r="1511" spans="1:23" hidden="1">
      <c r="A1511">
        <v>3693965484</v>
      </c>
      <c r="B1511">
        <v>57240262</v>
      </c>
      <c r="C1511" s="36" t="s">
        <v>1779</v>
      </c>
      <c r="D1511" s="37">
        <v>42019.60429398148</v>
      </c>
      <c r="E1511" s="37">
        <v>42019.609814814816</v>
      </c>
      <c r="U1511">
        <v>16</v>
      </c>
      <c r="W1511" s="47"/>
    </row>
    <row r="1512" spans="1:23" hidden="1">
      <c r="A1512">
        <v>3693974738</v>
      </c>
      <c r="B1512">
        <v>57240262</v>
      </c>
      <c r="C1512" s="36" t="s">
        <v>1780</v>
      </c>
      <c r="D1512" s="37">
        <v>42019.607094907406</v>
      </c>
      <c r="E1512" s="37">
        <v>42019.61650462963</v>
      </c>
      <c r="I1512">
        <v>4</v>
      </c>
      <c r="W1512" s="47"/>
    </row>
    <row r="1513" spans="1:23" hidden="1">
      <c r="A1513">
        <v>3694084986</v>
      </c>
      <c r="B1513">
        <v>57240262</v>
      </c>
      <c r="C1513" s="36" t="s">
        <v>1781</v>
      </c>
      <c r="D1513" s="37">
        <v>42019.638969907406</v>
      </c>
      <c r="E1513" s="37">
        <v>42019.644988425927</v>
      </c>
      <c r="K1513">
        <v>6</v>
      </c>
      <c r="W1513" s="47"/>
    </row>
    <row r="1514" spans="1:23" hidden="1">
      <c r="A1514">
        <v>3693917329</v>
      </c>
      <c r="B1514">
        <v>57240262</v>
      </c>
      <c r="C1514" s="36" t="s">
        <v>411</v>
      </c>
      <c r="D1514" s="37">
        <v>42019.586527777778</v>
      </c>
      <c r="E1514" s="37">
        <v>42019.650358796294</v>
      </c>
      <c r="O1514">
        <v>10</v>
      </c>
      <c r="W1514" s="47"/>
    </row>
    <row r="1515" spans="1:23">
      <c r="A1515">
        <v>3694239828</v>
      </c>
      <c r="B1515">
        <v>57240262</v>
      </c>
      <c r="C1515" s="36" t="s">
        <v>1782</v>
      </c>
      <c r="D1515" s="37">
        <v>42019.681712962964</v>
      </c>
      <c r="E1515" s="37">
        <v>42019.694247685184</v>
      </c>
      <c r="F1515">
        <v>1</v>
      </c>
      <c r="G1515">
        <v>2</v>
      </c>
      <c r="H1515">
        <v>3</v>
      </c>
      <c r="V1515" s="42" t="s">
        <v>93</v>
      </c>
      <c r="W1515" s="47">
        <v>15</v>
      </c>
    </row>
    <row r="1516" spans="1:23" hidden="1">
      <c r="A1516">
        <v>3694296159</v>
      </c>
      <c r="B1516">
        <v>57240262</v>
      </c>
      <c r="C1516" s="36" t="s">
        <v>1783</v>
      </c>
      <c r="D1516" s="37">
        <v>42019.697268518517</v>
      </c>
      <c r="E1516" s="37">
        <v>42019.702141203707</v>
      </c>
      <c r="U1516">
        <v>16</v>
      </c>
      <c r="W1516" s="47"/>
    </row>
    <row r="1517" spans="1:23" hidden="1">
      <c r="A1517">
        <v>3694375998</v>
      </c>
      <c r="B1517">
        <v>57240262</v>
      </c>
      <c r="C1517" s="36" t="s">
        <v>412</v>
      </c>
      <c r="D1517" s="37">
        <v>42019.719918981478</v>
      </c>
      <c r="E1517" s="37">
        <v>42019.720983796295</v>
      </c>
      <c r="G1517">
        <v>2</v>
      </c>
      <c r="W1517" s="47"/>
    </row>
    <row r="1518" spans="1:23" hidden="1">
      <c r="A1518">
        <v>3694369192</v>
      </c>
      <c r="B1518">
        <v>57240262</v>
      </c>
      <c r="C1518" s="36" t="s">
        <v>1784</v>
      </c>
      <c r="D1518" s="37">
        <v>42019.717986111114</v>
      </c>
      <c r="E1518" s="37">
        <v>42019.722500000003</v>
      </c>
      <c r="K1518">
        <v>6</v>
      </c>
      <c r="W1518" s="47"/>
    </row>
    <row r="1519" spans="1:23" hidden="1">
      <c r="A1519">
        <v>3694475641</v>
      </c>
      <c r="B1519">
        <v>57240262</v>
      </c>
      <c r="C1519" s="36" t="s">
        <v>1785</v>
      </c>
      <c r="D1519" s="37">
        <v>42019.749525462961</v>
      </c>
      <c r="E1519" s="37">
        <v>42019.75708333333</v>
      </c>
      <c r="H1519">
        <v>3</v>
      </c>
      <c r="W1519" s="47"/>
    </row>
    <row r="1520" spans="1:23" hidden="1">
      <c r="A1520">
        <v>3694567706</v>
      </c>
      <c r="B1520">
        <v>57240262</v>
      </c>
      <c r="C1520" s="36" t="s">
        <v>1786</v>
      </c>
      <c r="D1520" s="37">
        <v>42019.778113425928</v>
      </c>
      <c r="E1520" s="37">
        <v>42019.790127314816</v>
      </c>
      <c r="G1520">
        <v>2</v>
      </c>
      <c r="M1520">
        <v>8</v>
      </c>
      <c r="P1520">
        <v>11</v>
      </c>
      <c r="W1520" s="47"/>
    </row>
    <row r="1521" spans="1:23" hidden="1">
      <c r="A1521">
        <v>3694648731</v>
      </c>
      <c r="B1521">
        <v>57240262</v>
      </c>
      <c r="C1521" s="36" t="s">
        <v>1787</v>
      </c>
      <c r="D1521" s="37">
        <v>42019.803136574075</v>
      </c>
      <c r="E1521" s="37">
        <v>42019.831122685187</v>
      </c>
      <c r="F1521">
        <v>1</v>
      </c>
      <c r="G1521">
        <v>2</v>
      </c>
      <c r="M1521">
        <v>8</v>
      </c>
      <c r="O1521">
        <v>10</v>
      </c>
      <c r="R1521">
        <v>13</v>
      </c>
      <c r="W1521" s="47"/>
    </row>
    <row r="1522" spans="1:23" hidden="1">
      <c r="A1522">
        <v>3694909498</v>
      </c>
      <c r="B1522">
        <v>57240262</v>
      </c>
      <c r="C1522" s="36" t="s">
        <v>1788</v>
      </c>
      <c r="D1522" s="37">
        <v>42019.885636574072</v>
      </c>
      <c r="E1522" s="37">
        <v>42019.888043981482</v>
      </c>
      <c r="U1522">
        <v>16</v>
      </c>
      <c r="W1522" s="47"/>
    </row>
    <row r="1523" spans="1:23" hidden="1">
      <c r="A1523">
        <v>3695048706</v>
      </c>
      <c r="B1523">
        <v>57240262</v>
      </c>
      <c r="C1523" s="36" t="s">
        <v>1789</v>
      </c>
      <c r="D1523" s="37">
        <v>42019.934814814813</v>
      </c>
      <c r="E1523" s="37">
        <v>42019.942129629628</v>
      </c>
      <c r="F1523">
        <v>1</v>
      </c>
      <c r="W1523" s="47"/>
    </row>
    <row r="1524" spans="1:23" hidden="1">
      <c r="A1524">
        <v>3695067480</v>
      </c>
      <c r="B1524">
        <v>57240262</v>
      </c>
      <c r="C1524" s="36" t="s">
        <v>1790</v>
      </c>
      <c r="D1524" s="37">
        <v>42019.942615740743</v>
      </c>
      <c r="E1524" s="37">
        <v>42019.943541666667</v>
      </c>
      <c r="I1524">
        <v>4</v>
      </c>
      <c r="O1524">
        <v>10</v>
      </c>
      <c r="W1524" s="47"/>
    </row>
    <row r="1525" spans="1:23">
      <c r="A1525">
        <v>3695707744</v>
      </c>
      <c r="B1525">
        <v>57240262</v>
      </c>
      <c r="C1525" s="36" t="s">
        <v>1791</v>
      </c>
      <c r="D1525" s="37">
        <v>42020.392997685187</v>
      </c>
      <c r="E1525" s="37">
        <v>42020.400081018517</v>
      </c>
      <c r="G1525">
        <v>2</v>
      </c>
      <c r="O1525">
        <v>10</v>
      </c>
      <c r="V1525" s="42" t="s">
        <v>92</v>
      </c>
      <c r="W1525" s="47">
        <v>2</v>
      </c>
    </row>
    <row r="1526" spans="1:23" hidden="1">
      <c r="A1526">
        <v>3695703659</v>
      </c>
      <c r="B1526">
        <v>57240262</v>
      </c>
      <c r="C1526" s="36" t="s">
        <v>413</v>
      </c>
      <c r="D1526" s="37">
        <v>42020.38821759259</v>
      </c>
      <c r="E1526" s="37">
        <v>42020.402407407404</v>
      </c>
      <c r="M1526">
        <v>8</v>
      </c>
      <c r="W1526" s="47"/>
    </row>
    <row r="1527" spans="1:23">
      <c r="A1527">
        <v>3695723831</v>
      </c>
      <c r="B1527">
        <v>57240262</v>
      </c>
      <c r="C1527" s="36" t="s">
        <v>1792</v>
      </c>
      <c r="D1527" s="37">
        <v>42020.405023148145</v>
      </c>
      <c r="E1527" s="37">
        <v>42020.413993055554</v>
      </c>
      <c r="F1527">
        <v>1</v>
      </c>
      <c r="J1527">
        <v>5</v>
      </c>
      <c r="M1527">
        <v>8</v>
      </c>
      <c r="N1527">
        <v>9</v>
      </c>
      <c r="V1527" s="42" t="s">
        <v>91</v>
      </c>
      <c r="W1527" s="47">
        <v>9</v>
      </c>
    </row>
    <row r="1528" spans="1:23" hidden="1">
      <c r="A1528">
        <v>3695909320</v>
      </c>
      <c r="B1528">
        <v>57240262</v>
      </c>
      <c r="C1528" s="36" t="s">
        <v>1793</v>
      </c>
      <c r="D1528" s="37">
        <v>42020.52412037037</v>
      </c>
      <c r="E1528" s="37">
        <v>42020.527592592596</v>
      </c>
      <c r="U1528">
        <v>16</v>
      </c>
      <c r="W1528" s="47"/>
    </row>
    <row r="1529" spans="1:23">
      <c r="A1529">
        <v>3695921537</v>
      </c>
      <c r="B1529">
        <v>57240262</v>
      </c>
      <c r="C1529" s="36" t="s">
        <v>1794</v>
      </c>
      <c r="D1529" s="37">
        <v>42020.530428240738</v>
      </c>
      <c r="E1529" s="37">
        <v>42020.537847222222</v>
      </c>
      <c r="I1529">
        <v>4</v>
      </c>
      <c r="K1529">
        <v>6</v>
      </c>
      <c r="O1529">
        <v>10</v>
      </c>
      <c r="V1529" s="42" t="s">
        <v>90</v>
      </c>
      <c r="W1529" s="47">
        <v>4</v>
      </c>
    </row>
    <row r="1530" spans="1:23" hidden="1">
      <c r="A1530">
        <v>3696167460</v>
      </c>
      <c r="B1530">
        <v>57240262</v>
      </c>
      <c r="C1530" s="36" t="s">
        <v>1795</v>
      </c>
      <c r="D1530" s="37">
        <v>42020.622523148151</v>
      </c>
      <c r="E1530" s="37">
        <v>42020.630636574075</v>
      </c>
      <c r="G1530">
        <v>2</v>
      </c>
      <c r="W1530" s="47"/>
    </row>
    <row r="1531" spans="1:23" hidden="1">
      <c r="A1531">
        <v>3696179608</v>
      </c>
      <c r="B1531">
        <v>57240262</v>
      </c>
      <c r="C1531" s="36" t="s">
        <v>1796</v>
      </c>
      <c r="D1531" s="37">
        <v>42020.625960648147</v>
      </c>
      <c r="E1531" s="37">
        <v>42020.634201388886</v>
      </c>
      <c r="Q1531">
        <v>12</v>
      </c>
      <c r="W1531" s="47"/>
    </row>
    <row r="1532" spans="1:23" hidden="1">
      <c r="A1532">
        <v>3696437088</v>
      </c>
      <c r="B1532">
        <v>57240262</v>
      </c>
      <c r="C1532" s="36" t="s">
        <v>1797</v>
      </c>
      <c r="D1532" s="37">
        <v>42020.700219907405</v>
      </c>
      <c r="E1532" s="37">
        <v>42020.706493055557</v>
      </c>
      <c r="U1532">
        <v>16</v>
      </c>
      <c r="W1532" s="47"/>
    </row>
    <row r="1533" spans="1:23" hidden="1">
      <c r="A1533">
        <v>3696445600</v>
      </c>
      <c r="B1533">
        <v>57240262</v>
      </c>
      <c r="C1533" s="36" t="s">
        <v>1798</v>
      </c>
      <c r="D1533" s="37">
        <v>42020.702199074076</v>
      </c>
      <c r="E1533" s="37">
        <v>42020.708877314813</v>
      </c>
      <c r="U1533">
        <v>16</v>
      </c>
      <c r="W1533" s="47"/>
    </row>
    <row r="1534" spans="1:23" hidden="1">
      <c r="A1534">
        <v>3696529031</v>
      </c>
      <c r="B1534">
        <v>57240262</v>
      </c>
      <c r="C1534" s="36" t="s">
        <v>1799</v>
      </c>
      <c r="D1534" s="37">
        <v>42020.728391203702</v>
      </c>
      <c r="E1534" s="37">
        <v>42020.732824074075</v>
      </c>
      <c r="U1534">
        <v>16</v>
      </c>
      <c r="W1534" s="47"/>
    </row>
    <row r="1535" spans="1:23" hidden="1">
      <c r="A1535">
        <v>3696713269</v>
      </c>
      <c r="B1535">
        <v>57240262</v>
      </c>
      <c r="C1535" s="36" t="s">
        <v>1800</v>
      </c>
      <c r="D1535" s="37">
        <v>42020.786643518521</v>
      </c>
      <c r="E1535" s="37">
        <v>42020.79179398148</v>
      </c>
      <c r="U1535">
        <v>16</v>
      </c>
      <c r="W1535" s="47"/>
    </row>
    <row r="1536" spans="1:23" hidden="1">
      <c r="A1536">
        <v>3696836217</v>
      </c>
      <c r="B1536">
        <v>57240262</v>
      </c>
      <c r="C1536" s="36" t="s">
        <v>2372</v>
      </c>
      <c r="D1536" s="37">
        <v>42020.825740740744</v>
      </c>
      <c r="E1536" s="37">
        <v>42020.827303240738</v>
      </c>
      <c r="W1536" s="47"/>
    </row>
    <row r="1537" spans="1:23">
      <c r="A1537">
        <v>3696889275</v>
      </c>
      <c r="B1537">
        <v>57240262</v>
      </c>
      <c r="C1537" s="36" t="s">
        <v>1801</v>
      </c>
      <c r="D1537" s="37">
        <v>42020.790462962963</v>
      </c>
      <c r="E1537" s="37">
        <v>42020.853402777779</v>
      </c>
      <c r="I1537">
        <v>4</v>
      </c>
      <c r="K1537">
        <v>6</v>
      </c>
      <c r="R1537">
        <v>13</v>
      </c>
      <c r="V1537" s="42" t="s">
        <v>89</v>
      </c>
      <c r="W1537" s="47">
        <v>6</v>
      </c>
    </row>
    <row r="1538" spans="1:23">
      <c r="A1538">
        <v>3696966188</v>
      </c>
      <c r="B1538">
        <v>57240262</v>
      </c>
      <c r="C1538" s="36" t="s">
        <v>1802</v>
      </c>
      <c r="D1538" s="37">
        <v>42020.866701388892</v>
      </c>
      <c r="E1538" s="37">
        <v>42020.881516203706</v>
      </c>
      <c r="U1538">
        <v>16</v>
      </c>
      <c r="V1538" s="42" t="s">
        <v>88</v>
      </c>
      <c r="W1538" s="47">
        <v>1</v>
      </c>
    </row>
    <row r="1539" spans="1:23" hidden="1">
      <c r="A1539">
        <v>3697291576</v>
      </c>
      <c r="B1539">
        <v>57240262</v>
      </c>
      <c r="C1539" s="36" t="s">
        <v>1803</v>
      </c>
      <c r="D1539" s="37">
        <v>42021.001956018517</v>
      </c>
      <c r="E1539" s="37">
        <v>42021.010891203703</v>
      </c>
      <c r="M1539">
        <v>8</v>
      </c>
      <c r="W1539" s="47"/>
    </row>
    <row r="1540" spans="1:23" hidden="1">
      <c r="A1540">
        <v>3697863799</v>
      </c>
      <c r="B1540">
        <v>57240262</v>
      </c>
      <c r="C1540" s="36" t="s">
        <v>1804</v>
      </c>
      <c r="D1540" s="37">
        <v>42021.596493055556</v>
      </c>
      <c r="E1540" s="37">
        <v>42021.605312500003</v>
      </c>
      <c r="U1540">
        <v>16</v>
      </c>
      <c r="W1540" s="47"/>
    </row>
    <row r="1541" spans="1:23" hidden="1">
      <c r="A1541">
        <v>3697914993</v>
      </c>
      <c r="B1541">
        <v>57240262</v>
      </c>
      <c r="C1541" s="36" t="s">
        <v>1805</v>
      </c>
      <c r="D1541" s="37">
        <v>42021.631249999999</v>
      </c>
      <c r="E1541" s="37">
        <v>42021.637754629628</v>
      </c>
      <c r="F1541">
        <v>1</v>
      </c>
      <c r="N1541">
        <v>9</v>
      </c>
      <c r="W1541" s="47"/>
    </row>
    <row r="1542" spans="1:23">
      <c r="A1542">
        <v>3697949152</v>
      </c>
      <c r="B1542">
        <v>57240262</v>
      </c>
      <c r="C1542" s="36" t="s">
        <v>1806</v>
      </c>
      <c r="D1542" s="37">
        <v>42021.655046296299</v>
      </c>
      <c r="E1542" s="37">
        <v>42021.660358796296</v>
      </c>
      <c r="F1542">
        <v>1</v>
      </c>
      <c r="G1542">
        <v>2</v>
      </c>
      <c r="I1542">
        <v>4</v>
      </c>
      <c r="J1542">
        <v>5</v>
      </c>
      <c r="V1542" s="42" t="s">
        <v>39</v>
      </c>
      <c r="W1542" s="47">
        <v>4</v>
      </c>
    </row>
    <row r="1543" spans="1:23" hidden="1">
      <c r="A1543">
        <v>3698016040</v>
      </c>
      <c r="B1543">
        <v>57240262</v>
      </c>
      <c r="C1543" s="36" t="s">
        <v>1807</v>
      </c>
      <c r="D1543" s="37">
        <v>42021.701863425929</v>
      </c>
      <c r="E1543" s="37">
        <v>42021.707916666666</v>
      </c>
      <c r="O1543">
        <v>10</v>
      </c>
      <c r="W1543" s="47"/>
    </row>
    <row r="1544" spans="1:23" hidden="1">
      <c r="A1544">
        <v>3698040140</v>
      </c>
      <c r="B1544">
        <v>57240262</v>
      </c>
      <c r="C1544" s="36" t="s">
        <v>1808</v>
      </c>
      <c r="D1544" s="37">
        <v>42021.71974537037</v>
      </c>
      <c r="E1544" s="37">
        <v>42021.725393518522</v>
      </c>
      <c r="U1544">
        <v>16</v>
      </c>
      <c r="W1544" s="47"/>
    </row>
    <row r="1545" spans="1:23" hidden="1">
      <c r="A1545">
        <v>3698062696</v>
      </c>
      <c r="B1545">
        <v>57240262</v>
      </c>
      <c r="C1545" s="36" t="s">
        <v>1809</v>
      </c>
      <c r="D1545" s="37">
        <v>42021.736064814817</v>
      </c>
      <c r="E1545" s="37">
        <v>42021.7419212963</v>
      </c>
      <c r="U1545">
        <v>16</v>
      </c>
      <c r="W1545" s="47"/>
    </row>
    <row r="1546" spans="1:23" hidden="1">
      <c r="A1546">
        <v>3698092659</v>
      </c>
      <c r="B1546">
        <v>57240262</v>
      </c>
      <c r="C1546" s="36" t="s">
        <v>1810</v>
      </c>
      <c r="D1546" s="37">
        <v>42021.759004629632</v>
      </c>
      <c r="E1546" s="37">
        <v>42021.761030092595</v>
      </c>
      <c r="F1546">
        <v>1</v>
      </c>
      <c r="Q1546">
        <v>12</v>
      </c>
      <c r="W1546" s="47"/>
    </row>
    <row r="1547" spans="1:23" hidden="1">
      <c r="A1547">
        <v>3698229174</v>
      </c>
      <c r="B1547">
        <v>57240262</v>
      </c>
      <c r="C1547" s="36" t="s">
        <v>1811</v>
      </c>
      <c r="D1547" s="37">
        <v>42021.875752314816</v>
      </c>
      <c r="E1547" s="37">
        <v>42021.880636574075</v>
      </c>
      <c r="U1547">
        <v>16</v>
      </c>
      <c r="W1547" s="47"/>
    </row>
    <row r="1548" spans="1:23" hidden="1">
      <c r="A1548">
        <v>3698260884</v>
      </c>
      <c r="B1548">
        <v>57240262</v>
      </c>
      <c r="C1548" s="36" t="s">
        <v>1812</v>
      </c>
      <c r="D1548" s="37">
        <v>42021.905659722222</v>
      </c>
      <c r="E1548" s="37">
        <v>42021.912719907406</v>
      </c>
      <c r="U1548">
        <v>16</v>
      </c>
      <c r="W1548" s="47"/>
    </row>
    <row r="1549" spans="1:23" hidden="1">
      <c r="A1549">
        <v>3698272159</v>
      </c>
      <c r="B1549">
        <v>57240262</v>
      </c>
      <c r="C1549" s="36" t="s">
        <v>414</v>
      </c>
      <c r="D1549" s="37">
        <v>42021.916527777779</v>
      </c>
      <c r="E1549" s="37">
        <v>42021.925219907411</v>
      </c>
      <c r="F1549">
        <v>1</v>
      </c>
      <c r="W1549" s="47"/>
    </row>
    <row r="1550" spans="1:23">
      <c r="A1550">
        <v>3698271187</v>
      </c>
      <c r="B1550">
        <v>57240262</v>
      </c>
      <c r="C1550" s="36" t="s">
        <v>1813</v>
      </c>
      <c r="D1550" s="37">
        <v>42021.915613425925</v>
      </c>
      <c r="E1550" s="37">
        <v>42021.93167824074</v>
      </c>
      <c r="G1550">
        <v>2</v>
      </c>
      <c r="K1550">
        <v>6</v>
      </c>
      <c r="M1550">
        <v>8</v>
      </c>
      <c r="R1550">
        <v>13</v>
      </c>
      <c r="V1550" s="42" t="s">
        <v>31</v>
      </c>
      <c r="W1550" s="47">
        <v>2</v>
      </c>
    </row>
    <row r="1551" spans="1:23">
      <c r="A1551">
        <v>3698598016</v>
      </c>
      <c r="B1551">
        <v>57240262</v>
      </c>
      <c r="C1551" s="36" t="s">
        <v>1814</v>
      </c>
      <c r="D1551" s="37">
        <v>42022.398726851854</v>
      </c>
      <c r="E1551" s="37">
        <v>42022.406006944446</v>
      </c>
      <c r="K1551">
        <v>6</v>
      </c>
      <c r="M1551">
        <v>8</v>
      </c>
      <c r="O1551">
        <v>10</v>
      </c>
      <c r="Q1551">
        <v>12</v>
      </c>
      <c r="V1551" s="42" t="s">
        <v>34</v>
      </c>
      <c r="W1551" s="47">
        <v>6</v>
      </c>
    </row>
    <row r="1552" spans="1:23" ht="24">
      <c r="A1552">
        <v>3698603759</v>
      </c>
      <c r="B1552">
        <v>57240262</v>
      </c>
      <c r="C1552" s="36" t="s">
        <v>1815</v>
      </c>
      <c r="D1552" s="37">
        <v>42022.40730324074</v>
      </c>
      <c r="E1552" s="37">
        <v>42022.413634259261</v>
      </c>
      <c r="G1552">
        <v>2</v>
      </c>
      <c r="K1552">
        <v>6</v>
      </c>
      <c r="M1552">
        <v>8</v>
      </c>
      <c r="O1552">
        <v>10</v>
      </c>
      <c r="Q1552">
        <v>12</v>
      </c>
      <c r="V1552" s="42" t="s">
        <v>87</v>
      </c>
      <c r="W1552" s="47">
        <v>2</v>
      </c>
    </row>
    <row r="1553" spans="1:23" hidden="1">
      <c r="A1553">
        <v>3698607742</v>
      </c>
      <c r="B1553">
        <v>57240262</v>
      </c>
      <c r="C1553" s="36" t="s">
        <v>1816</v>
      </c>
      <c r="D1553" s="37">
        <v>42022.413136574076</v>
      </c>
      <c r="E1553" s="37">
        <v>42022.418356481481</v>
      </c>
      <c r="H1553">
        <v>3</v>
      </c>
      <c r="I1553">
        <v>4</v>
      </c>
      <c r="P1553">
        <v>11</v>
      </c>
      <c r="Q1553">
        <v>12</v>
      </c>
      <c r="W1553" s="47"/>
    </row>
    <row r="1554" spans="1:23" hidden="1">
      <c r="A1554">
        <v>3698600730</v>
      </c>
      <c r="B1554">
        <v>57240262</v>
      </c>
      <c r="C1554" s="36" t="s">
        <v>415</v>
      </c>
      <c r="D1554" s="37">
        <v>42022.40185185185</v>
      </c>
      <c r="E1554" s="37">
        <v>42022.425243055557</v>
      </c>
      <c r="H1554">
        <v>3</v>
      </c>
      <c r="W1554" s="47"/>
    </row>
    <row r="1555" spans="1:23" hidden="1">
      <c r="A1555">
        <v>3698636322</v>
      </c>
      <c r="B1555">
        <v>57240262</v>
      </c>
      <c r="C1555" s="36" t="s">
        <v>1817</v>
      </c>
      <c r="D1555" s="37">
        <v>42022.453923611109</v>
      </c>
      <c r="E1555" s="37">
        <v>42022.472928240742</v>
      </c>
      <c r="U1555">
        <v>16</v>
      </c>
      <c r="W1555" s="47"/>
    </row>
    <row r="1556" spans="1:23" ht="14">
      <c r="A1556">
        <v>3698643084</v>
      </c>
      <c r="B1556">
        <v>57240262</v>
      </c>
      <c r="C1556" s="36" t="s">
        <v>1818</v>
      </c>
      <c r="D1556" s="37">
        <v>42022.464120370372</v>
      </c>
      <c r="E1556" s="37">
        <v>42022.474432870367</v>
      </c>
      <c r="G1556">
        <v>2</v>
      </c>
      <c r="M1556">
        <v>8</v>
      </c>
      <c r="S1556">
        <v>14</v>
      </c>
      <c r="V1556" s="73" t="s">
        <v>3563</v>
      </c>
      <c r="W1556" s="47">
        <v>2</v>
      </c>
    </row>
    <row r="1557" spans="1:23" hidden="1">
      <c r="A1557">
        <v>3698672850</v>
      </c>
      <c r="B1557">
        <v>57240262</v>
      </c>
      <c r="C1557" s="36" t="s">
        <v>1819</v>
      </c>
      <c r="D1557" s="37">
        <v>42022.504583333335</v>
      </c>
      <c r="E1557" s="37">
        <v>42022.508680555555</v>
      </c>
      <c r="P1557">
        <v>11</v>
      </c>
      <c r="W1557" s="47"/>
    </row>
    <row r="1558" spans="1:23" hidden="1">
      <c r="A1558">
        <v>3698676075</v>
      </c>
      <c r="B1558">
        <v>57240262</v>
      </c>
      <c r="C1558" s="36" t="s">
        <v>1820</v>
      </c>
      <c r="D1558" s="37">
        <v>42022.509722222225</v>
      </c>
      <c r="E1558" s="37">
        <v>42022.518645833334</v>
      </c>
      <c r="U1558">
        <v>16</v>
      </c>
      <c r="W1558" s="47"/>
    </row>
    <row r="1559" spans="1:23" hidden="1">
      <c r="A1559">
        <v>3698681840</v>
      </c>
      <c r="B1559">
        <v>57240262</v>
      </c>
      <c r="C1559" s="36" t="s">
        <v>1821</v>
      </c>
      <c r="D1559" s="37">
        <v>42022.517118055555</v>
      </c>
      <c r="E1559" s="37">
        <v>42022.520370370374</v>
      </c>
      <c r="F1559">
        <v>1</v>
      </c>
      <c r="K1559">
        <v>6</v>
      </c>
      <c r="W1559" s="47"/>
    </row>
    <row r="1560" spans="1:23" hidden="1">
      <c r="A1560">
        <v>3698800278</v>
      </c>
      <c r="B1560">
        <v>57240262</v>
      </c>
      <c r="C1560" s="36" t="s">
        <v>1822</v>
      </c>
      <c r="D1560" s="37">
        <v>42022.647997685184</v>
      </c>
      <c r="E1560" s="37">
        <v>42022.65252314815</v>
      </c>
      <c r="U1560">
        <v>16</v>
      </c>
      <c r="W1560" s="47"/>
    </row>
    <row r="1561" spans="1:23" ht="24">
      <c r="A1561">
        <v>3698809615</v>
      </c>
      <c r="B1561">
        <v>57240262</v>
      </c>
      <c r="C1561" s="36" t="s">
        <v>1823</v>
      </c>
      <c r="D1561" s="37">
        <v>42022.657546296294</v>
      </c>
      <c r="E1561" s="37">
        <v>42022.674375000002</v>
      </c>
      <c r="H1561">
        <v>3</v>
      </c>
      <c r="Q1561">
        <v>12</v>
      </c>
      <c r="V1561" s="42" t="s">
        <v>86</v>
      </c>
      <c r="W1561" s="47">
        <v>3</v>
      </c>
    </row>
    <row r="1562" spans="1:23" hidden="1">
      <c r="A1562">
        <v>3698915464</v>
      </c>
      <c r="B1562">
        <v>57240262</v>
      </c>
      <c r="C1562" s="36" t="s">
        <v>1824</v>
      </c>
      <c r="D1562" s="37">
        <v>42022.760821759257</v>
      </c>
      <c r="E1562" s="37">
        <v>42022.768657407411</v>
      </c>
      <c r="U1562">
        <v>16</v>
      </c>
      <c r="W1562" s="47"/>
    </row>
    <row r="1563" spans="1:23" hidden="1">
      <c r="A1563">
        <v>3699036964</v>
      </c>
      <c r="B1563">
        <v>57240262</v>
      </c>
      <c r="C1563" s="36" t="s">
        <v>1825</v>
      </c>
      <c r="D1563" s="37">
        <v>42022.872916666667</v>
      </c>
      <c r="E1563" s="37">
        <v>42022.882233796299</v>
      </c>
      <c r="O1563">
        <v>10</v>
      </c>
      <c r="W1563" s="47"/>
    </row>
    <row r="1564" spans="1:23" hidden="1">
      <c r="A1564">
        <v>3699094467</v>
      </c>
      <c r="B1564">
        <v>57240262</v>
      </c>
      <c r="C1564" s="36" t="s">
        <v>1826</v>
      </c>
      <c r="D1564" s="37">
        <v>42022.926817129628</v>
      </c>
      <c r="E1564" s="37">
        <v>42022.929965277777</v>
      </c>
      <c r="U1564">
        <v>16</v>
      </c>
      <c r="W1564" s="47"/>
    </row>
    <row r="1565" spans="1:23" ht="14">
      <c r="A1565">
        <v>3699502094</v>
      </c>
      <c r="B1565">
        <v>57240262</v>
      </c>
      <c r="C1565" s="36" t="s">
        <v>1827</v>
      </c>
      <c r="D1565" s="37">
        <v>42023.334143518521</v>
      </c>
      <c r="E1565" s="37">
        <v>42023.345219907409</v>
      </c>
      <c r="F1565">
        <v>1</v>
      </c>
      <c r="G1565">
        <v>2</v>
      </c>
      <c r="V1565" s="73" t="s">
        <v>3563</v>
      </c>
      <c r="W1565" s="47">
        <v>2</v>
      </c>
    </row>
    <row r="1566" spans="1:23" hidden="1">
      <c r="A1566">
        <v>3699550547</v>
      </c>
      <c r="B1566">
        <v>57240262</v>
      </c>
      <c r="C1566" s="36" t="s">
        <v>1828</v>
      </c>
      <c r="D1566" s="37">
        <v>42023.37363425926</v>
      </c>
      <c r="E1566" s="37">
        <v>42023.377430555556</v>
      </c>
      <c r="M1566">
        <v>8</v>
      </c>
      <c r="W1566" s="47"/>
    </row>
    <row r="1567" spans="1:23" hidden="1">
      <c r="A1567">
        <v>3699559491</v>
      </c>
      <c r="B1567">
        <v>57240262</v>
      </c>
      <c r="C1567" s="36" t="s">
        <v>2373</v>
      </c>
      <c r="D1567" s="37">
        <v>42023.379571759258</v>
      </c>
      <c r="E1567" s="37">
        <v>42023.380543981482</v>
      </c>
      <c r="W1567" s="47"/>
    </row>
    <row r="1568" spans="1:23" hidden="1">
      <c r="A1568">
        <v>3700148861</v>
      </c>
      <c r="B1568">
        <v>57240262</v>
      </c>
      <c r="C1568" s="36" t="s">
        <v>1829</v>
      </c>
      <c r="D1568" s="37">
        <v>42023.664050925923</v>
      </c>
      <c r="E1568" s="37">
        <v>42023.667384259257</v>
      </c>
      <c r="N1568">
        <v>9</v>
      </c>
      <c r="W1568" s="47"/>
    </row>
    <row r="1569" spans="1:23" hidden="1">
      <c r="A1569">
        <v>3700492720</v>
      </c>
      <c r="B1569">
        <v>57240262</v>
      </c>
      <c r="C1569" s="36" t="s">
        <v>1830</v>
      </c>
      <c r="D1569" s="37">
        <v>42023.754803240743</v>
      </c>
      <c r="E1569" s="37">
        <v>42023.758206018516</v>
      </c>
      <c r="K1569">
        <v>6</v>
      </c>
      <c r="W1569" s="47"/>
    </row>
    <row r="1570" spans="1:23" hidden="1">
      <c r="A1570">
        <v>3700900555</v>
      </c>
      <c r="B1570">
        <v>57240262</v>
      </c>
      <c r="C1570" s="36" t="s">
        <v>1831</v>
      </c>
      <c r="D1570" s="37">
        <v>42023.884768518517</v>
      </c>
      <c r="E1570" s="37">
        <v>42023.896805555552</v>
      </c>
      <c r="U1570">
        <v>16</v>
      </c>
      <c r="W1570" s="47"/>
    </row>
    <row r="1571" spans="1:23" hidden="1">
      <c r="A1571">
        <v>3700971897</v>
      </c>
      <c r="B1571">
        <v>57240262</v>
      </c>
      <c r="C1571" s="36" t="s">
        <v>1832</v>
      </c>
      <c r="D1571" s="37">
        <v>42023.909837962965</v>
      </c>
      <c r="E1571" s="37">
        <v>42023.913124999999</v>
      </c>
      <c r="J1571">
        <v>5</v>
      </c>
      <c r="W1571" s="47"/>
    </row>
    <row r="1572" spans="1:23" hidden="1">
      <c r="A1572">
        <v>3701818089</v>
      </c>
      <c r="B1572">
        <v>57240262</v>
      </c>
      <c r="C1572" s="36" t="s">
        <v>1833</v>
      </c>
      <c r="D1572" s="37">
        <v>42024.380972222221</v>
      </c>
      <c r="E1572" s="37">
        <v>42024.386284722219</v>
      </c>
      <c r="G1572">
        <v>2</v>
      </c>
      <c r="J1572">
        <v>5</v>
      </c>
      <c r="N1572">
        <v>9</v>
      </c>
      <c r="R1572">
        <v>13</v>
      </c>
      <c r="W1572" s="47"/>
    </row>
    <row r="1573" spans="1:23" hidden="1">
      <c r="A1573">
        <v>3701884256</v>
      </c>
      <c r="B1573">
        <v>57240262</v>
      </c>
      <c r="C1573" s="36" t="s">
        <v>1834</v>
      </c>
      <c r="D1573" s="37">
        <v>42024.414837962962</v>
      </c>
      <c r="E1573" s="37">
        <v>42024.422719907408</v>
      </c>
      <c r="K1573">
        <v>6</v>
      </c>
      <c r="W1573" s="47"/>
    </row>
    <row r="1574" spans="1:23" hidden="1">
      <c r="A1574">
        <v>3701888965</v>
      </c>
      <c r="B1574">
        <v>57240262</v>
      </c>
      <c r="C1574" s="36" t="s">
        <v>2374</v>
      </c>
      <c r="D1574" s="37">
        <v>42024.417442129627</v>
      </c>
      <c r="E1574" s="37">
        <v>42024.427187499998</v>
      </c>
      <c r="W1574" s="47"/>
    </row>
    <row r="1575" spans="1:23">
      <c r="A1575">
        <v>3701907230</v>
      </c>
      <c r="B1575">
        <v>57240262</v>
      </c>
      <c r="C1575" s="36" t="s">
        <v>1835</v>
      </c>
      <c r="D1575" s="37">
        <v>42024.424571759257</v>
      </c>
      <c r="E1575" s="37">
        <v>42024.442106481481</v>
      </c>
      <c r="I1575">
        <v>4</v>
      </c>
      <c r="K1575">
        <v>6</v>
      </c>
      <c r="M1575">
        <v>8</v>
      </c>
      <c r="V1575" s="42" t="s">
        <v>85</v>
      </c>
      <c r="W1575" s="47">
        <v>8</v>
      </c>
    </row>
    <row r="1576" spans="1:23">
      <c r="A1576">
        <v>3701963373</v>
      </c>
      <c r="B1576">
        <v>57240262</v>
      </c>
      <c r="C1576" s="36" t="s">
        <v>1836</v>
      </c>
      <c r="D1576" s="37">
        <v>42024.452523148146</v>
      </c>
      <c r="E1576" s="37">
        <v>42024.464606481481</v>
      </c>
      <c r="F1576">
        <v>1</v>
      </c>
      <c r="P1576">
        <v>11</v>
      </c>
      <c r="V1576" s="42" t="s">
        <v>84</v>
      </c>
      <c r="W1576" s="47">
        <v>1</v>
      </c>
    </row>
    <row r="1577" spans="1:23" hidden="1">
      <c r="A1577">
        <v>3702067688</v>
      </c>
      <c r="B1577">
        <v>57240262</v>
      </c>
      <c r="C1577" s="36" t="s">
        <v>1837</v>
      </c>
      <c r="D1577" s="37">
        <v>42024.498981481483</v>
      </c>
      <c r="E1577" s="37">
        <v>42024.50503472222</v>
      </c>
      <c r="U1577">
        <v>16</v>
      </c>
      <c r="W1577" s="47"/>
    </row>
    <row r="1578" spans="1:23" hidden="1">
      <c r="A1578">
        <v>3702250079</v>
      </c>
      <c r="B1578">
        <v>57240262</v>
      </c>
      <c r="C1578" s="36" t="s">
        <v>1838</v>
      </c>
      <c r="D1578" s="37">
        <v>42024.564872685187</v>
      </c>
      <c r="E1578" s="37">
        <v>42024.568541666667</v>
      </c>
      <c r="O1578">
        <v>10</v>
      </c>
      <c r="W1578" s="47"/>
    </row>
    <row r="1579" spans="1:23" hidden="1">
      <c r="A1579">
        <v>3702249670</v>
      </c>
      <c r="B1579">
        <v>57240262</v>
      </c>
      <c r="C1579" s="36" t="s">
        <v>416</v>
      </c>
      <c r="D1579" s="37">
        <v>42024.56449074074</v>
      </c>
      <c r="E1579" s="37">
        <v>42024.572546296295</v>
      </c>
      <c r="U1579">
        <v>16</v>
      </c>
      <c r="W1579" s="47"/>
    </row>
    <row r="1580" spans="1:23" hidden="1">
      <c r="A1580">
        <v>3702276758</v>
      </c>
      <c r="B1580">
        <v>57240262</v>
      </c>
      <c r="C1580" s="36" t="s">
        <v>1839</v>
      </c>
      <c r="D1580" s="37">
        <v>42024.572754629633</v>
      </c>
      <c r="E1580" s="37">
        <v>42024.575752314813</v>
      </c>
      <c r="U1580">
        <v>16</v>
      </c>
      <c r="W1580" s="47"/>
    </row>
    <row r="1581" spans="1:23" hidden="1">
      <c r="A1581">
        <v>3702276599</v>
      </c>
      <c r="B1581">
        <v>57240262</v>
      </c>
      <c r="C1581" s="36" t="s">
        <v>530</v>
      </c>
      <c r="D1581" s="37">
        <v>42024.572743055556</v>
      </c>
      <c r="E1581" s="37">
        <v>42024.578182870369</v>
      </c>
      <c r="L1581">
        <v>7</v>
      </c>
      <c r="O1581">
        <v>10</v>
      </c>
      <c r="Q1581">
        <v>12</v>
      </c>
      <c r="W1581" s="47"/>
    </row>
    <row r="1582" spans="1:23" hidden="1">
      <c r="A1582">
        <v>3702499975</v>
      </c>
      <c r="B1582">
        <v>57240262</v>
      </c>
      <c r="C1582" s="36" t="s">
        <v>1840</v>
      </c>
      <c r="D1582" s="37">
        <v>42024.630486111113</v>
      </c>
      <c r="E1582" s="37">
        <v>42024.631736111114</v>
      </c>
      <c r="U1582">
        <v>16</v>
      </c>
      <c r="W1582" s="47"/>
    </row>
    <row r="1583" spans="1:23" hidden="1">
      <c r="A1583">
        <v>3702569702</v>
      </c>
      <c r="B1583">
        <v>57240262</v>
      </c>
      <c r="C1583" s="36" t="s">
        <v>1841</v>
      </c>
      <c r="D1583" s="37">
        <v>42024.647083333337</v>
      </c>
      <c r="E1583" s="37">
        <v>42024.651307870372</v>
      </c>
      <c r="J1583">
        <v>5</v>
      </c>
      <c r="W1583" s="47"/>
    </row>
    <row r="1584" spans="1:23" hidden="1">
      <c r="A1584">
        <v>3702832169</v>
      </c>
      <c r="B1584">
        <v>57240262</v>
      </c>
      <c r="C1584" s="36" t="s">
        <v>1842</v>
      </c>
      <c r="D1584" s="37">
        <v>42024.703576388885</v>
      </c>
      <c r="E1584" s="37">
        <v>42024.705775462964</v>
      </c>
      <c r="U1584">
        <v>16</v>
      </c>
      <c r="W1584" s="47"/>
    </row>
    <row r="1585" spans="1:23">
      <c r="A1585">
        <v>3703448311</v>
      </c>
      <c r="B1585">
        <v>57240262</v>
      </c>
      <c r="C1585" s="36" t="s">
        <v>1843</v>
      </c>
      <c r="D1585" s="37">
        <v>42024.854525462964</v>
      </c>
      <c r="E1585" s="37">
        <v>42024.859583333331</v>
      </c>
      <c r="F1585">
        <v>1</v>
      </c>
      <c r="K1585">
        <v>6</v>
      </c>
      <c r="N1585">
        <v>9</v>
      </c>
      <c r="V1585" s="42" t="s">
        <v>28</v>
      </c>
      <c r="W1585" s="47">
        <v>1</v>
      </c>
    </row>
    <row r="1586" spans="1:23">
      <c r="A1586">
        <v>3703663618</v>
      </c>
      <c r="B1586">
        <v>57240262</v>
      </c>
      <c r="C1586" s="36" t="s">
        <v>1844</v>
      </c>
      <c r="D1586" s="37">
        <v>42024.91265046296</v>
      </c>
      <c r="E1586" s="37">
        <v>42024.920578703706</v>
      </c>
      <c r="G1586">
        <v>2</v>
      </c>
      <c r="K1586">
        <v>6</v>
      </c>
      <c r="O1586">
        <v>10</v>
      </c>
      <c r="P1586">
        <v>11</v>
      </c>
      <c r="Q1586">
        <v>12</v>
      </c>
      <c r="V1586" s="42" t="s">
        <v>79</v>
      </c>
      <c r="W1586" s="47">
        <v>11</v>
      </c>
    </row>
    <row r="1587" spans="1:23">
      <c r="A1587">
        <v>3703975635</v>
      </c>
      <c r="B1587">
        <v>57240262</v>
      </c>
      <c r="C1587" s="36" t="s">
        <v>1845</v>
      </c>
      <c r="D1587" s="37">
        <v>42025.023460648146</v>
      </c>
      <c r="E1587" s="37">
        <v>42025.029872685183</v>
      </c>
      <c r="G1587">
        <v>2</v>
      </c>
      <c r="O1587">
        <v>10</v>
      </c>
      <c r="V1587" s="42" t="s">
        <v>83</v>
      </c>
      <c r="W1587" s="47">
        <v>2</v>
      </c>
    </row>
    <row r="1588" spans="1:23">
      <c r="A1588">
        <v>3704554491</v>
      </c>
      <c r="B1588">
        <v>57240262</v>
      </c>
      <c r="C1588" s="36" t="s">
        <v>1846</v>
      </c>
      <c r="D1588" s="37">
        <v>42025.335659722223</v>
      </c>
      <c r="E1588" s="37">
        <v>42025.344849537039</v>
      </c>
      <c r="G1588">
        <v>2</v>
      </c>
      <c r="H1588">
        <v>3</v>
      </c>
      <c r="V1588" s="42" t="s">
        <v>30</v>
      </c>
      <c r="W1588" s="47">
        <v>2</v>
      </c>
    </row>
    <row r="1589" spans="1:23" hidden="1">
      <c r="A1589">
        <v>3704657087</v>
      </c>
      <c r="B1589">
        <v>57240262</v>
      </c>
      <c r="C1589" s="36" t="s">
        <v>419</v>
      </c>
      <c r="D1589" s="37">
        <v>42025.394131944442</v>
      </c>
      <c r="E1589" s="37">
        <v>42025.399201388886</v>
      </c>
      <c r="F1589">
        <v>1</v>
      </c>
      <c r="G1589">
        <v>2</v>
      </c>
      <c r="H1589">
        <v>3</v>
      </c>
      <c r="I1589">
        <v>4</v>
      </c>
      <c r="J1589">
        <v>5</v>
      </c>
      <c r="K1589">
        <v>6</v>
      </c>
      <c r="L1589">
        <v>7</v>
      </c>
      <c r="M1589">
        <v>8</v>
      </c>
      <c r="N1589">
        <v>9</v>
      </c>
      <c r="O1589">
        <v>10</v>
      </c>
      <c r="P1589">
        <v>11</v>
      </c>
      <c r="Q1589">
        <v>12</v>
      </c>
      <c r="R1589">
        <v>13</v>
      </c>
      <c r="S1589">
        <v>14</v>
      </c>
      <c r="W1589" s="47"/>
    </row>
    <row r="1590" spans="1:23" hidden="1">
      <c r="A1590">
        <v>3704626438</v>
      </c>
      <c r="B1590">
        <v>57240262</v>
      </c>
      <c r="C1590" s="36" t="s">
        <v>1847</v>
      </c>
      <c r="D1590" s="37">
        <v>42025.377685185187</v>
      </c>
      <c r="E1590" s="37">
        <v>42025.412812499999</v>
      </c>
      <c r="U1590">
        <v>16</v>
      </c>
      <c r="W1590" s="47"/>
    </row>
    <row r="1591" spans="1:23">
      <c r="A1591">
        <v>3704774455</v>
      </c>
      <c r="B1591">
        <v>57240262</v>
      </c>
      <c r="C1591" s="36" t="s">
        <v>420</v>
      </c>
      <c r="D1591" s="37">
        <v>42025.449907407405</v>
      </c>
      <c r="E1591" s="37">
        <v>42025.463159722225</v>
      </c>
      <c r="F1591">
        <v>1</v>
      </c>
      <c r="I1591">
        <v>4</v>
      </c>
      <c r="K1591">
        <v>6</v>
      </c>
      <c r="N1591">
        <v>9</v>
      </c>
      <c r="O1591">
        <v>10</v>
      </c>
      <c r="P1591">
        <v>11</v>
      </c>
      <c r="Q1591">
        <v>12</v>
      </c>
      <c r="V1591" s="42" t="s">
        <v>79</v>
      </c>
      <c r="W1591" s="47">
        <v>11</v>
      </c>
    </row>
    <row r="1592" spans="1:23" hidden="1">
      <c r="A1592">
        <v>3704797637</v>
      </c>
      <c r="B1592">
        <v>57240262</v>
      </c>
      <c r="C1592" s="36" t="s">
        <v>1848</v>
      </c>
      <c r="D1592" s="37">
        <v>42025.464178240742</v>
      </c>
      <c r="E1592" s="37">
        <v>42025.46979166667</v>
      </c>
      <c r="K1592">
        <v>6</v>
      </c>
      <c r="W1592" s="47"/>
    </row>
    <row r="1593" spans="1:23" hidden="1">
      <c r="A1593">
        <v>3704801310</v>
      </c>
      <c r="B1593">
        <v>57240262</v>
      </c>
      <c r="C1593" s="36" t="s">
        <v>1849</v>
      </c>
      <c r="D1593" s="37">
        <v>42025.465787037036</v>
      </c>
      <c r="E1593" s="37">
        <v>42025.47079861111</v>
      </c>
      <c r="J1593">
        <v>5</v>
      </c>
      <c r="W1593" s="47"/>
    </row>
    <row r="1594" spans="1:23" hidden="1">
      <c r="A1594">
        <v>3704851229</v>
      </c>
      <c r="B1594">
        <v>57240262</v>
      </c>
      <c r="C1594" s="36" t="s">
        <v>1850</v>
      </c>
      <c r="D1594" s="37">
        <v>42025.487638888888</v>
      </c>
      <c r="E1594" s="37">
        <v>42025.495011574072</v>
      </c>
      <c r="F1594">
        <v>1</v>
      </c>
      <c r="K1594">
        <v>6</v>
      </c>
      <c r="M1594">
        <v>8</v>
      </c>
      <c r="W1594" s="47"/>
    </row>
    <row r="1595" spans="1:23" hidden="1">
      <c r="A1595">
        <v>3704935739</v>
      </c>
      <c r="B1595">
        <v>57240262</v>
      </c>
      <c r="C1595" s="36" t="s">
        <v>2375</v>
      </c>
      <c r="D1595" s="37">
        <v>42025.520555555559</v>
      </c>
      <c r="E1595" s="37">
        <v>42025.521574074075</v>
      </c>
      <c r="W1595" s="47"/>
    </row>
    <row r="1596" spans="1:23" hidden="1">
      <c r="A1596">
        <v>3704950670</v>
      </c>
      <c r="B1596">
        <v>57240262</v>
      </c>
      <c r="C1596" s="36" t="s">
        <v>2376</v>
      </c>
      <c r="D1596" s="37">
        <v>42025.526307870372</v>
      </c>
      <c r="E1596" s="37">
        <v>42025.526967592596</v>
      </c>
      <c r="W1596" s="47"/>
    </row>
    <row r="1597" spans="1:23" hidden="1">
      <c r="A1597">
        <v>3705169916</v>
      </c>
      <c r="B1597">
        <v>57240262</v>
      </c>
      <c r="C1597" s="36" t="s">
        <v>2377</v>
      </c>
      <c r="D1597" s="37">
        <v>42025.589907407404</v>
      </c>
      <c r="E1597" s="37">
        <v>42025.590763888889</v>
      </c>
      <c r="W1597" s="47"/>
    </row>
    <row r="1598" spans="1:23" hidden="1">
      <c r="A1598">
        <v>3705775963</v>
      </c>
      <c r="B1598">
        <v>57240262</v>
      </c>
      <c r="C1598" s="36" t="s">
        <v>1851</v>
      </c>
      <c r="D1598" s="37">
        <v>42025.722534722219</v>
      </c>
      <c r="E1598" s="37">
        <v>42025.729733796295</v>
      </c>
      <c r="F1598">
        <v>1</v>
      </c>
      <c r="W1598" s="47"/>
    </row>
    <row r="1599" spans="1:23" hidden="1">
      <c r="A1599">
        <v>3705925947</v>
      </c>
      <c r="B1599">
        <v>57240262</v>
      </c>
      <c r="C1599" s="36" t="s">
        <v>1852</v>
      </c>
      <c r="D1599" s="37">
        <v>42025.756597222222</v>
      </c>
      <c r="E1599" s="37">
        <v>42025.761307870373</v>
      </c>
      <c r="U1599">
        <v>16</v>
      </c>
      <c r="W1599" s="47"/>
    </row>
    <row r="1600" spans="1:23">
      <c r="A1600">
        <v>3705972641</v>
      </c>
      <c r="B1600">
        <v>57240262</v>
      </c>
      <c r="C1600" s="36" t="s">
        <v>1853</v>
      </c>
      <c r="D1600" s="37">
        <v>42025.768020833333</v>
      </c>
      <c r="E1600" s="37">
        <v>42025.775787037041</v>
      </c>
      <c r="K1600">
        <v>6</v>
      </c>
      <c r="Q1600">
        <v>12</v>
      </c>
      <c r="V1600" s="42" t="s">
        <v>81</v>
      </c>
      <c r="W1600" s="47">
        <v>6</v>
      </c>
    </row>
    <row r="1601" spans="1:23" hidden="1">
      <c r="A1601">
        <v>3706148219</v>
      </c>
      <c r="B1601">
        <v>57240262</v>
      </c>
      <c r="C1601" s="36" t="s">
        <v>1854</v>
      </c>
      <c r="D1601" s="37">
        <v>42025.809907407405</v>
      </c>
      <c r="E1601" s="37">
        <v>42025.812083333331</v>
      </c>
      <c r="U1601">
        <v>16</v>
      </c>
      <c r="W1601" s="47"/>
    </row>
    <row r="1602" spans="1:23" ht="24">
      <c r="A1602">
        <v>3705948020</v>
      </c>
      <c r="B1602">
        <v>57240262</v>
      </c>
      <c r="C1602" s="36" t="s">
        <v>421</v>
      </c>
      <c r="D1602" s="37">
        <v>42025.760775462964</v>
      </c>
      <c r="E1602" s="37">
        <v>42025.814687500002</v>
      </c>
      <c r="F1602">
        <v>1</v>
      </c>
      <c r="G1602">
        <v>2</v>
      </c>
      <c r="O1602">
        <v>10</v>
      </c>
      <c r="V1602" s="42" t="s">
        <v>82</v>
      </c>
      <c r="W1602" s="47">
        <v>10</v>
      </c>
    </row>
    <row r="1603" spans="1:23" hidden="1">
      <c r="A1603">
        <v>3706405717</v>
      </c>
      <c r="B1603">
        <v>57240262</v>
      </c>
      <c r="C1603" s="36" t="s">
        <v>1855</v>
      </c>
      <c r="D1603" s="37">
        <v>42025.874398148146</v>
      </c>
      <c r="E1603" s="37">
        <v>42025.87777777778</v>
      </c>
      <c r="U1603">
        <v>16</v>
      </c>
      <c r="W1603" s="47"/>
    </row>
    <row r="1604" spans="1:23" ht="24">
      <c r="A1604">
        <v>3706415347</v>
      </c>
      <c r="B1604">
        <v>57240262</v>
      </c>
      <c r="C1604" s="36" t="s">
        <v>1856</v>
      </c>
      <c r="D1604" s="37">
        <v>42025.875671296293</v>
      </c>
      <c r="E1604" s="37">
        <v>42025.887025462966</v>
      </c>
      <c r="G1604">
        <v>2</v>
      </c>
      <c r="J1604">
        <v>5</v>
      </c>
      <c r="O1604">
        <v>10</v>
      </c>
      <c r="P1604">
        <v>11</v>
      </c>
      <c r="V1604" s="42" t="s">
        <v>80</v>
      </c>
      <c r="W1604" s="47">
        <v>10</v>
      </c>
    </row>
    <row r="1605" spans="1:23">
      <c r="A1605">
        <v>3706465426</v>
      </c>
      <c r="B1605">
        <v>57240262</v>
      </c>
      <c r="C1605" s="36" t="s">
        <v>1857</v>
      </c>
      <c r="D1605" s="37">
        <v>42025.88894675926</v>
      </c>
      <c r="E1605" s="37">
        <v>42025.89738425926</v>
      </c>
      <c r="K1605">
        <v>6</v>
      </c>
      <c r="M1605">
        <v>8</v>
      </c>
      <c r="V1605" s="42" t="s">
        <v>9</v>
      </c>
      <c r="W1605" s="47">
        <v>6</v>
      </c>
    </row>
    <row r="1606" spans="1:23">
      <c r="A1606">
        <v>3706603255</v>
      </c>
      <c r="B1606">
        <v>57240262</v>
      </c>
      <c r="C1606" s="36" t="s">
        <v>1858</v>
      </c>
      <c r="D1606" s="37">
        <v>42025.926377314812</v>
      </c>
      <c r="E1606" s="37">
        <v>42025.935023148151</v>
      </c>
      <c r="F1606">
        <v>1</v>
      </c>
      <c r="G1606">
        <v>2</v>
      </c>
      <c r="H1606">
        <v>3</v>
      </c>
      <c r="K1606">
        <v>6</v>
      </c>
      <c r="O1606">
        <v>10</v>
      </c>
      <c r="P1606">
        <v>11</v>
      </c>
      <c r="Q1606">
        <v>12</v>
      </c>
      <c r="R1606">
        <v>13</v>
      </c>
      <c r="V1606" s="42" t="s">
        <v>30</v>
      </c>
      <c r="W1606" s="47">
        <v>2</v>
      </c>
    </row>
    <row r="1607" spans="1:23" hidden="1">
      <c r="A1607">
        <v>3706644644</v>
      </c>
      <c r="B1607">
        <v>57240262</v>
      </c>
      <c r="C1607" s="36" t="s">
        <v>422</v>
      </c>
      <c r="D1607" s="37">
        <v>42025.853634259256</v>
      </c>
      <c r="E1607" s="37">
        <v>42025.945092592592</v>
      </c>
      <c r="U1607">
        <v>16</v>
      </c>
      <c r="W1607" s="47"/>
    </row>
    <row r="1608" spans="1:23">
      <c r="A1608">
        <v>3706635231</v>
      </c>
      <c r="B1608">
        <v>57240262</v>
      </c>
      <c r="C1608" s="36" t="s">
        <v>1859</v>
      </c>
      <c r="D1608" s="37">
        <v>42025.935277777775</v>
      </c>
      <c r="E1608" s="37">
        <v>42025.961226851854</v>
      </c>
      <c r="F1608">
        <v>1</v>
      </c>
      <c r="G1608">
        <v>2</v>
      </c>
      <c r="V1608" s="42" t="s">
        <v>30</v>
      </c>
      <c r="W1608" s="47">
        <v>2</v>
      </c>
    </row>
    <row r="1609" spans="1:23" hidden="1">
      <c r="A1609">
        <v>3706703642</v>
      </c>
      <c r="B1609">
        <v>57240262</v>
      </c>
      <c r="C1609" s="36" t="s">
        <v>2378</v>
      </c>
      <c r="D1609" s="37">
        <v>42025.955636574072</v>
      </c>
      <c r="E1609" s="37">
        <v>42025.962893518517</v>
      </c>
      <c r="W1609" s="47"/>
    </row>
    <row r="1610" spans="1:23">
      <c r="A1610">
        <v>3706718504</v>
      </c>
      <c r="B1610">
        <v>57240262</v>
      </c>
      <c r="C1610" s="36" t="s">
        <v>1860</v>
      </c>
      <c r="D1610" s="37">
        <v>42025.955636574072</v>
      </c>
      <c r="E1610" s="37">
        <v>42025.999398148146</v>
      </c>
      <c r="G1610">
        <v>2</v>
      </c>
      <c r="K1610">
        <v>6</v>
      </c>
      <c r="R1610">
        <v>13</v>
      </c>
      <c r="S1610">
        <v>14</v>
      </c>
      <c r="V1610" s="42" t="s">
        <v>79</v>
      </c>
      <c r="W1610" s="47">
        <v>11</v>
      </c>
    </row>
    <row r="1611" spans="1:23" hidden="1">
      <c r="A1611">
        <v>3706826327</v>
      </c>
      <c r="B1611">
        <v>57240262</v>
      </c>
      <c r="C1611" s="36" t="s">
        <v>1861</v>
      </c>
      <c r="D1611" s="37">
        <v>42026.003113425926</v>
      </c>
      <c r="E1611" s="37">
        <v>42026.006469907406</v>
      </c>
      <c r="U1611">
        <v>16</v>
      </c>
      <c r="W1611" s="47"/>
    </row>
    <row r="1612" spans="1:23" hidden="1">
      <c r="A1612">
        <v>3706867644</v>
      </c>
      <c r="B1612">
        <v>57240262</v>
      </c>
      <c r="C1612" s="36" t="s">
        <v>1862</v>
      </c>
      <c r="D1612" s="37">
        <v>42026.019236111111</v>
      </c>
      <c r="E1612" s="37">
        <v>42026.028715277775</v>
      </c>
      <c r="U1612">
        <v>16</v>
      </c>
      <c r="W1612" s="47"/>
    </row>
    <row r="1613" spans="1:23">
      <c r="A1613">
        <v>3706977852</v>
      </c>
      <c r="B1613">
        <v>57240262</v>
      </c>
      <c r="C1613" s="36" t="s">
        <v>1863</v>
      </c>
      <c r="D1613" s="37">
        <v>42026.066631944443</v>
      </c>
      <c r="E1613" s="37">
        <v>42026.078136574077</v>
      </c>
      <c r="F1613">
        <v>1</v>
      </c>
      <c r="G1613">
        <v>2</v>
      </c>
      <c r="H1613">
        <v>3</v>
      </c>
      <c r="K1613">
        <v>6</v>
      </c>
      <c r="V1613" s="42" t="s">
        <v>31</v>
      </c>
      <c r="W1613" s="47">
        <v>2</v>
      </c>
    </row>
    <row r="1614" spans="1:23" hidden="1">
      <c r="A1614">
        <v>3707390315</v>
      </c>
      <c r="B1614">
        <v>57240262</v>
      </c>
      <c r="C1614" s="36" t="s">
        <v>2379</v>
      </c>
      <c r="D1614" s="37">
        <v>42026.30877314815</v>
      </c>
      <c r="E1614" s="37">
        <v>42026.309039351851</v>
      </c>
      <c r="W1614" s="47"/>
    </row>
    <row r="1615" spans="1:23" hidden="1">
      <c r="A1615">
        <v>3707394761</v>
      </c>
      <c r="B1615">
        <v>57240262</v>
      </c>
      <c r="C1615" s="36" t="s">
        <v>1864</v>
      </c>
      <c r="D1615" s="37">
        <v>42026.311874999999</v>
      </c>
      <c r="E1615" s="37">
        <v>42026.318032407406</v>
      </c>
      <c r="K1615">
        <v>6</v>
      </c>
      <c r="W1615" s="47"/>
    </row>
    <row r="1616" spans="1:23" hidden="1">
      <c r="A1616">
        <v>3707514939</v>
      </c>
      <c r="B1616">
        <v>57240262</v>
      </c>
      <c r="C1616" s="36" t="s">
        <v>1865</v>
      </c>
      <c r="D1616" s="37">
        <v>42026.385706018518</v>
      </c>
      <c r="E1616" s="37">
        <v>42026.393680555557</v>
      </c>
      <c r="I1616">
        <v>4</v>
      </c>
      <c r="O1616">
        <v>10</v>
      </c>
      <c r="W1616" s="47"/>
    </row>
    <row r="1617" spans="1:23" hidden="1">
      <c r="A1617">
        <v>3707601152</v>
      </c>
      <c r="B1617">
        <v>57240262</v>
      </c>
      <c r="C1617" s="36" t="s">
        <v>1866</v>
      </c>
      <c r="D1617" s="37">
        <v>42026.432314814818</v>
      </c>
      <c r="E1617" s="37">
        <v>42026.435208333336</v>
      </c>
      <c r="U1617">
        <v>16</v>
      </c>
      <c r="W1617" s="47"/>
    </row>
    <row r="1618" spans="1:23" hidden="1">
      <c r="A1618">
        <v>3707622642</v>
      </c>
      <c r="B1618">
        <v>57240262</v>
      </c>
      <c r="C1618" s="36" t="s">
        <v>423</v>
      </c>
      <c r="D1618" s="37">
        <v>42026.442013888889</v>
      </c>
      <c r="E1618" s="37">
        <v>42026.445543981485</v>
      </c>
      <c r="U1618">
        <v>16</v>
      </c>
      <c r="W1618" s="47"/>
    </row>
    <row r="1619" spans="1:23" hidden="1">
      <c r="A1619">
        <v>3707617058</v>
      </c>
      <c r="B1619">
        <v>57240262</v>
      </c>
      <c r="C1619" s="36" t="s">
        <v>1867</v>
      </c>
      <c r="D1619" s="37">
        <v>42026.439942129633</v>
      </c>
      <c r="E1619" s="37">
        <v>42026.449270833335</v>
      </c>
      <c r="U1619">
        <v>16</v>
      </c>
      <c r="W1619" s="47"/>
    </row>
    <row r="1620" spans="1:23" hidden="1">
      <c r="A1620">
        <v>3707674999</v>
      </c>
      <c r="B1620">
        <v>57240262</v>
      </c>
      <c r="C1620" s="36" t="s">
        <v>1868</v>
      </c>
      <c r="D1620" s="37">
        <v>42026.467280092591</v>
      </c>
      <c r="E1620" s="37">
        <v>42026.474930555552</v>
      </c>
      <c r="N1620">
        <v>9</v>
      </c>
      <c r="R1620">
        <v>13</v>
      </c>
      <c r="W1620" s="47"/>
    </row>
    <row r="1621" spans="1:23">
      <c r="A1621">
        <v>3707752255</v>
      </c>
      <c r="B1621">
        <v>57240262</v>
      </c>
      <c r="C1621" s="36" t="s">
        <v>1869</v>
      </c>
      <c r="D1621" s="37">
        <v>42026.501469907409</v>
      </c>
      <c r="E1621" s="37">
        <v>42026.505046296297</v>
      </c>
      <c r="I1621">
        <v>4</v>
      </c>
      <c r="O1621">
        <v>10</v>
      </c>
      <c r="U1621">
        <v>16</v>
      </c>
      <c r="V1621" s="42" t="s">
        <v>26</v>
      </c>
      <c r="W1621" s="47">
        <v>4</v>
      </c>
    </row>
    <row r="1622" spans="1:23" hidden="1">
      <c r="A1622">
        <v>3707841092</v>
      </c>
      <c r="B1622">
        <v>57240262</v>
      </c>
      <c r="C1622" s="36" t="s">
        <v>1870</v>
      </c>
      <c r="D1622" s="37">
        <v>42026.538171296299</v>
      </c>
      <c r="E1622" s="37">
        <v>42026.543865740743</v>
      </c>
      <c r="U1622">
        <v>16</v>
      </c>
      <c r="W1622" s="47"/>
    </row>
    <row r="1623" spans="1:23">
      <c r="A1623">
        <v>3707963596</v>
      </c>
      <c r="B1623">
        <v>57240262</v>
      </c>
      <c r="C1623" s="36" t="s">
        <v>1871</v>
      </c>
      <c r="D1623" s="37">
        <v>42026.578275462962</v>
      </c>
      <c r="E1623" s="37">
        <v>42026.583449074074</v>
      </c>
      <c r="G1623">
        <v>2</v>
      </c>
      <c r="H1623">
        <v>3</v>
      </c>
      <c r="V1623" s="42" t="s">
        <v>30</v>
      </c>
      <c r="W1623" s="47">
        <v>2</v>
      </c>
    </row>
    <row r="1624" spans="1:23">
      <c r="A1624">
        <v>3708087897</v>
      </c>
      <c r="B1624">
        <v>57240262</v>
      </c>
      <c r="C1624" s="36" t="s">
        <v>1872</v>
      </c>
      <c r="D1624" s="37">
        <v>42026.612905092596</v>
      </c>
      <c r="E1624" s="37">
        <v>42026.617534722223</v>
      </c>
      <c r="I1624">
        <v>4</v>
      </c>
      <c r="M1624">
        <v>8</v>
      </c>
      <c r="Q1624">
        <v>12</v>
      </c>
      <c r="V1624" s="42" t="s">
        <v>40</v>
      </c>
      <c r="W1624" s="47">
        <v>12</v>
      </c>
    </row>
    <row r="1625" spans="1:23" hidden="1">
      <c r="A1625">
        <v>3708097043</v>
      </c>
      <c r="B1625">
        <v>57240262</v>
      </c>
      <c r="C1625" s="36" t="s">
        <v>1873</v>
      </c>
      <c r="D1625" s="37">
        <v>42026.615416666667</v>
      </c>
      <c r="E1625" s="37">
        <v>42026.620717592596</v>
      </c>
      <c r="F1625">
        <v>1</v>
      </c>
      <c r="W1625" s="47"/>
    </row>
    <row r="1626" spans="1:23" hidden="1">
      <c r="A1626">
        <v>3708132729</v>
      </c>
      <c r="B1626">
        <v>57240262</v>
      </c>
      <c r="C1626" s="36" t="s">
        <v>1874</v>
      </c>
      <c r="D1626" s="37">
        <v>42026.624571759261</v>
      </c>
      <c r="E1626" s="37">
        <v>42026.628391203703</v>
      </c>
      <c r="F1626">
        <v>1</v>
      </c>
      <c r="H1626">
        <v>3</v>
      </c>
      <c r="J1626">
        <v>5</v>
      </c>
      <c r="K1626">
        <v>6</v>
      </c>
      <c r="W1626" s="47"/>
    </row>
    <row r="1627" spans="1:23" hidden="1">
      <c r="A1627">
        <v>3708163047</v>
      </c>
      <c r="B1627">
        <v>57240262</v>
      </c>
      <c r="C1627" s="36" t="s">
        <v>1875</v>
      </c>
      <c r="D1627" s="37">
        <v>42026.632268518515</v>
      </c>
      <c r="E1627" s="37">
        <v>42026.63690972222</v>
      </c>
      <c r="U1627">
        <v>16</v>
      </c>
      <c r="W1627" s="47"/>
    </row>
    <row r="1628" spans="1:23" hidden="1">
      <c r="A1628">
        <v>3708122254</v>
      </c>
      <c r="B1628">
        <v>57240262</v>
      </c>
      <c r="C1628" s="36" t="s">
        <v>424</v>
      </c>
      <c r="D1628" s="37">
        <v>42026.585925925923</v>
      </c>
      <c r="E1628" s="37">
        <v>42026.649699074071</v>
      </c>
      <c r="U1628">
        <v>16</v>
      </c>
      <c r="W1628" s="47"/>
    </row>
    <row r="1629" spans="1:23" hidden="1">
      <c r="A1629">
        <v>3708575919</v>
      </c>
      <c r="B1629">
        <v>57240262</v>
      </c>
      <c r="C1629" s="36" t="s">
        <v>1876</v>
      </c>
      <c r="D1629" s="37">
        <v>42026.7265162037</v>
      </c>
      <c r="E1629" s="37">
        <v>42026.735092592593</v>
      </c>
      <c r="G1629">
        <v>2</v>
      </c>
      <c r="W1629" s="47"/>
    </row>
    <row r="1630" spans="1:23" hidden="1">
      <c r="A1630">
        <v>3708584542</v>
      </c>
      <c r="B1630">
        <v>57240262</v>
      </c>
      <c r="C1630" s="36" t="s">
        <v>1877</v>
      </c>
      <c r="D1630" s="37">
        <v>42026.728506944448</v>
      </c>
      <c r="E1630" s="37">
        <v>42026.735150462962</v>
      </c>
      <c r="U1630">
        <v>16</v>
      </c>
      <c r="W1630" s="47"/>
    </row>
    <row r="1631" spans="1:23" hidden="1">
      <c r="A1631">
        <v>3708631007</v>
      </c>
      <c r="B1631">
        <v>57240262</v>
      </c>
      <c r="C1631" s="36" t="s">
        <v>1878</v>
      </c>
      <c r="D1631" s="37">
        <v>42026.740254629629</v>
      </c>
      <c r="E1631" s="37">
        <v>42026.743171296293</v>
      </c>
      <c r="K1631">
        <v>6</v>
      </c>
      <c r="W1631" s="47"/>
    </row>
    <row r="1632" spans="1:23" hidden="1">
      <c r="A1632">
        <v>3708725400</v>
      </c>
      <c r="B1632">
        <v>57240262</v>
      </c>
      <c r="C1632" s="36" t="s">
        <v>1879</v>
      </c>
      <c r="D1632" s="37">
        <v>42026.764085648145</v>
      </c>
      <c r="E1632" s="37">
        <v>42026.766018518516</v>
      </c>
      <c r="U1632">
        <v>16</v>
      </c>
      <c r="W1632" s="47"/>
    </row>
    <row r="1633" spans="1:23" hidden="1">
      <c r="A1633">
        <v>3708831234</v>
      </c>
      <c r="B1633">
        <v>57240262</v>
      </c>
      <c r="C1633" s="36" t="s">
        <v>2380</v>
      </c>
      <c r="D1633" s="37">
        <v>42026.791145833333</v>
      </c>
      <c r="E1633" s="37">
        <v>42026.792048611111</v>
      </c>
      <c r="W1633" s="47"/>
    </row>
    <row r="1634" spans="1:23" ht="24">
      <c r="A1634">
        <v>3708719863</v>
      </c>
      <c r="B1634">
        <v>57240262</v>
      </c>
      <c r="C1634" s="36" t="s">
        <v>425</v>
      </c>
      <c r="D1634" s="37">
        <v>42026.762685185182</v>
      </c>
      <c r="E1634" s="37">
        <v>42026.792557870373</v>
      </c>
      <c r="H1634">
        <v>3</v>
      </c>
      <c r="K1634">
        <v>6</v>
      </c>
      <c r="M1634">
        <v>8</v>
      </c>
      <c r="N1634">
        <v>9</v>
      </c>
      <c r="O1634">
        <v>10</v>
      </c>
      <c r="P1634">
        <v>11</v>
      </c>
      <c r="Q1634">
        <v>12</v>
      </c>
      <c r="S1634">
        <v>14</v>
      </c>
      <c r="V1634" s="42" t="s">
        <v>78</v>
      </c>
      <c r="W1634" s="47">
        <v>15</v>
      </c>
    </row>
    <row r="1635" spans="1:23" hidden="1">
      <c r="A1635">
        <v>3708856884</v>
      </c>
      <c r="B1635">
        <v>57240262</v>
      </c>
      <c r="C1635" s="36" t="s">
        <v>1880</v>
      </c>
      <c r="D1635" s="37">
        <v>42026.797731481478</v>
      </c>
      <c r="E1635" s="37">
        <v>42026.802268518521</v>
      </c>
      <c r="F1635">
        <v>1</v>
      </c>
      <c r="W1635" s="47"/>
    </row>
    <row r="1636" spans="1:23" hidden="1">
      <c r="A1636">
        <v>3709014206</v>
      </c>
      <c r="B1636">
        <v>57240262</v>
      </c>
      <c r="C1636" s="36" t="s">
        <v>1881</v>
      </c>
      <c r="D1636" s="37">
        <v>42026.837962962964</v>
      </c>
      <c r="E1636" s="37">
        <v>42026.844965277778</v>
      </c>
      <c r="I1636">
        <v>4</v>
      </c>
      <c r="O1636">
        <v>10</v>
      </c>
      <c r="W1636" s="47"/>
    </row>
    <row r="1637" spans="1:23" hidden="1">
      <c r="A1637">
        <v>3709363375</v>
      </c>
      <c r="B1637">
        <v>57240262</v>
      </c>
      <c r="C1637" s="36" t="s">
        <v>1882</v>
      </c>
      <c r="D1637" s="37">
        <v>42026.932442129626</v>
      </c>
      <c r="E1637" s="37">
        <v>42026.936608796299</v>
      </c>
      <c r="N1637">
        <v>9</v>
      </c>
      <c r="W1637" s="47"/>
    </row>
    <row r="1638" spans="1:23" hidden="1">
      <c r="A1638">
        <v>3710217551</v>
      </c>
      <c r="B1638">
        <v>57240262</v>
      </c>
      <c r="C1638" s="36" t="s">
        <v>1883</v>
      </c>
      <c r="D1638" s="37">
        <v>42027.331886574073</v>
      </c>
      <c r="E1638" s="37">
        <v>42027.343634259261</v>
      </c>
      <c r="G1638">
        <v>2</v>
      </c>
      <c r="W1638" s="47"/>
    </row>
    <row r="1639" spans="1:23" hidden="1">
      <c r="A1639">
        <v>3710290185</v>
      </c>
      <c r="B1639">
        <v>57240262</v>
      </c>
      <c r="C1639" s="36" t="s">
        <v>1884</v>
      </c>
      <c r="D1639" s="37">
        <v>42027.377199074072</v>
      </c>
      <c r="E1639" s="37">
        <v>42027.381365740737</v>
      </c>
      <c r="J1639">
        <v>5</v>
      </c>
      <c r="W1639" s="47"/>
    </row>
    <row r="1640" spans="1:23">
      <c r="A1640">
        <v>3710338117</v>
      </c>
      <c r="B1640">
        <v>57240262</v>
      </c>
      <c r="C1640" s="36" t="s">
        <v>1885</v>
      </c>
      <c r="D1640" s="37">
        <v>42027.401250000003</v>
      </c>
      <c r="E1640" s="37">
        <v>42027.420370370368</v>
      </c>
      <c r="F1640">
        <v>1</v>
      </c>
      <c r="R1640">
        <v>13</v>
      </c>
      <c r="V1640" s="42" t="s">
        <v>25</v>
      </c>
      <c r="W1640" s="47">
        <v>1</v>
      </c>
    </row>
    <row r="1641" spans="1:23" hidden="1">
      <c r="A1641">
        <v>3710392653</v>
      </c>
      <c r="B1641">
        <v>57240262</v>
      </c>
      <c r="C1641" s="36" t="s">
        <v>1886</v>
      </c>
      <c r="D1641" s="37">
        <v>42027.429756944446</v>
      </c>
      <c r="E1641" s="37">
        <v>42027.432881944442</v>
      </c>
      <c r="J1641">
        <v>5</v>
      </c>
      <c r="W1641" s="47"/>
    </row>
    <row r="1642" spans="1:23" hidden="1">
      <c r="A1642">
        <v>3710454973</v>
      </c>
      <c r="B1642">
        <v>57240262</v>
      </c>
      <c r="C1642" s="36" t="s">
        <v>1887</v>
      </c>
      <c r="D1642" s="37">
        <v>42027.458599537036</v>
      </c>
      <c r="E1642" s="37">
        <v>42027.462245370371</v>
      </c>
      <c r="F1642">
        <v>1</v>
      </c>
      <c r="G1642">
        <v>2</v>
      </c>
      <c r="W1642" s="47"/>
    </row>
    <row r="1643" spans="1:23" hidden="1">
      <c r="A1643">
        <v>3710498828</v>
      </c>
      <c r="B1643">
        <v>57240262</v>
      </c>
      <c r="C1643" s="36" t="s">
        <v>1888</v>
      </c>
      <c r="D1643" s="37">
        <v>42027.479594907411</v>
      </c>
      <c r="E1643" s="37">
        <v>42027.481030092589</v>
      </c>
      <c r="F1643">
        <v>1</v>
      </c>
      <c r="W1643" s="47"/>
    </row>
    <row r="1644" spans="1:23" hidden="1">
      <c r="A1644">
        <v>3710516536</v>
      </c>
      <c r="B1644">
        <v>57240262</v>
      </c>
      <c r="C1644" s="36" t="s">
        <v>1889</v>
      </c>
      <c r="D1644" s="37">
        <v>42027.488043981481</v>
      </c>
      <c r="E1644" s="37">
        <v>42027.492569444446</v>
      </c>
      <c r="U1644">
        <v>16</v>
      </c>
      <c r="W1644" s="47"/>
    </row>
    <row r="1645" spans="1:23" hidden="1">
      <c r="A1645">
        <v>3710532435</v>
      </c>
      <c r="B1645">
        <v>57240262</v>
      </c>
      <c r="C1645" s="36" t="s">
        <v>1890</v>
      </c>
      <c r="D1645" s="37">
        <v>42027.495740740742</v>
      </c>
      <c r="E1645" s="37">
        <v>42027.500636574077</v>
      </c>
      <c r="I1645">
        <v>4</v>
      </c>
      <c r="W1645" s="47"/>
    </row>
    <row r="1646" spans="1:23" hidden="1">
      <c r="A1646">
        <v>3710528672</v>
      </c>
      <c r="B1646">
        <v>57240262</v>
      </c>
      <c r="C1646" s="36" t="s">
        <v>426</v>
      </c>
      <c r="D1646" s="37">
        <v>42027.493958333333</v>
      </c>
      <c r="E1646" s="37">
        <v>42027.501273148147</v>
      </c>
      <c r="L1646">
        <v>7</v>
      </c>
      <c r="U1646">
        <v>16</v>
      </c>
      <c r="W1646" s="47"/>
    </row>
    <row r="1647" spans="1:23" hidden="1">
      <c r="A1647">
        <v>3710543818</v>
      </c>
      <c r="B1647">
        <v>57240262</v>
      </c>
      <c r="C1647" s="36" t="s">
        <v>1891</v>
      </c>
      <c r="D1647" s="37">
        <v>42027.501377314817</v>
      </c>
      <c r="E1647" s="37">
        <v>42027.502997685187</v>
      </c>
      <c r="H1647">
        <v>3</v>
      </c>
      <c r="W1647" s="47"/>
    </row>
    <row r="1648" spans="1:23" hidden="1">
      <c r="A1648">
        <v>3710566383</v>
      </c>
      <c r="B1648">
        <v>57240262</v>
      </c>
      <c r="C1648" s="36" t="s">
        <v>1892</v>
      </c>
      <c r="D1648" s="37">
        <v>42027.510960648149</v>
      </c>
      <c r="E1648" s="37">
        <v>42027.513761574075</v>
      </c>
      <c r="K1648">
        <v>6</v>
      </c>
      <c r="O1648">
        <v>10</v>
      </c>
      <c r="W1648" s="47"/>
    </row>
    <row r="1649" spans="1:23" hidden="1">
      <c r="A1649">
        <v>3710598481</v>
      </c>
      <c r="B1649">
        <v>57240262</v>
      </c>
      <c r="C1649" s="36" t="s">
        <v>1893</v>
      </c>
      <c r="D1649" s="37">
        <v>42027.525289351855</v>
      </c>
      <c r="E1649" s="37">
        <v>42027.530949074076</v>
      </c>
      <c r="I1649">
        <v>4</v>
      </c>
      <c r="W1649" s="47"/>
    </row>
    <row r="1650" spans="1:23" hidden="1">
      <c r="A1650">
        <v>3710846211</v>
      </c>
      <c r="B1650">
        <v>57240262</v>
      </c>
      <c r="C1650" s="36" t="s">
        <v>1894</v>
      </c>
      <c r="D1650" s="37">
        <v>42027.604085648149</v>
      </c>
      <c r="E1650" s="37">
        <v>42027.60664351852</v>
      </c>
      <c r="H1650">
        <v>3</v>
      </c>
      <c r="Q1650">
        <v>12</v>
      </c>
      <c r="W1650" s="47"/>
    </row>
    <row r="1651" spans="1:23">
      <c r="A1651">
        <v>3711008548</v>
      </c>
      <c r="B1651">
        <v>57240262</v>
      </c>
      <c r="C1651" s="36" t="s">
        <v>1895</v>
      </c>
      <c r="D1651" s="37">
        <v>42027.647256944445</v>
      </c>
      <c r="E1651" s="37">
        <v>42027.650335648148</v>
      </c>
      <c r="G1651">
        <v>2</v>
      </c>
      <c r="M1651">
        <v>8</v>
      </c>
      <c r="V1651" s="42" t="s">
        <v>77</v>
      </c>
      <c r="W1651" s="47">
        <v>2</v>
      </c>
    </row>
    <row r="1652" spans="1:23" hidden="1">
      <c r="A1652">
        <v>3711412188</v>
      </c>
      <c r="B1652">
        <v>57240262</v>
      </c>
      <c r="C1652" s="36" t="s">
        <v>1896</v>
      </c>
      <c r="D1652" s="37">
        <v>42027.735937500001</v>
      </c>
      <c r="E1652" s="37">
        <v>42027.742222222223</v>
      </c>
      <c r="U1652">
        <v>16</v>
      </c>
      <c r="W1652" s="47"/>
    </row>
    <row r="1653" spans="1:23" hidden="1">
      <c r="A1653">
        <v>3711874117</v>
      </c>
      <c r="B1653">
        <v>57240262</v>
      </c>
      <c r="C1653" s="36" t="s">
        <v>1897</v>
      </c>
      <c r="D1653" s="37">
        <v>42027.861921296295</v>
      </c>
      <c r="E1653" s="37">
        <v>42027.865081018521</v>
      </c>
      <c r="G1653">
        <v>2</v>
      </c>
      <c r="W1653" s="47"/>
    </row>
    <row r="1654" spans="1:23">
      <c r="A1654">
        <v>3711877681</v>
      </c>
      <c r="B1654">
        <v>57240262</v>
      </c>
      <c r="C1654" s="36" t="s">
        <v>1898</v>
      </c>
      <c r="D1654" s="37">
        <v>42027.862939814811</v>
      </c>
      <c r="E1654" s="37">
        <v>42027.866226851853</v>
      </c>
      <c r="I1654">
        <v>4</v>
      </c>
      <c r="P1654">
        <v>11</v>
      </c>
      <c r="S1654">
        <v>14</v>
      </c>
      <c r="V1654" s="42" t="s">
        <v>76</v>
      </c>
      <c r="W1654" s="47">
        <v>11</v>
      </c>
    </row>
    <row r="1655" spans="1:23">
      <c r="A1655">
        <v>3711873635</v>
      </c>
      <c r="B1655">
        <v>57240262</v>
      </c>
      <c r="C1655" s="36" t="s">
        <v>427</v>
      </c>
      <c r="D1655" s="37">
        <v>42027.861747685187</v>
      </c>
      <c r="E1655" s="37">
        <v>42027.86645833333</v>
      </c>
      <c r="G1655">
        <v>2</v>
      </c>
      <c r="K1655">
        <v>6</v>
      </c>
      <c r="O1655">
        <v>10</v>
      </c>
      <c r="Q1655">
        <v>12</v>
      </c>
      <c r="V1655" s="42" t="s">
        <v>30</v>
      </c>
      <c r="W1655" s="47">
        <v>2</v>
      </c>
    </row>
    <row r="1656" spans="1:23">
      <c r="A1656">
        <v>3711872747</v>
      </c>
      <c r="B1656">
        <v>57240262</v>
      </c>
      <c r="C1656" s="36" t="s">
        <v>428</v>
      </c>
      <c r="D1656" s="37">
        <v>42027.86042824074</v>
      </c>
      <c r="E1656" s="37">
        <v>42027.8675</v>
      </c>
      <c r="G1656">
        <v>2</v>
      </c>
      <c r="P1656">
        <v>11</v>
      </c>
      <c r="V1656" s="42" t="s">
        <v>20</v>
      </c>
      <c r="W1656" s="47">
        <v>2</v>
      </c>
    </row>
    <row r="1657" spans="1:23" hidden="1">
      <c r="A1657">
        <v>3711868560</v>
      </c>
      <c r="B1657">
        <v>57240262</v>
      </c>
      <c r="C1657" s="36" t="s">
        <v>429</v>
      </c>
      <c r="D1657" s="37">
        <v>42027.860196759262</v>
      </c>
      <c r="E1657" s="37">
        <v>42027.86917824074</v>
      </c>
      <c r="F1657">
        <v>1</v>
      </c>
      <c r="G1657">
        <v>2</v>
      </c>
      <c r="J1657">
        <v>5</v>
      </c>
      <c r="K1657">
        <v>6</v>
      </c>
      <c r="O1657">
        <v>10</v>
      </c>
      <c r="P1657">
        <v>11</v>
      </c>
      <c r="W1657" s="47"/>
    </row>
    <row r="1658" spans="1:23">
      <c r="A1658">
        <v>3711896686</v>
      </c>
      <c r="B1658">
        <v>57240262</v>
      </c>
      <c r="C1658" s="36" t="s">
        <v>431</v>
      </c>
      <c r="D1658" s="37">
        <v>42027.868310185186</v>
      </c>
      <c r="E1658" s="37">
        <v>42027.870381944442</v>
      </c>
      <c r="G1658">
        <v>2</v>
      </c>
      <c r="R1658">
        <v>13</v>
      </c>
      <c r="V1658" s="42" t="s">
        <v>75</v>
      </c>
      <c r="W1658" s="47">
        <v>2</v>
      </c>
    </row>
    <row r="1659" spans="1:23" hidden="1">
      <c r="A1659">
        <v>3711881335</v>
      </c>
      <c r="B1659">
        <v>57240262</v>
      </c>
      <c r="C1659" s="36" t="s">
        <v>1899</v>
      </c>
      <c r="D1659" s="37">
        <v>42027.863946759258</v>
      </c>
      <c r="E1659" s="37">
        <v>42027.874016203707</v>
      </c>
      <c r="K1659">
        <v>6</v>
      </c>
      <c r="O1659">
        <v>10</v>
      </c>
      <c r="W1659" s="47"/>
    </row>
    <row r="1660" spans="1:23" ht="24">
      <c r="A1660">
        <v>3711907934</v>
      </c>
      <c r="B1660">
        <v>57240262</v>
      </c>
      <c r="C1660" s="36" t="s">
        <v>435</v>
      </c>
      <c r="D1660" s="37">
        <v>42027.871793981481</v>
      </c>
      <c r="E1660" s="37">
        <v>42027.879502314812</v>
      </c>
      <c r="F1660">
        <v>1</v>
      </c>
      <c r="K1660">
        <v>6</v>
      </c>
      <c r="O1660">
        <v>10</v>
      </c>
      <c r="V1660" s="42" t="s">
        <v>73</v>
      </c>
      <c r="W1660" s="47">
        <v>10</v>
      </c>
    </row>
    <row r="1661" spans="1:23" hidden="1">
      <c r="A1661">
        <v>3711917676</v>
      </c>
      <c r="B1661">
        <v>57240262</v>
      </c>
      <c r="C1661" s="36" t="s">
        <v>434</v>
      </c>
      <c r="D1661" s="37">
        <v>42027.874918981484</v>
      </c>
      <c r="E1661" s="37">
        <v>42027.880624999998</v>
      </c>
      <c r="O1661">
        <v>10</v>
      </c>
      <c r="W1661" s="47"/>
    </row>
    <row r="1662" spans="1:23" hidden="1">
      <c r="A1662">
        <v>3711924346</v>
      </c>
      <c r="B1662">
        <v>57240262</v>
      </c>
      <c r="C1662" s="36" t="s">
        <v>433</v>
      </c>
      <c r="D1662" s="37">
        <v>42027.87699074074</v>
      </c>
      <c r="E1662" s="37">
        <v>42027.882268518515</v>
      </c>
      <c r="J1662">
        <v>5</v>
      </c>
      <c r="W1662" s="47"/>
    </row>
    <row r="1663" spans="1:23" hidden="1">
      <c r="A1663">
        <v>3711896886</v>
      </c>
      <c r="B1663">
        <v>57240262</v>
      </c>
      <c r="C1663" s="36" t="s">
        <v>430</v>
      </c>
      <c r="D1663" s="37">
        <v>42027.868171296293</v>
      </c>
      <c r="E1663" s="37">
        <v>42027.8825</v>
      </c>
      <c r="O1663">
        <v>10</v>
      </c>
      <c r="W1663" s="47"/>
    </row>
    <row r="1664" spans="1:23" ht="24">
      <c r="A1664">
        <v>3711906136</v>
      </c>
      <c r="B1664">
        <v>57240262</v>
      </c>
      <c r="C1664" s="36" t="s">
        <v>1900</v>
      </c>
      <c r="D1664" s="37">
        <v>42027.871111111112</v>
      </c>
      <c r="E1664" s="37">
        <v>42027.886250000003</v>
      </c>
      <c r="F1664">
        <v>1</v>
      </c>
      <c r="G1664">
        <v>2</v>
      </c>
      <c r="K1664">
        <v>6</v>
      </c>
      <c r="Q1664">
        <v>12</v>
      </c>
      <c r="V1664" s="42" t="s">
        <v>74</v>
      </c>
      <c r="W1664" s="47">
        <v>2</v>
      </c>
    </row>
    <row r="1665" spans="1:23" hidden="1">
      <c r="A1665">
        <v>3711953329</v>
      </c>
      <c r="B1665">
        <v>57240262</v>
      </c>
      <c r="C1665" s="36" t="s">
        <v>1901</v>
      </c>
      <c r="D1665" s="37">
        <v>42027.886111111111</v>
      </c>
      <c r="E1665" s="37">
        <v>42027.890798611108</v>
      </c>
      <c r="U1665">
        <v>16</v>
      </c>
      <c r="W1665" s="47"/>
    </row>
    <row r="1666" spans="1:23">
      <c r="A1666">
        <v>3711959639</v>
      </c>
      <c r="B1666">
        <v>57240262</v>
      </c>
      <c r="C1666" s="36" t="s">
        <v>1902</v>
      </c>
      <c r="D1666" s="37">
        <v>42027.885034722225</v>
      </c>
      <c r="E1666" s="37">
        <v>42027.892152777778</v>
      </c>
      <c r="F1666">
        <v>1</v>
      </c>
      <c r="K1666">
        <v>6</v>
      </c>
      <c r="V1666" s="42" t="s">
        <v>25</v>
      </c>
      <c r="W1666" s="47">
        <v>1</v>
      </c>
    </row>
    <row r="1667" spans="1:23" ht="24">
      <c r="A1667">
        <v>3711981996</v>
      </c>
      <c r="B1667">
        <v>57240262</v>
      </c>
      <c r="C1667" s="36" t="s">
        <v>1903</v>
      </c>
      <c r="D1667" s="37">
        <v>42027.894976851851</v>
      </c>
      <c r="E1667" s="37">
        <v>42027.903749999998</v>
      </c>
      <c r="G1667">
        <v>2</v>
      </c>
      <c r="H1667">
        <v>3</v>
      </c>
      <c r="P1667">
        <v>11</v>
      </c>
      <c r="S1667">
        <v>14</v>
      </c>
      <c r="V1667" s="42" t="s">
        <v>72</v>
      </c>
      <c r="W1667" s="47">
        <v>14</v>
      </c>
    </row>
    <row r="1668" spans="1:23" hidden="1">
      <c r="A1668">
        <v>3712044412</v>
      </c>
      <c r="B1668">
        <v>57240262</v>
      </c>
      <c r="C1668" s="36" t="s">
        <v>1904</v>
      </c>
      <c r="D1668" s="37">
        <v>42027.915648148148</v>
      </c>
      <c r="E1668" s="37">
        <v>42027.923807870371</v>
      </c>
      <c r="G1668">
        <v>2</v>
      </c>
      <c r="W1668" s="47"/>
    </row>
    <row r="1669" spans="1:23" hidden="1">
      <c r="A1669">
        <v>3712107083</v>
      </c>
      <c r="B1669">
        <v>57240262</v>
      </c>
      <c r="C1669" s="36" t="s">
        <v>1905</v>
      </c>
      <c r="D1669" s="37">
        <v>42027.938287037039</v>
      </c>
      <c r="E1669" s="37">
        <v>42027.94462962963</v>
      </c>
      <c r="F1669">
        <v>1</v>
      </c>
      <c r="W1669" s="47"/>
    </row>
    <row r="1670" spans="1:23">
      <c r="A1670">
        <v>3712796240</v>
      </c>
      <c r="B1670">
        <v>57240262</v>
      </c>
      <c r="C1670" s="36" t="s">
        <v>1906</v>
      </c>
      <c r="D1670" s="37">
        <v>42028.348530092589</v>
      </c>
      <c r="E1670" s="37">
        <v>42028.35560185185</v>
      </c>
      <c r="O1670">
        <v>10</v>
      </c>
      <c r="Q1670">
        <v>12</v>
      </c>
      <c r="V1670" s="42" t="s">
        <v>29</v>
      </c>
      <c r="W1670" s="47">
        <v>12</v>
      </c>
    </row>
    <row r="1671" spans="1:23">
      <c r="A1671">
        <v>3712956607</v>
      </c>
      <c r="B1671">
        <v>57240262</v>
      </c>
      <c r="C1671" s="36" t="s">
        <v>1907</v>
      </c>
      <c r="D1671" s="37">
        <v>42028.467372685183</v>
      </c>
      <c r="E1671" s="37">
        <v>42028.473611111112</v>
      </c>
      <c r="G1671">
        <v>2</v>
      </c>
      <c r="O1671">
        <v>10</v>
      </c>
      <c r="V1671" s="42" t="s">
        <v>30</v>
      </c>
      <c r="W1671" s="47">
        <v>2</v>
      </c>
    </row>
    <row r="1672" spans="1:23" hidden="1">
      <c r="A1672">
        <v>3712974082</v>
      </c>
      <c r="B1672">
        <v>57240262</v>
      </c>
      <c r="C1672" s="36" t="s">
        <v>1908</v>
      </c>
      <c r="D1672" s="37">
        <v>42028.479872685188</v>
      </c>
      <c r="E1672" s="37">
        <v>42028.489722222221</v>
      </c>
      <c r="U1672">
        <v>16</v>
      </c>
      <c r="W1672" s="47"/>
    </row>
    <row r="1673" spans="1:23" hidden="1">
      <c r="A1673">
        <v>3714298453</v>
      </c>
      <c r="B1673">
        <v>57240262</v>
      </c>
      <c r="C1673" s="36" t="s">
        <v>1909</v>
      </c>
      <c r="D1673" s="37">
        <v>42029.423564814817</v>
      </c>
      <c r="E1673" s="37">
        <v>42029.431643518517</v>
      </c>
      <c r="F1673">
        <v>1</v>
      </c>
      <c r="W1673" s="47"/>
    </row>
    <row r="1674" spans="1:23">
      <c r="A1674">
        <v>3714329592</v>
      </c>
      <c r="B1674">
        <v>57240262</v>
      </c>
      <c r="C1674" s="36" t="s">
        <v>1910</v>
      </c>
      <c r="D1674" s="37">
        <v>42029.451805555553</v>
      </c>
      <c r="E1674" s="37">
        <v>42029.455439814818</v>
      </c>
      <c r="I1674">
        <v>4</v>
      </c>
      <c r="M1674">
        <v>8</v>
      </c>
      <c r="N1674">
        <v>9</v>
      </c>
      <c r="V1674" s="42" t="s">
        <v>71</v>
      </c>
      <c r="W1674" s="47">
        <v>8</v>
      </c>
    </row>
    <row r="1675" spans="1:23" hidden="1">
      <c r="A1675">
        <v>3714603813</v>
      </c>
      <c r="B1675">
        <v>57240262</v>
      </c>
      <c r="C1675" s="36" t="s">
        <v>1911</v>
      </c>
      <c r="D1675" s="37">
        <v>42029.659212962964</v>
      </c>
      <c r="E1675" s="37">
        <v>42029.670115740744</v>
      </c>
      <c r="O1675">
        <v>10</v>
      </c>
      <c r="W1675" s="47"/>
    </row>
    <row r="1676" spans="1:23">
      <c r="A1676">
        <v>3714894907</v>
      </c>
      <c r="B1676">
        <v>57240262</v>
      </c>
      <c r="C1676" s="36" t="s">
        <v>1912</v>
      </c>
      <c r="D1676" s="37">
        <v>42029.842083333337</v>
      </c>
      <c r="E1676" s="37">
        <v>42029.852407407408</v>
      </c>
      <c r="F1676">
        <v>1</v>
      </c>
      <c r="G1676">
        <v>2</v>
      </c>
      <c r="I1676">
        <v>4</v>
      </c>
      <c r="O1676">
        <v>10</v>
      </c>
      <c r="V1676" s="42" t="s">
        <v>31</v>
      </c>
      <c r="W1676" s="47">
        <v>2</v>
      </c>
    </row>
    <row r="1677" spans="1:23" hidden="1">
      <c r="A1677">
        <v>3714925154</v>
      </c>
      <c r="B1677">
        <v>57240262</v>
      </c>
      <c r="C1677" s="36" t="s">
        <v>1913</v>
      </c>
      <c r="D1677" s="37">
        <v>42029.502210648148</v>
      </c>
      <c r="E1677" s="37">
        <v>42029.878888888888</v>
      </c>
      <c r="O1677">
        <v>10</v>
      </c>
      <c r="W1677" s="47"/>
    </row>
    <row r="1678" spans="1:23" hidden="1">
      <c r="A1678">
        <v>3714996047</v>
      </c>
      <c r="B1678">
        <v>57240262</v>
      </c>
      <c r="C1678" s="36" t="s">
        <v>1914</v>
      </c>
      <c r="D1678" s="37">
        <v>42029.911145833335</v>
      </c>
      <c r="E1678" s="37">
        <v>42029.924571759257</v>
      </c>
      <c r="I1678">
        <v>4</v>
      </c>
      <c r="W1678" s="47"/>
    </row>
    <row r="1679" spans="1:23">
      <c r="A1679">
        <v>3715131381</v>
      </c>
      <c r="B1679">
        <v>57240262</v>
      </c>
      <c r="C1679" s="36" t="s">
        <v>437</v>
      </c>
      <c r="D1679" s="37">
        <v>42030.013969907406</v>
      </c>
      <c r="E1679" s="37">
        <v>42030.021377314813</v>
      </c>
      <c r="F1679">
        <v>1</v>
      </c>
      <c r="G1679">
        <v>2</v>
      </c>
      <c r="H1679">
        <v>3</v>
      </c>
      <c r="K1679">
        <v>6</v>
      </c>
      <c r="M1679">
        <v>8</v>
      </c>
      <c r="O1679">
        <v>10</v>
      </c>
      <c r="P1679">
        <v>11</v>
      </c>
      <c r="V1679" s="42" t="s">
        <v>30</v>
      </c>
      <c r="W1679" s="47">
        <v>2</v>
      </c>
    </row>
    <row r="1680" spans="1:23" hidden="1">
      <c r="A1680">
        <v>3715560102</v>
      </c>
      <c r="B1680">
        <v>57240262</v>
      </c>
      <c r="C1680" s="36" t="s">
        <v>2381</v>
      </c>
      <c r="D1680" s="37">
        <v>42030.333229166667</v>
      </c>
      <c r="E1680" s="37">
        <v>42030.333761574075</v>
      </c>
      <c r="W1680" s="47"/>
    </row>
    <row r="1681" spans="1:23">
      <c r="A1681">
        <v>3715558677</v>
      </c>
      <c r="B1681">
        <v>57240262</v>
      </c>
      <c r="C1681" s="36" t="s">
        <v>436</v>
      </c>
      <c r="D1681" s="37">
        <v>42030.332349537035</v>
      </c>
      <c r="E1681" s="37">
        <v>42030.338761574072</v>
      </c>
      <c r="F1681">
        <v>1</v>
      </c>
      <c r="O1681">
        <v>10</v>
      </c>
      <c r="Q1681">
        <v>12</v>
      </c>
      <c r="V1681" s="42" t="s">
        <v>70</v>
      </c>
      <c r="W1681" s="47">
        <v>12</v>
      </c>
    </row>
    <row r="1682" spans="1:23" hidden="1">
      <c r="A1682">
        <v>3715578405</v>
      </c>
      <c r="B1682">
        <v>57240262</v>
      </c>
      <c r="C1682" s="36" t="s">
        <v>1915</v>
      </c>
      <c r="D1682" s="37">
        <v>42030.345439814817</v>
      </c>
      <c r="E1682" s="37">
        <v>42030.350370370368</v>
      </c>
      <c r="K1682">
        <v>6</v>
      </c>
      <c r="S1682">
        <v>14</v>
      </c>
      <c r="W1682" s="47"/>
    </row>
    <row r="1683" spans="1:23" hidden="1">
      <c r="A1683">
        <v>3715585865</v>
      </c>
      <c r="B1683">
        <v>57240262</v>
      </c>
      <c r="C1683" s="36" t="s">
        <v>1916</v>
      </c>
      <c r="D1683" s="37">
        <v>42030.348067129627</v>
      </c>
      <c r="E1683" s="37">
        <v>42030.351701388892</v>
      </c>
      <c r="K1683">
        <v>6</v>
      </c>
      <c r="Q1683">
        <v>12</v>
      </c>
      <c r="W1683" s="47"/>
    </row>
    <row r="1684" spans="1:23" hidden="1">
      <c r="A1684">
        <v>3715640668</v>
      </c>
      <c r="B1684">
        <v>57240262</v>
      </c>
      <c r="C1684" s="36" t="s">
        <v>1917</v>
      </c>
      <c r="D1684" s="37">
        <v>42030.38181712963</v>
      </c>
      <c r="E1684" s="37">
        <v>42030.386643518519</v>
      </c>
      <c r="U1684">
        <v>16</v>
      </c>
      <c r="W1684" s="47"/>
    </row>
    <row r="1685" spans="1:23" hidden="1">
      <c r="A1685">
        <v>3715650324</v>
      </c>
      <c r="B1685">
        <v>57240262</v>
      </c>
      <c r="C1685" s="36" t="s">
        <v>1918</v>
      </c>
      <c r="D1685" s="37">
        <v>42030.386967592596</v>
      </c>
      <c r="E1685" s="37">
        <v>42030.389513888891</v>
      </c>
      <c r="H1685">
        <v>3</v>
      </c>
      <c r="W1685" s="47"/>
    </row>
    <row r="1686" spans="1:23" hidden="1">
      <c r="A1686">
        <v>3715655389</v>
      </c>
      <c r="B1686">
        <v>57240262</v>
      </c>
      <c r="C1686" s="36" t="s">
        <v>1919</v>
      </c>
      <c r="D1686" s="37">
        <v>42030.389710648145</v>
      </c>
      <c r="E1686" s="37">
        <v>42030.391851851855</v>
      </c>
      <c r="U1686">
        <v>16</v>
      </c>
      <c r="W1686" s="47"/>
    </row>
    <row r="1687" spans="1:23" hidden="1">
      <c r="A1687">
        <v>3715660035</v>
      </c>
      <c r="B1687">
        <v>57240262</v>
      </c>
      <c r="C1687" s="36" t="s">
        <v>1920</v>
      </c>
      <c r="D1687" s="37">
        <v>42030.39203703704</v>
      </c>
      <c r="E1687" s="37">
        <v>42030.393506944441</v>
      </c>
      <c r="U1687">
        <v>16</v>
      </c>
      <c r="W1687" s="47"/>
    </row>
    <row r="1688" spans="1:23" hidden="1">
      <c r="A1688">
        <v>3715663147</v>
      </c>
      <c r="B1688">
        <v>57240262</v>
      </c>
      <c r="C1688" s="36" t="s">
        <v>1921</v>
      </c>
      <c r="D1688" s="37">
        <v>42030.393634259257</v>
      </c>
      <c r="E1688" s="37">
        <v>42030.396215277775</v>
      </c>
      <c r="G1688">
        <v>2</v>
      </c>
      <c r="W1688" s="47"/>
    </row>
    <row r="1689" spans="1:23" hidden="1">
      <c r="A1689">
        <v>3715668372</v>
      </c>
      <c r="B1689">
        <v>57240262</v>
      </c>
      <c r="C1689" s="36" t="s">
        <v>1922</v>
      </c>
      <c r="D1689" s="37">
        <v>42030.396354166667</v>
      </c>
      <c r="E1689" s="37">
        <v>42030.399189814816</v>
      </c>
      <c r="K1689">
        <v>6</v>
      </c>
      <c r="W1689" s="47"/>
    </row>
    <row r="1690" spans="1:23" hidden="1">
      <c r="A1690">
        <v>3715676175</v>
      </c>
      <c r="B1690">
        <v>57240262</v>
      </c>
      <c r="C1690" s="36" t="s">
        <v>1923</v>
      </c>
      <c r="D1690" s="37">
        <v>42030.400393518517</v>
      </c>
      <c r="E1690" s="37">
        <v>42030.402060185188</v>
      </c>
      <c r="U1690">
        <v>16</v>
      </c>
      <c r="W1690" s="47"/>
    </row>
    <row r="1691" spans="1:23" ht="24">
      <c r="A1691">
        <v>3715679907</v>
      </c>
      <c r="B1691">
        <v>57240262</v>
      </c>
      <c r="C1691" s="36" t="s">
        <v>1924</v>
      </c>
      <c r="D1691" s="37">
        <v>42030.402314814812</v>
      </c>
      <c r="E1691" s="37">
        <v>42030.405659722222</v>
      </c>
      <c r="F1691">
        <v>1</v>
      </c>
      <c r="I1691">
        <v>4</v>
      </c>
      <c r="K1691">
        <v>6</v>
      </c>
      <c r="P1691">
        <v>11</v>
      </c>
      <c r="V1691" s="42" t="s">
        <v>69</v>
      </c>
      <c r="W1691" s="47">
        <v>4</v>
      </c>
    </row>
    <row r="1692" spans="1:23" hidden="1">
      <c r="A1692">
        <v>3715686642</v>
      </c>
      <c r="B1692">
        <v>57240262</v>
      </c>
      <c r="C1692" s="36" t="s">
        <v>1925</v>
      </c>
      <c r="D1692" s="37">
        <v>42030.405752314815</v>
      </c>
      <c r="E1692" s="37">
        <v>42030.407939814817</v>
      </c>
      <c r="K1692">
        <v>6</v>
      </c>
      <c r="W1692" s="47"/>
    </row>
    <row r="1693" spans="1:23" hidden="1">
      <c r="A1693">
        <v>3715690857</v>
      </c>
      <c r="B1693">
        <v>57240262</v>
      </c>
      <c r="C1693" s="36" t="s">
        <v>1926</v>
      </c>
      <c r="D1693" s="37">
        <v>42030.40797453704</v>
      </c>
      <c r="E1693" s="37">
        <v>42030.410185185188</v>
      </c>
      <c r="F1693">
        <v>1</v>
      </c>
      <c r="H1693">
        <v>3</v>
      </c>
      <c r="W1693" s="47"/>
    </row>
    <row r="1694" spans="1:23" hidden="1">
      <c r="A1694">
        <v>3715695035</v>
      </c>
      <c r="B1694">
        <v>57240262</v>
      </c>
      <c r="C1694" s="36" t="s">
        <v>1927</v>
      </c>
      <c r="D1694" s="37">
        <v>42030.410219907404</v>
      </c>
      <c r="E1694" s="37">
        <v>42030.412754629629</v>
      </c>
      <c r="F1694">
        <v>1</v>
      </c>
      <c r="I1694">
        <v>4</v>
      </c>
      <c r="O1694">
        <v>10</v>
      </c>
      <c r="W1694" s="47"/>
    </row>
    <row r="1695" spans="1:23" hidden="1">
      <c r="A1695">
        <v>3715701966</v>
      </c>
      <c r="B1695">
        <v>57240262</v>
      </c>
      <c r="C1695" s="36" t="s">
        <v>1928</v>
      </c>
      <c r="D1695" s="37">
        <v>42030.413541666669</v>
      </c>
      <c r="E1695" s="37">
        <v>42030.415578703702</v>
      </c>
      <c r="U1695">
        <v>16</v>
      </c>
      <c r="W1695" s="47"/>
    </row>
    <row r="1696" spans="1:23" hidden="1">
      <c r="A1696">
        <v>3715708165</v>
      </c>
      <c r="B1696">
        <v>57240262</v>
      </c>
      <c r="C1696" s="36" t="s">
        <v>1929</v>
      </c>
      <c r="D1696" s="37">
        <v>42030.416585648149</v>
      </c>
      <c r="E1696" s="37">
        <v>42030.418761574074</v>
      </c>
      <c r="F1696">
        <v>1</v>
      </c>
      <c r="G1696">
        <v>2</v>
      </c>
      <c r="H1696">
        <v>3</v>
      </c>
      <c r="I1696">
        <v>4</v>
      </c>
      <c r="K1696">
        <v>6</v>
      </c>
      <c r="O1696">
        <v>10</v>
      </c>
      <c r="P1696">
        <v>11</v>
      </c>
      <c r="S1696">
        <v>14</v>
      </c>
      <c r="W1696" s="47"/>
    </row>
    <row r="1697" spans="1:23" hidden="1">
      <c r="A1697">
        <v>3715713511</v>
      </c>
      <c r="B1697">
        <v>57240262</v>
      </c>
      <c r="C1697" s="36" t="s">
        <v>1930</v>
      </c>
      <c r="D1697" s="37">
        <v>42030.419363425928</v>
      </c>
      <c r="E1697" s="37">
        <v>42030.420891203707</v>
      </c>
      <c r="U1697">
        <v>16</v>
      </c>
      <c r="W1697" s="47"/>
    </row>
    <row r="1698" spans="1:23" hidden="1">
      <c r="A1698">
        <v>3715716862</v>
      </c>
      <c r="B1698">
        <v>57240262</v>
      </c>
      <c r="C1698" s="36" t="s">
        <v>1931</v>
      </c>
      <c r="D1698" s="37">
        <v>42030.421018518522</v>
      </c>
      <c r="E1698" s="37">
        <v>42030.423194444447</v>
      </c>
      <c r="U1698">
        <v>16</v>
      </c>
      <c r="W1698" s="47"/>
    </row>
    <row r="1699" spans="1:23" hidden="1">
      <c r="A1699">
        <v>3715721425</v>
      </c>
      <c r="B1699">
        <v>57240262</v>
      </c>
      <c r="C1699" s="36" t="s">
        <v>1932</v>
      </c>
      <c r="D1699" s="37">
        <v>42030.42328703704</v>
      </c>
      <c r="E1699" s="37">
        <v>42030.425810185188</v>
      </c>
      <c r="Q1699">
        <v>12</v>
      </c>
      <c r="W1699" s="47"/>
    </row>
    <row r="1700" spans="1:23" hidden="1">
      <c r="A1700">
        <v>3715726947</v>
      </c>
      <c r="B1700">
        <v>57240262</v>
      </c>
      <c r="C1700" s="36" t="s">
        <v>1933</v>
      </c>
      <c r="D1700" s="37">
        <v>42030.425949074073</v>
      </c>
      <c r="E1700" s="37">
        <v>42030.428414351853</v>
      </c>
      <c r="F1700">
        <v>1</v>
      </c>
      <c r="R1700">
        <v>13</v>
      </c>
      <c r="W1700" s="47"/>
    </row>
    <row r="1701" spans="1:23" hidden="1">
      <c r="A1701">
        <v>3715732985</v>
      </c>
      <c r="B1701">
        <v>57240262</v>
      </c>
      <c r="C1701" s="36" t="s">
        <v>1934</v>
      </c>
      <c r="D1701" s="37">
        <v>42030.428518518522</v>
      </c>
      <c r="E1701" s="37">
        <v>42030.43236111111</v>
      </c>
      <c r="I1701">
        <v>4</v>
      </c>
      <c r="W1701" s="47"/>
    </row>
    <row r="1702" spans="1:23" hidden="1">
      <c r="A1702">
        <v>3715740909</v>
      </c>
      <c r="B1702">
        <v>57240262</v>
      </c>
      <c r="C1702" s="36" t="s">
        <v>1935</v>
      </c>
      <c r="D1702" s="37">
        <v>42030.432569444441</v>
      </c>
      <c r="E1702" s="37">
        <v>42030.43540509259</v>
      </c>
      <c r="U1702">
        <v>16</v>
      </c>
      <c r="W1702" s="47"/>
    </row>
    <row r="1703" spans="1:23" hidden="1">
      <c r="A1703">
        <v>3715746979</v>
      </c>
      <c r="B1703">
        <v>57240262</v>
      </c>
      <c r="C1703" s="36" t="s">
        <v>1936</v>
      </c>
      <c r="D1703" s="37">
        <v>42030.435555555552</v>
      </c>
      <c r="E1703" s="37">
        <v>42030.438020833331</v>
      </c>
      <c r="K1703">
        <v>6</v>
      </c>
      <c r="W1703" s="47"/>
    </row>
    <row r="1704" spans="1:23" hidden="1">
      <c r="A1704">
        <v>3715755876</v>
      </c>
      <c r="B1704">
        <v>57240262</v>
      </c>
      <c r="C1704" s="36" t="s">
        <v>1937</v>
      </c>
      <c r="D1704" s="37">
        <v>42030.440023148149</v>
      </c>
      <c r="E1704" s="37">
        <v>42030.442719907405</v>
      </c>
      <c r="F1704">
        <v>1</v>
      </c>
      <c r="G1704">
        <v>2</v>
      </c>
      <c r="H1704">
        <v>3</v>
      </c>
      <c r="I1704">
        <v>4</v>
      </c>
      <c r="W1704" s="47"/>
    </row>
    <row r="1705" spans="1:23" hidden="1">
      <c r="A1705">
        <v>3715762372</v>
      </c>
      <c r="B1705">
        <v>57240262</v>
      </c>
      <c r="C1705" s="36" t="s">
        <v>1938</v>
      </c>
      <c r="D1705" s="37">
        <v>42030.443240740744</v>
      </c>
      <c r="E1705" s="37">
        <v>42030.446018518516</v>
      </c>
      <c r="F1705">
        <v>1</v>
      </c>
      <c r="G1705">
        <v>2</v>
      </c>
      <c r="W1705" s="47"/>
    </row>
    <row r="1706" spans="1:23" hidden="1">
      <c r="A1706">
        <v>3715768796</v>
      </c>
      <c r="B1706">
        <v>57240262</v>
      </c>
      <c r="C1706" s="36" t="s">
        <v>1939</v>
      </c>
      <c r="D1706" s="37">
        <v>42030.446261574078</v>
      </c>
      <c r="E1706" s="37">
        <v>42030.447997685187</v>
      </c>
      <c r="U1706">
        <v>16</v>
      </c>
      <c r="W1706" s="47"/>
    </row>
    <row r="1707" spans="1:23" hidden="1">
      <c r="A1707">
        <v>3715772760</v>
      </c>
      <c r="B1707">
        <v>57240262</v>
      </c>
      <c r="C1707" s="36" t="s">
        <v>1940</v>
      </c>
      <c r="D1707" s="37">
        <v>42030.448148148149</v>
      </c>
      <c r="E1707" s="37">
        <v>42030.450868055559</v>
      </c>
      <c r="F1707">
        <v>1</v>
      </c>
      <c r="G1707">
        <v>2</v>
      </c>
      <c r="K1707">
        <v>6</v>
      </c>
      <c r="W1707" s="47"/>
    </row>
    <row r="1708" spans="1:23" hidden="1">
      <c r="A1708">
        <v>3715780568</v>
      </c>
      <c r="B1708">
        <v>57240262</v>
      </c>
      <c r="C1708" s="36" t="s">
        <v>1941</v>
      </c>
      <c r="D1708" s="37">
        <v>42030.451851851853</v>
      </c>
      <c r="E1708" s="37">
        <v>42030.455682870372</v>
      </c>
      <c r="G1708">
        <v>2</v>
      </c>
      <c r="L1708">
        <v>7</v>
      </c>
      <c r="W1708" s="47"/>
    </row>
    <row r="1709" spans="1:23" hidden="1">
      <c r="A1709">
        <v>3715790007</v>
      </c>
      <c r="B1709">
        <v>57240262</v>
      </c>
      <c r="C1709" s="36" t="s">
        <v>1942</v>
      </c>
      <c r="D1709" s="37">
        <v>42030.45621527778</v>
      </c>
      <c r="E1709" s="37">
        <v>42030.458090277774</v>
      </c>
      <c r="L1709">
        <v>7</v>
      </c>
      <c r="W1709" s="47"/>
    </row>
    <row r="1710" spans="1:23" hidden="1">
      <c r="A1710">
        <v>3715795165</v>
      </c>
      <c r="B1710">
        <v>57240262</v>
      </c>
      <c r="C1710" s="36" t="s">
        <v>1943</v>
      </c>
      <c r="D1710" s="37">
        <v>42030.458819444444</v>
      </c>
      <c r="E1710" s="37">
        <v>42030.460590277777</v>
      </c>
      <c r="M1710">
        <v>8</v>
      </c>
      <c r="W1710" s="47"/>
    </row>
    <row r="1711" spans="1:23" hidden="1">
      <c r="A1711">
        <v>3715799030</v>
      </c>
      <c r="B1711">
        <v>57240262</v>
      </c>
      <c r="C1711" s="36" t="s">
        <v>1944</v>
      </c>
      <c r="D1711" s="37">
        <v>42030.460740740738</v>
      </c>
      <c r="E1711" s="37">
        <v>42030.463020833333</v>
      </c>
      <c r="F1711">
        <v>1</v>
      </c>
      <c r="R1711">
        <v>13</v>
      </c>
      <c r="W1711" s="47"/>
    </row>
    <row r="1712" spans="1:23" hidden="1">
      <c r="A1712">
        <v>3715812855</v>
      </c>
      <c r="B1712">
        <v>57240262</v>
      </c>
      <c r="C1712" s="36" t="s">
        <v>1945</v>
      </c>
      <c r="D1712" s="37">
        <v>42030.467060185183</v>
      </c>
      <c r="E1712" s="37">
        <v>42030.469259259262</v>
      </c>
      <c r="I1712">
        <v>4</v>
      </c>
      <c r="Q1712">
        <v>12</v>
      </c>
      <c r="W1712" s="47"/>
    </row>
    <row r="1713" spans="1:23" hidden="1">
      <c r="A1713">
        <v>3715817709</v>
      </c>
      <c r="B1713">
        <v>57240262</v>
      </c>
      <c r="C1713" s="36" t="s">
        <v>1946</v>
      </c>
      <c r="D1713" s="37">
        <v>42030.469305555554</v>
      </c>
      <c r="E1713" s="37">
        <v>42030.474293981482</v>
      </c>
      <c r="I1713">
        <v>4</v>
      </c>
      <c r="W1713" s="47"/>
    </row>
    <row r="1714" spans="1:23" hidden="1">
      <c r="A1714">
        <v>3715828637</v>
      </c>
      <c r="B1714">
        <v>57240262</v>
      </c>
      <c r="C1714" s="36" t="s">
        <v>1947</v>
      </c>
      <c r="D1714" s="37">
        <v>42030.474328703705</v>
      </c>
      <c r="E1714" s="37">
        <v>42030.475694444445</v>
      </c>
      <c r="K1714">
        <v>6</v>
      </c>
      <c r="W1714" s="47"/>
    </row>
    <row r="1715" spans="1:23" hidden="1">
      <c r="A1715">
        <v>3715831594</v>
      </c>
      <c r="B1715">
        <v>57240262</v>
      </c>
      <c r="C1715" s="36" t="s">
        <v>1948</v>
      </c>
      <c r="D1715" s="37">
        <v>42030.475729166668</v>
      </c>
      <c r="E1715" s="37">
        <v>42030.477175925924</v>
      </c>
      <c r="U1715">
        <v>16</v>
      </c>
      <c r="W1715" s="47"/>
    </row>
    <row r="1716" spans="1:23">
      <c r="A1716">
        <v>3715834942</v>
      </c>
      <c r="B1716">
        <v>57240262</v>
      </c>
      <c r="C1716" s="36" t="s">
        <v>1949</v>
      </c>
      <c r="D1716" s="37">
        <v>42030.477326388886</v>
      </c>
      <c r="E1716" s="37">
        <v>42030.479780092595</v>
      </c>
      <c r="F1716">
        <v>1</v>
      </c>
      <c r="G1716">
        <v>2</v>
      </c>
      <c r="K1716">
        <v>6</v>
      </c>
      <c r="V1716" s="42" t="s">
        <v>68</v>
      </c>
      <c r="W1716" s="47">
        <v>1</v>
      </c>
    </row>
    <row r="1717" spans="1:23" hidden="1">
      <c r="A1717">
        <v>3715840211</v>
      </c>
      <c r="B1717">
        <v>57240262</v>
      </c>
      <c r="C1717" s="36" t="s">
        <v>1950</v>
      </c>
      <c r="D1717" s="37">
        <v>42030.479861111111</v>
      </c>
      <c r="E1717" s="37">
        <v>42030.482152777775</v>
      </c>
      <c r="G1717">
        <v>2</v>
      </c>
      <c r="W1717" s="47"/>
    </row>
    <row r="1718" spans="1:23" hidden="1">
      <c r="A1718">
        <v>3715845191</v>
      </c>
      <c r="B1718">
        <v>57240262</v>
      </c>
      <c r="C1718" s="36" t="s">
        <v>1951</v>
      </c>
      <c r="D1718" s="37">
        <v>42030.482175925928</v>
      </c>
      <c r="E1718" s="37">
        <v>42030.483993055554</v>
      </c>
      <c r="K1718">
        <v>6</v>
      </c>
      <c r="W1718" s="47"/>
    </row>
    <row r="1719" spans="1:23" hidden="1">
      <c r="A1719">
        <v>3715850652</v>
      </c>
      <c r="B1719">
        <v>57240262</v>
      </c>
      <c r="C1719" s="36" t="s">
        <v>1952</v>
      </c>
      <c r="D1719" s="37">
        <v>42030.484629629631</v>
      </c>
      <c r="E1719" s="37">
        <v>42030.486030092594</v>
      </c>
      <c r="U1719">
        <v>16</v>
      </c>
      <c r="W1719" s="47"/>
    </row>
    <row r="1720" spans="1:23">
      <c r="A1720">
        <v>3715853758</v>
      </c>
      <c r="B1720">
        <v>57240262</v>
      </c>
      <c r="C1720" s="36" t="s">
        <v>1953</v>
      </c>
      <c r="D1720" s="37">
        <v>42030.48605324074</v>
      </c>
      <c r="E1720" s="37">
        <v>42030.488194444442</v>
      </c>
      <c r="G1720">
        <v>2</v>
      </c>
      <c r="I1720">
        <v>4</v>
      </c>
      <c r="V1720" s="42" t="s">
        <v>67</v>
      </c>
      <c r="W1720" s="47">
        <v>2</v>
      </c>
    </row>
    <row r="1721" spans="1:23" hidden="1">
      <c r="A1721">
        <v>3715861047</v>
      </c>
      <c r="B1721">
        <v>57240262</v>
      </c>
      <c r="C1721" s="36" t="s">
        <v>1954</v>
      </c>
      <c r="D1721" s="37">
        <v>42030.48946759259</v>
      </c>
      <c r="E1721" s="37">
        <v>42030.491435185184</v>
      </c>
      <c r="G1721">
        <v>2</v>
      </c>
      <c r="W1721" s="47"/>
    </row>
    <row r="1722" spans="1:23" hidden="1">
      <c r="A1722">
        <v>3715865623</v>
      </c>
      <c r="B1722">
        <v>57240262</v>
      </c>
      <c r="C1722" s="36" t="s">
        <v>1955</v>
      </c>
      <c r="D1722" s="37">
        <v>42030.491620370369</v>
      </c>
      <c r="E1722" s="37">
        <v>42030.494386574072</v>
      </c>
      <c r="K1722">
        <v>6</v>
      </c>
      <c r="W1722" s="47"/>
    </row>
    <row r="1723" spans="1:23" hidden="1">
      <c r="A1723">
        <v>3715871842</v>
      </c>
      <c r="B1723">
        <v>57240262</v>
      </c>
      <c r="C1723" s="36" t="s">
        <v>1956</v>
      </c>
      <c r="D1723" s="37">
        <v>42030.494444444441</v>
      </c>
      <c r="E1723" s="37">
        <v>42030.495891203704</v>
      </c>
      <c r="U1723">
        <v>16</v>
      </c>
      <c r="W1723" s="47"/>
    </row>
    <row r="1724" spans="1:23" hidden="1">
      <c r="A1724">
        <v>3715875217</v>
      </c>
      <c r="B1724">
        <v>57240262</v>
      </c>
      <c r="C1724" s="36" t="s">
        <v>1957</v>
      </c>
      <c r="D1724" s="37">
        <v>42030.495949074073</v>
      </c>
      <c r="E1724" s="37">
        <v>42030.498043981483</v>
      </c>
      <c r="F1724">
        <v>1</v>
      </c>
      <c r="G1724">
        <v>2</v>
      </c>
      <c r="H1724">
        <v>3</v>
      </c>
      <c r="I1724">
        <v>4</v>
      </c>
      <c r="J1724">
        <v>5</v>
      </c>
      <c r="O1724">
        <v>10</v>
      </c>
      <c r="W1724" s="47"/>
    </row>
    <row r="1725" spans="1:23" hidden="1">
      <c r="A1725">
        <v>3715880244</v>
      </c>
      <c r="B1725">
        <v>57240262</v>
      </c>
      <c r="C1725" s="36" t="s">
        <v>1958</v>
      </c>
      <c r="D1725" s="37">
        <v>42030.498252314814</v>
      </c>
      <c r="E1725" s="37">
        <v>42030.499502314815</v>
      </c>
      <c r="U1725">
        <v>16</v>
      </c>
      <c r="W1725" s="47"/>
    </row>
    <row r="1726" spans="1:23" hidden="1">
      <c r="A1726">
        <v>3715896573</v>
      </c>
      <c r="B1726">
        <v>57240262</v>
      </c>
      <c r="C1726" s="36" t="s">
        <v>1959</v>
      </c>
      <c r="D1726" s="37">
        <v>42030.505624999998</v>
      </c>
      <c r="E1726" s="37">
        <v>42030.50708333333</v>
      </c>
      <c r="I1726">
        <v>4</v>
      </c>
      <c r="W1726" s="47"/>
    </row>
    <row r="1727" spans="1:23" hidden="1">
      <c r="A1727">
        <v>3715900196</v>
      </c>
      <c r="B1727">
        <v>57240262</v>
      </c>
      <c r="C1727" s="36" t="s">
        <v>1960</v>
      </c>
      <c r="D1727" s="37">
        <v>42030.507199074076</v>
      </c>
      <c r="E1727" s="37">
        <v>42030.509293981479</v>
      </c>
      <c r="I1727">
        <v>4</v>
      </c>
      <c r="W1727" s="47"/>
    </row>
    <row r="1728" spans="1:23" hidden="1">
      <c r="A1728">
        <v>3715905912</v>
      </c>
      <c r="B1728">
        <v>57240262</v>
      </c>
      <c r="C1728" s="36" t="s">
        <v>1961</v>
      </c>
      <c r="D1728" s="37">
        <v>42030.509652777779</v>
      </c>
      <c r="E1728" s="37">
        <v>42030.511192129627</v>
      </c>
      <c r="U1728">
        <v>16</v>
      </c>
      <c r="W1728" s="47"/>
    </row>
    <row r="1729" spans="1:23" hidden="1">
      <c r="A1729">
        <v>3715909558</v>
      </c>
      <c r="B1729">
        <v>57240262</v>
      </c>
      <c r="C1729" s="36" t="s">
        <v>1962</v>
      </c>
      <c r="D1729" s="37">
        <v>42030.511273148149</v>
      </c>
      <c r="E1729" s="37">
        <v>42030.512881944444</v>
      </c>
      <c r="N1729">
        <v>9</v>
      </c>
      <c r="W1729" s="47"/>
    </row>
    <row r="1730" spans="1:23" hidden="1">
      <c r="A1730">
        <v>3715913558</v>
      </c>
      <c r="B1730">
        <v>57240262</v>
      </c>
      <c r="C1730" s="36" t="s">
        <v>1963</v>
      </c>
      <c r="D1730" s="37">
        <v>42030.512928240743</v>
      </c>
      <c r="E1730" s="37">
        <v>42030.515023148146</v>
      </c>
      <c r="F1730">
        <v>1</v>
      </c>
      <c r="J1730">
        <v>5</v>
      </c>
      <c r="K1730">
        <v>6</v>
      </c>
      <c r="O1730">
        <v>10</v>
      </c>
      <c r="W1730" s="47"/>
    </row>
    <row r="1731" spans="1:23" hidden="1">
      <c r="A1731">
        <v>3715914401</v>
      </c>
      <c r="B1731">
        <v>57240262</v>
      </c>
      <c r="C1731" s="36" t="s">
        <v>1964</v>
      </c>
      <c r="D1731" s="37">
        <v>42030.51326388889</v>
      </c>
      <c r="E1731" s="37">
        <v>42030.5156712963</v>
      </c>
      <c r="U1731">
        <v>16</v>
      </c>
      <c r="W1731" s="47"/>
    </row>
    <row r="1732" spans="1:23" hidden="1">
      <c r="A1732">
        <v>3715918727</v>
      </c>
      <c r="B1732">
        <v>57240262</v>
      </c>
      <c r="C1732" s="36" t="s">
        <v>1965</v>
      </c>
      <c r="D1732" s="37">
        <v>42030.515104166669</v>
      </c>
      <c r="E1732" s="37">
        <v>42030.51662037037</v>
      </c>
      <c r="G1732">
        <v>2</v>
      </c>
      <c r="W1732" s="47"/>
    </row>
    <row r="1733" spans="1:23" hidden="1">
      <c r="A1733">
        <v>3715922461</v>
      </c>
      <c r="B1733">
        <v>57240262</v>
      </c>
      <c r="C1733" s="36" t="s">
        <v>1966</v>
      </c>
      <c r="D1733" s="37">
        <v>42030.516712962963</v>
      </c>
      <c r="E1733" s="37">
        <v>42030.518159722225</v>
      </c>
      <c r="U1733">
        <v>16</v>
      </c>
      <c r="W1733" s="47"/>
    </row>
    <row r="1734" spans="1:23" hidden="1">
      <c r="A1734">
        <v>3715926023</v>
      </c>
      <c r="B1734">
        <v>57240262</v>
      </c>
      <c r="C1734" s="36" t="s">
        <v>1967</v>
      </c>
      <c r="D1734" s="37">
        <v>42030.518182870372</v>
      </c>
      <c r="E1734" s="37">
        <v>42030.519699074073</v>
      </c>
      <c r="F1734">
        <v>1</v>
      </c>
      <c r="K1734">
        <v>6</v>
      </c>
      <c r="W1734" s="47"/>
    </row>
    <row r="1735" spans="1:23" hidden="1">
      <c r="A1735">
        <v>3715930184</v>
      </c>
      <c r="B1735">
        <v>57240262</v>
      </c>
      <c r="C1735" s="36" t="s">
        <v>1968</v>
      </c>
      <c r="D1735" s="37">
        <v>42030.519930555558</v>
      </c>
      <c r="E1735" s="37">
        <v>42030.523368055554</v>
      </c>
      <c r="I1735">
        <v>4</v>
      </c>
      <c r="W1735" s="47"/>
    </row>
    <row r="1736" spans="1:23" hidden="1">
      <c r="A1736">
        <v>3715940358</v>
      </c>
      <c r="B1736">
        <v>57240262</v>
      </c>
      <c r="C1736" s="36" t="s">
        <v>442</v>
      </c>
      <c r="D1736" s="37">
        <v>42030.524131944447</v>
      </c>
      <c r="E1736" s="37">
        <v>42030.526296296295</v>
      </c>
      <c r="F1736">
        <v>1</v>
      </c>
      <c r="G1736">
        <v>2</v>
      </c>
      <c r="I1736">
        <v>4</v>
      </c>
      <c r="W1736" s="47"/>
    </row>
    <row r="1737" spans="1:23" hidden="1">
      <c r="A1737">
        <v>3715946196</v>
      </c>
      <c r="B1737">
        <v>57240262</v>
      </c>
      <c r="C1737" s="36" t="s">
        <v>1969</v>
      </c>
      <c r="D1737" s="37">
        <v>42030.526574074072</v>
      </c>
      <c r="E1737" s="37">
        <v>42030.527986111112</v>
      </c>
      <c r="H1737">
        <v>3</v>
      </c>
      <c r="W1737" s="47"/>
    </row>
    <row r="1738" spans="1:23" hidden="1">
      <c r="A1738">
        <v>3715951279</v>
      </c>
      <c r="B1738">
        <v>57240262</v>
      </c>
      <c r="C1738" s="36" t="s">
        <v>1970</v>
      </c>
      <c r="D1738" s="37">
        <v>42030.528703703705</v>
      </c>
      <c r="E1738" s="37">
        <v>42030.530266203707</v>
      </c>
      <c r="F1738">
        <v>1</v>
      </c>
      <c r="K1738">
        <v>6</v>
      </c>
      <c r="W1738" s="47"/>
    </row>
    <row r="1739" spans="1:23" hidden="1">
      <c r="A1739">
        <v>3715955697</v>
      </c>
      <c r="B1739">
        <v>57240262</v>
      </c>
      <c r="C1739" s="36" t="s">
        <v>1971</v>
      </c>
      <c r="D1739" s="37">
        <v>42030.530428240738</v>
      </c>
      <c r="E1739" s="37">
        <v>42030.531666666669</v>
      </c>
      <c r="U1739">
        <v>16</v>
      </c>
      <c r="W1739" s="47"/>
    </row>
    <row r="1740" spans="1:23" hidden="1">
      <c r="A1740">
        <v>3715959331</v>
      </c>
      <c r="B1740">
        <v>57240262</v>
      </c>
      <c r="C1740" s="36" t="s">
        <v>1972</v>
      </c>
      <c r="D1740" s="37">
        <v>42030.531851851854</v>
      </c>
      <c r="E1740" s="37">
        <v>42030.535520833335</v>
      </c>
      <c r="F1740">
        <v>1</v>
      </c>
      <c r="G1740">
        <v>2</v>
      </c>
      <c r="H1740">
        <v>3</v>
      </c>
      <c r="I1740">
        <v>4</v>
      </c>
      <c r="J1740">
        <v>5</v>
      </c>
      <c r="K1740">
        <v>6</v>
      </c>
      <c r="L1740">
        <v>7</v>
      </c>
      <c r="M1740">
        <v>8</v>
      </c>
      <c r="N1740">
        <v>9</v>
      </c>
      <c r="O1740">
        <v>10</v>
      </c>
      <c r="P1740">
        <v>11</v>
      </c>
      <c r="Q1740">
        <v>12</v>
      </c>
      <c r="R1740">
        <v>13</v>
      </c>
      <c r="S1740">
        <v>14</v>
      </c>
      <c r="W1740" s="47"/>
    </row>
    <row r="1741" spans="1:23" hidden="1">
      <c r="A1741">
        <v>3715943991</v>
      </c>
      <c r="B1741">
        <v>57240262</v>
      </c>
      <c r="C1741" s="36" t="s">
        <v>441</v>
      </c>
      <c r="D1741" s="37">
        <v>42030.525567129633</v>
      </c>
      <c r="E1741" s="37">
        <v>42030.53707175926</v>
      </c>
      <c r="Q1741">
        <v>12</v>
      </c>
      <c r="W1741" s="47"/>
    </row>
    <row r="1742" spans="1:23" hidden="1">
      <c r="A1742">
        <v>3715969452</v>
      </c>
      <c r="B1742">
        <v>57240262</v>
      </c>
      <c r="C1742" s="36" t="s">
        <v>1973</v>
      </c>
      <c r="D1742" s="37">
        <v>42030.535729166666</v>
      </c>
      <c r="E1742" s="37">
        <v>42030.53765046296</v>
      </c>
      <c r="U1742">
        <v>16</v>
      </c>
      <c r="W1742" s="47"/>
    </row>
    <row r="1743" spans="1:23" hidden="1">
      <c r="A1743">
        <v>3716017937</v>
      </c>
      <c r="B1743">
        <v>57240262</v>
      </c>
      <c r="C1743" s="36" t="s">
        <v>1974</v>
      </c>
      <c r="D1743" s="37">
        <v>42030.552847222221</v>
      </c>
      <c r="E1743" s="37">
        <v>42030.555659722224</v>
      </c>
      <c r="U1743">
        <v>16</v>
      </c>
      <c r="W1743" s="47"/>
    </row>
    <row r="1744" spans="1:23" hidden="1">
      <c r="A1744">
        <v>3716027735</v>
      </c>
      <c r="B1744">
        <v>57240262</v>
      </c>
      <c r="C1744" s="36" t="s">
        <v>1975</v>
      </c>
      <c r="D1744" s="37">
        <v>42030.556354166663</v>
      </c>
      <c r="E1744" s="37">
        <v>42030.559537037036</v>
      </c>
      <c r="K1744">
        <v>6</v>
      </c>
      <c r="O1744">
        <v>10</v>
      </c>
      <c r="W1744" s="47"/>
    </row>
    <row r="1745" spans="1:23" hidden="1">
      <c r="A1745">
        <v>3716078772</v>
      </c>
      <c r="B1745">
        <v>57240262</v>
      </c>
      <c r="C1745" s="36" t="s">
        <v>1976</v>
      </c>
      <c r="D1745" s="37">
        <v>42030.537210648145</v>
      </c>
      <c r="E1745" s="37">
        <v>42030.582314814812</v>
      </c>
      <c r="F1745">
        <v>1</v>
      </c>
      <c r="W1745" s="47"/>
    </row>
    <row r="1746" spans="1:23" hidden="1">
      <c r="A1746">
        <v>3716132616</v>
      </c>
      <c r="B1746">
        <v>57240262</v>
      </c>
      <c r="C1746" s="36" t="s">
        <v>1977</v>
      </c>
      <c r="D1746" s="37">
        <v>42030.589155092595</v>
      </c>
      <c r="E1746" s="37">
        <v>42030.592164351852</v>
      </c>
      <c r="U1746">
        <v>16</v>
      </c>
      <c r="W1746" s="47"/>
    </row>
    <row r="1747" spans="1:23" hidden="1">
      <c r="A1747">
        <v>3716146885</v>
      </c>
      <c r="B1747">
        <v>57240262</v>
      </c>
      <c r="C1747" s="36" t="s">
        <v>1978</v>
      </c>
      <c r="D1747" s="37">
        <v>42030.593194444446</v>
      </c>
      <c r="E1747" s="37">
        <v>42030.598368055558</v>
      </c>
      <c r="O1747">
        <v>10</v>
      </c>
      <c r="W1747" s="47"/>
    </row>
    <row r="1748" spans="1:23" hidden="1">
      <c r="A1748">
        <v>3716160714</v>
      </c>
      <c r="B1748">
        <v>57240262</v>
      </c>
      <c r="C1748" s="36" t="s">
        <v>1979</v>
      </c>
      <c r="D1748" s="37">
        <v>42030.596886574072</v>
      </c>
      <c r="E1748" s="37">
        <v>42030.600312499999</v>
      </c>
      <c r="U1748">
        <v>16</v>
      </c>
      <c r="W1748" s="47"/>
    </row>
    <row r="1749" spans="1:23" hidden="1">
      <c r="A1749">
        <v>3716214880</v>
      </c>
      <c r="B1749">
        <v>57240262</v>
      </c>
      <c r="C1749" s="36" t="s">
        <v>1980</v>
      </c>
      <c r="D1749" s="37">
        <v>42030.61136574074</v>
      </c>
      <c r="E1749" s="37">
        <v>42030.617777777778</v>
      </c>
      <c r="U1749">
        <v>16</v>
      </c>
      <c r="W1749" s="47"/>
    </row>
    <row r="1750" spans="1:23" hidden="1">
      <c r="A1750">
        <v>3716326435</v>
      </c>
      <c r="B1750">
        <v>57240262</v>
      </c>
      <c r="C1750" s="36" t="s">
        <v>1981</v>
      </c>
      <c r="D1750" s="37">
        <v>42030.639618055553</v>
      </c>
      <c r="E1750" s="37">
        <v>42030.643587962964</v>
      </c>
      <c r="K1750">
        <v>6</v>
      </c>
      <c r="W1750" s="47"/>
    </row>
    <row r="1751" spans="1:23" hidden="1">
      <c r="A1751">
        <v>3716382666</v>
      </c>
      <c r="B1751">
        <v>57240262</v>
      </c>
      <c r="C1751" s="36" t="s">
        <v>1982</v>
      </c>
      <c r="D1751" s="37">
        <v>42030.653692129628</v>
      </c>
      <c r="E1751" s="37">
        <v>42030.654652777775</v>
      </c>
      <c r="O1751">
        <v>10</v>
      </c>
      <c r="W1751" s="47"/>
    </row>
    <row r="1752" spans="1:23" hidden="1">
      <c r="A1752">
        <v>3716448115</v>
      </c>
      <c r="B1752">
        <v>57240262</v>
      </c>
      <c r="C1752" s="36" t="s">
        <v>1983</v>
      </c>
      <c r="D1752" s="37">
        <v>42030.668680555558</v>
      </c>
      <c r="E1752" s="37">
        <v>42030.673622685186</v>
      </c>
      <c r="U1752">
        <v>16</v>
      </c>
      <c r="W1752" s="47"/>
    </row>
    <row r="1753" spans="1:23" hidden="1">
      <c r="A1753">
        <v>3716536282</v>
      </c>
      <c r="B1753">
        <v>57240262</v>
      </c>
      <c r="C1753" s="36" t="s">
        <v>1984</v>
      </c>
      <c r="D1753" s="37">
        <v>42030.689293981479</v>
      </c>
      <c r="E1753" s="37">
        <v>42030.693865740737</v>
      </c>
      <c r="U1753">
        <v>16</v>
      </c>
      <c r="W1753" s="47"/>
    </row>
    <row r="1754" spans="1:23">
      <c r="A1754">
        <v>3717059094</v>
      </c>
      <c r="B1754">
        <v>57240262</v>
      </c>
      <c r="C1754" s="36" t="s">
        <v>1985</v>
      </c>
      <c r="D1754" s="37">
        <v>42030.823553240742</v>
      </c>
      <c r="E1754" s="37">
        <v>42030.839699074073</v>
      </c>
      <c r="G1754">
        <v>2</v>
      </c>
      <c r="M1754">
        <v>8</v>
      </c>
      <c r="V1754" s="42" t="s">
        <v>66</v>
      </c>
      <c r="W1754" s="47">
        <v>2</v>
      </c>
    </row>
    <row r="1755" spans="1:23" hidden="1">
      <c r="A1755">
        <v>3718321795</v>
      </c>
      <c r="B1755">
        <v>57240262</v>
      </c>
      <c r="C1755" s="36" t="s">
        <v>1986</v>
      </c>
      <c r="D1755" s="37">
        <v>42031.359861111108</v>
      </c>
      <c r="E1755" s="37">
        <v>42031.369490740741</v>
      </c>
      <c r="I1755">
        <v>4</v>
      </c>
      <c r="W1755" s="47"/>
    </row>
    <row r="1756" spans="1:23" hidden="1">
      <c r="A1756">
        <v>3718333837</v>
      </c>
      <c r="B1756">
        <v>57240262</v>
      </c>
      <c r="C1756" s="36" t="s">
        <v>1987</v>
      </c>
      <c r="D1756" s="37">
        <v>42031.366747685184</v>
      </c>
      <c r="E1756" s="37">
        <v>42031.371099537035</v>
      </c>
      <c r="U1756">
        <v>16</v>
      </c>
      <c r="W1756" s="47"/>
    </row>
    <row r="1757" spans="1:23" hidden="1">
      <c r="A1757">
        <v>3718401253</v>
      </c>
      <c r="B1757">
        <v>57240262</v>
      </c>
      <c r="C1757" s="36" t="s">
        <v>1988</v>
      </c>
      <c r="D1757" s="37">
        <v>42031.40121527778</v>
      </c>
      <c r="E1757" s="37">
        <v>42031.402592592596</v>
      </c>
      <c r="U1757">
        <v>16</v>
      </c>
      <c r="W1757" s="47"/>
    </row>
    <row r="1758" spans="1:23" hidden="1">
      <c r="A1758">
        <v>3718411171</v>
      </c>
      <c r="B1758">
        <v>57240262</v>
      </c>
      <c r="C1758" s="36" t="s">
        <v>1989</v>
      </c>
      <c r="D1758" s="37">
        <v>42031.403634259259</v>
      </c>
      <c r="E1758" s="37">
        <v>42031.411041666666</v>
      </c>
      <c r="F1758">
        <v>1</v>
      </c>
      <c r="G1758">
        <v>2</v>
      </c>
      <c r="K1758">
        <v>6</v>
      </c>
      <c r="W1758" s="47"/>
    </row>
    <row r="1759" spans="1:23" hidden="1">
      <c r="A1759">
        <v>3718475014</v>
      </c>
      <c r="B1759">
        <v>57240262</v>
      </c>
      <c r="C1759" s="36" t="s">
        <v>1990</v>
      </c>
      <c r="D1759" s="37">
        <v>42031.438043981485</v>
      </c>
      <c r="E1759" s="37">
        <v>42031.440034722225</v>
      </c>
      <c r="U1759">
        <v>16</v>
      </c>
      <c r="W1759" s="47"/>
    </row>
    <row r="1760" spans="1:23" hidden="1">
      <c r="A1760">
        <v>3718480533</v>
      </c>
      <c r="B1760">
        <v>57240262</v>
      </c>
      <c r="C1760" s="36" t="s">
        <v>1991</v>
      </c>
      <c r="D1760" s="37">
        <v>42031.434050925927</v>
      </c>
      <c r="E1760" s="37">
        <v>42031.444606481484</v>
      </c>
      <c r="U1760">
        <v>16</v>
      </c>
      <c r="W1760" s="47"/>
    </row>
    <row r="1761" spans="1:23" hidden="1">
      <c r="A1761">
        <v>3718526775</v>
      </c>
      <c r="B1761">
        <v>57240262</v>
      </c>
      <c r="C1761" s="36" t="s">
        <v>1992</v>
      </c>
      <c r="D1761" s="37">
        <v>42031.4609375</v>
      </c>
      <c r="E1761" s="37">
        <v>42031.464409722219</v>
      </c>
      <c r="U1761">
        <v>16</v>
      </c>
      <c r="W1761" s="47"/>
    </row>
    <row r="1762" spans="1:23" hidden="1">
      <c r="A1762">
        <v>3718542866</v>
      </c>
      <c r="B1762">
        <v>57240262</v>
      </c>
      <c r="C1762" s="36" t="s">
        <v>1993</v>
      </c>
      <c r="D1762" s="37">
        <v>42031.467662037037</v>
      </c>
      <c r="E1762" s="37">
        <v>42031.473414351851</v>
      </c>
      <c r="I1762">
        <v>4</v>
      </c>
      <c r="W1762" s="47"/>
    </row>
    <row r="1763" spans="1:23" hidden="1">
      <c r="A1763">
        <v>3718556379</v>
      </c>
      <c r="B1763">
        <v>57240262</v>
      </c>
      <c r="C1763" s="36" t="s">
        <v>1994</v>
      </c>
      <c r="D1763" s="37">
        <v>42031.473773148151</v>
      </c>
      <c r="E1763" s="37">
        <v>42031.481608796297</v>
      </c>
      <c r="F1763">
        <v>1</v>
      </c>
      <c r="G1763">
        <v>2</v>
      </c>
      <c r="H1763">
        <v>3</v>
      </c>
      <c r="I1763">
        <v>4</v>
      </c>
      <c r="J1763">
        <v>5</v>
      </c>
      <c r="K1763">
        <v>6</v>
      </c>
      <c r="L1763">
        <v>7</v>
      </c>
      <c r="M1763">
        <v>8</v>
      </c>
      <c r="W1763" s="47"/>
    </row>
    <row r="1764" spans="1:23" hidden="1">
      <c r="A1764">
        <v>3718574896</v>
      </c>
      <c r="B1764">
        <v>57240262</v>
      </c>
      <c r="C1764" s="36" t="s">
        <v>1995</v>
      </c>
      <c r="D1764" s="37">
        <v>42031.481736111113</v>
      </c>
      <c r="E1764" s="37">
        <v>42031.485347222224</v>
      </c>
      <c r="U1764">
        <v>16</v>
      </c>
      <c r="W1764" s="47"/>
    </row>
    <row r="1765" spans="1:23" hidden="1">
      <c r="A1765">
        <v>3718584502</v>
      </c>
      <c r="B1765">
        <v>57240262</v>
      </c>
      <c r="C1765" s="36" t="s">
        <v>1996</v>
      </c>
      <c r="D1765" s="37">
        <v>42031.485439814816</v>
      </c>
      <c r="E1765" s="37">
        <v>42031.49077546296</v>
      </c>
      <c r="F1765">
        <v>1</v>
      </c>
      <c r="G1765">
        <v>2</v>
      </c>
      <c r="H1765">
        <v>3</v>
      </c>
      <c r="I1765">
        <v>4</v>
      </c>
      <c r="K1765">
        <v>6</v>
      </c>
      <c r="M1765">
        <v>8</v>
      </c>
      <c r="Q1765">
        <v>12</v>
      </c>
      <c r="R1765">
        <v>13</v>
      </c>
      <c r="S1765">
        <v>14</v>
      </c>
      <c r="W1765" s="47"/>
    </row>
    <row r="1766" spans="1:23" hidden="1">
      <c r="A1766">
        <v>3718604437</v>
      </c>
      <c r="B1766">
        <v>57240262</v>
      </c>
      <c r="C1766" s="36" t="s">
        <v>1997</v>
      </c>
      <c r="D1766" s="37">
        <v>42031.492384259262</v>
      </c>
      <c r="E1766" s="37">
        <v>42031.497523148151</v>
      </c>
      <c r="F1766">
        <v>1</v>
      </c>
      <c r="K1766">
        <v>6</v>
      </c>
      <c r="W1766" s="47"/>
    </row>
    <row r="1767" spans="1:23" hidden="1">
      <c r="A1767">
        <v>3718617981</v>
      </c>
      <c r="B1767">
        <v>57240262</v>
      </c>
      <c r="C1767" s="36" t="s">
        <v>1998</v>
      </c>
      <c r="D1767" s="37">
        <v>42031.497210648151</v>
      </c>
      <c r="E1767" s="37">
        <v>42031.500833333332</v>
      </c>
      <c r="Q1767">
        <v>12</v>
      </c>
      <c r="W1767" s="47"/>
    </row>
    <row r="1768" spans="1:23" hidden="1">
      <c r="A1768">
        <v>3718619080</v>
      </c>
      <c r="B1768">
        <v>57240262</v>
      </c>
      <c r="C1768" s="36" t="s">
        <v>1999</v>
      </c>
      <c r="D1768" s="37">
        <v>42031.497662037036</v>
      </c>
      <c r="E1768" s="37">
        <v>42031.502141203702</v>
      </c>
      <c r="F1768">
        <v>1</v>
      </c>
      <c r="K1768">
        <v>6</v>
      </c>
      <c r="N1768">
        <v>9</v>
      </c>
      <c r="W1768" s="47"/>
    </row>
    <row r="1769" spans="1:23" hidden="1">
      <c r="A1769">
        <v>3718632105</v>
      </c>
      <c r="B1769">
        <v>57240262</v>
      </c>
      <c r="C1769" s="36" t="s">
        <v>2000</v>
      </c>
      <c r="D1769" s="37">
        <v>42031.502256944441</v>
      </c>
      <c r="E1769" s="37">
        <v>42031.505231481482</v>
      </c>
      <c r="U1769">
        <v>16</v>
      </c>
      <c r="W1769" s="47"/>
    </row>
    <row r="1770" spans="1:23" hidden="1">
      <c r="A1770">
        <v>3718644328</v>
      </c>
      <c r="B1770">
        <v>57240262</v>
      </c>
      <c r="C1770" s="36" t="s">
        <v>2001</v>
      </c>
      <c r="D1770" s="37">
        <v>42031.506273148145</v>
      </c>
      <c r="E1770" s="37">
        <v>42031.509837962964</v>
      </c>
      <c r="U1770">
        <v>16</v>
      </c>
      <c r="W1770" s="47"/>
    </row>
    <row r="1771" spans="1:23" ht="24">
      <c r="A1771">
        <v>3718692219</v>
      </c>
      <c r="B1771">
        <v>57240262</v>
      </c>
      <c r="C1771" s="36" t="s">
        <v>2002</v>
      </c>
      <c r="D1771" s="37">
        <v>42031.52306712963</v>
      </c>
      <c r="E1771" s="37">
        <v>42031.536956018521</v>
      </c>
      <c r="G1771">
        <v>2</v>
      </c>
      <c r="J1771">
        <v>5</v>
      </c>
      <c r="K1771">
        <v>6</v>
      </c>
      <c r="P1771">
        <v>11</v>
      </c>
      <c r="Q1771">
        <v>12</v>
      </c>
      <c r="V1771" s="42" t="s">
        <v>65</v>
      </c>
      <c r="W1771" s="47">
        <v>4</v>
      </c>
    </row>
    <row r="1772" spans="1:23">
      <c r="A1772">
        <v>3719228890</v>
      </c>
      <c r="B1772">
        <v>57240262</v>
      </c>
      <c r="C1772" s="36" t="s">
        <v>2003</v>
      </c>
      <c r="D1772" s="37">
        <v>42031.661921296298</v>
      </c>
      <c r="E1772" s="37">
        <v>42031.666504629633</v>
      </c>
      <c r="F1772">
        <v>1</v>
      </c>
      <c r="I1772">
        <v>4</v>
      </c>
      <c r="K1772">
        <v>6</v>
      </c>
      <c r="N1772">
        <v>9</v>
      </c>
      <c r="O1772">
        <v>10</v>
      </c>
      <c r="P1772">
        <v>11</v>
      </c>
      <c r="V1772" s="42" t="s">
        <v>26</v>
      </c>
      <c r="W1772" s="47">
        <v>4</v>
      </c>
    </row>
    <row r="1773" spans="1:23" hidden="1">
      <c r="A1773">
        <v>3719278284</v>
      </c>
      <c r="B1773">
        <v>57240262</v>
      </c>
      <c r="C1773" s="36" t="s">
        <v>2004</v>
      </c>
      <c r="D1773" s="37">
        <v>42031.672453703701</v>
      </c>
      <c r="E1773" s="37">
        <v>42031.677777777775</v>
      </c>
      <c r="K1773">
        <v>6</v>
      </c>
      <c r="R1773">
        <v>13</v>
      </c>
      <c r="W1773" s="47"/>
    </row>
    <row r="1774" spans="1:23" hidden="1">
      <c r="A1774">
        <v>3719310331</v>
      </c>
      <c r="B1774">
        <v>57240262</v>
      </c>
      <c r="C1774" s="36" t="s">
        <v>2005</v>
      </c>
      <c r="D1774" s="37">
        <v>42031.679120370369</v>
      </c>
      <c r="E1774" s="37">
        <v>42031.683356481481</v>
      </c>
      <c r="J1774">
        <v>5</v>
      </c>
      <c r="W1774" s="47"/>
    </row>
    <row r="1775" spans="1:23">
      <c r="A1775">
        <v>3719412349</v>
      </c>
      <c r="B1775">
        <v>57240262</v>
      </c>
      <c r="C1775" s="36" t="s">
        <v>2006</v>
      </c>
      <c r="D1775" s="37">
        <v>42031.699293981481</v>
      </c>
      <c r="E1775" s="37">
        <v>42031.718206018515</v>
      </c>
      <c r="I1775">
        <v>4</v>
      </c>
      <c r="Q1775">
        <v>12</v>
      </c>
      <c r="V1775" s="42" t="s">
        <v>64</v>
      </c>
      <c r="W1775" s="47">
        <v>12</v>
      </c>
    </row>
    <row r="1776" spans="1:23" hidden="1">
      <c r="A1776">
        <v>3719648065</v>
      </c>
      <c r="B1776">
        <v>57240262</v>
      </c>
      <c r="C1776" s="36" t="s">
        <v>2007</v>
      </c>
      <c r="D1776" s="37">
        <v>42031.750196759262</v>
      </c>
      <c r="E1776" s="37">
        <v>42031.755833333336</v>
      </c>
      <c r="M1776">
        <v>8</v>
      </c>
      <c r="W1776" s="47"/>
    </row>
    <row r="1777" spans="1:23" hidden="1">
      <c r="A1777">
        <v>3719782061</v>
      </c>
      <c r="B1777">
        <v>57240262</v>
      </c>
      <c r="C1777" s="36" t="s">
        <v>447</v>
      </c>
      <c r="D1777" s="37">
        <v>42031.781388888892</v>
      </c>
      <c r="E1777" s="37">
        <v>42031.786053240743</v>
      </c>
      <c r="F1777">
        <v>1</v>
      </c>
      <c r="K1777">
        <v>6</v>
      </c>
      <c r="W1777" s="47"/>
    </row>
    <row r="1778" spans="1:23" hidden="1">
      <c r="A1778">
        <v>3719801113</v>
      </c>
      <c r="B1778">
        <v>57240262</v>
      </c>
      <c r="C1778" s="36" t="s">
        <v>2008</v>
      </c>
      <c r="D1778" s="37">
        <v>42031.785891203705</v>
      </c>
      <c r="E1778" s="37">
        <v>42031.791250000002</v>
      </c>
      <c r="F1778">
        <v>1</v>
      </c>
      <c r="W1778" s="47"/>
    </row>
    <row r="1779" spans="1:23" hidden="1">
      <c r="A1779">
        <v>3719798210</v>
      </c>
      <c r="B1779">
        <v>57240262</v>
      </c>
      <c r="C1779" s="36" t="s">
        <v>445</v>
      </c>
      <c r="D1779" s="37">
        <v>42031.785243055558</v>
      </c>
      <c r="E1779" s="37">
        <v>42031.79451388889</v>
      </c>
      <c r="F1779">
        <v>1</v>
      </c>
      <c r="J1779">
        <v>5</v>
      </c>
      <c r="K1779">
        <v>6</v>
      </c>
      <c r="O1779">
        <v>10</v>
      </c>
      <c r="W1779" s="47"/>
    </row>
    <row r="1780" spans="1:23" hidden="1">
      <c r="A1780">
        <v>3719793947</v>
      </c>
      <c r="B1780">
        <v>57240262</v>
      </c>
      <c r="C1780" s="36" t="s">
        <v>446</v>
      </c>
      <c r="D1780" s="37">
        <v>42031.782870370371</v>
      </c>
      <c r="E1780" s="37">
        <v>42031.79451388889</v>
      </c>
      <c r="U1780">
        <v>16</v>
      </c>
      <c r="W1780" s="47"/>
    </row>
    <row r="1781" spans="1:23" hidden="1">
      <c r="A1781">
        <v>3719860223</v>
      </c>
      <c r="B1781">
        <v>57240262</v>
      </c>
      <c r="C1781" s="36" t="s">
        <v>2009</v>
      </c>
      <c r="D1781" s="37">
        <v>42031.79954861111</v>
      </c>
      <c r="E1781" s="37">
        <v>42031.806168981479</v>
      </c>
      <c r="I1781">
        <v>4</v>
      </c>
      <c r="M1781">
        <v>8</v>
      </c>
      <c r="W1781" s="47"/>
    </row>
    <row r="1782" spans="1:23" hidden="1">
      <c r="A1782">
        <v>3719980348</v>
      </c>
      <c r="B1782">
        <v>57240262</v>
      </c>
      <c r="C1782" s="36" t="s">
        <v>2010</v>
      </c>
      <c r="D1782" s="37">
        <v>42031.827581018515</v>
      </c>
      <c r="E1782" s="37">
        <v>42031.830879629626</v>
      </c>
      <c r="U1782">
        <v>16</v>
      </c>
      <c r="W1782" s="47"/>
    </row>
    <row r="1783" spans="1:23" hidden="1">
      <c r="A1783">
        <v>3720036639</v>
      </c>
      <c r="B1783">
        <v>57240262</v>
      </c>
      <c r="C1783" s="36" t="s">
        <v>2011</v>
      </c>
      <c r="D1783" s="37">
        <v>42031.84065972222</v>
      </c>
      <c r="E1783" s="37">
        <v>42031.844756944447</v>
      </c>
      <c r="I1783">
        <v>4</v>
      </c>
      <c r="W1783" s="47"/>
    </row>
    <row r="1784" spans="1:23" hidden="1">
      <c r="A1784">
        <v>3720057370</v>
      </c>
      <c r="B1784">
        <v>57240262</v>
      </c>
      <c r="C1784" s="36" t="s">
        <v>2012</v>
      </c>
      <c r="D1784" s="37">
        <v>42031.845625000002</v>
      </c>
      <c r="E1784" s="37">
        <v>42031.849293981482</v>
      </c>
      <c r="M1784">
        <v>8</v>
      </c>
      <c r="W1784" s="47"/>
    </row>
    <row r="1785" spans="1:23" hidden="1">
      <c r="A1785">
        <v>3720158152</v>
      </c>
      <c r="B1785">
        <v>57240262</v>
      </c>
      <c r="C1785" s="36" t="s">
        <v>2013</v>
      </c>
      <c r="D1785" s="37">
        <v>42031.868877314817</v>
      </c>
      <c r="E1785" s="37">
        <v>42031.873564814814</v>
      </c>
      <c r="U1785">
        <v>16</v>
      </c>
      <c r="W1785" s="47"/>
    </row>
    <row r="1786" spans="1:23" hidden="1">
      <c r="A1786">
        <v>3720960498</v>
      </c>
      <c r="B1786">
        <v>57240262</v>
      </c>
      <c r="C1786" s="36" t="s">
        <v>2014</v>
      </c>
      <c r="D1786" s="37">
        <v>42032.155555555553</v>
      </c>
      <c r="E1786" s="37">
        <v>42032.163657407407</v>
      </c>
      <c r="F1786">
        <v>1</v>
      </c>
      <c r="W1786" s="47"/>
    </row>
    <row r="1787" spans="1:23" hidden="1">
      <c r="A1787">
        <v>3721353696</v>
      </c>
      <c r="B1787">
        <v>57240262</v>
      </c>
      <c r="C1787" s="36" t="s">
        <v>2015</v>
      </c>
      <c r="D1787" s="37">
        <v>42032.38863425926</v>
      </c>
      <c r="E1787" s="37">
        <v>42032.395185185182</v>
      </c>
      <c r="F1787">
        <v>1</v>
      </c>
      <c r="K1787">
        <v>6</v>
      </c>
      <c r="W1787" s="47"/>
    </row>
    <row r="1788" spans="1:23">
      <c r="A1788">
        <v>3721403185</v>
      </c>
      <c r="B1788">
        <v>57240262</v>
      </c>
      <c r="C1788" s="36" t="s">
        <v>2016</v>
      </c>
      <c r="D1788" s="37">
        <v>42032.412627314814</v>
      </c>
      <c r="E1788" s="37">
        <v>42032.419930555552</v>
      </c>
      <c r="G1788">
        <v>2</v>
      </c>
      <c r="J1788">
        <v>5</v>
      </c>
      <c r="K1788">
        <v>6</v>
      </c>
      <c r="O1788">
        <v>10</v>
      </c>
      <c r="V1788" s="42" t="s">
        <v>34</v>
      </c>
      <c r="W1788" s="47">
        <v>6</v>
      </c>
    </row>
    <row r="1789" spans="1:23" hidden="1">
      <c r="A1789">
        <v>3721971612</v>
      </c>
      <c r="B1789">
        <v>57240262</v>
      </c>
      <c r="C1789" s="36" t="s">
        <v>2017</v>
      </c>
      <c r="D1789" s="37">
        <v>42032.612847222219</v>
      </c>
      <c r="E1789" s="37">
        <v>42032.616423611114</v>
      </c>
      <c r="M1789">
        <v>8</v>
      </c>
      <c r="W1789" s="47"/>
    </row>
    <row r="1790" spans="1:23" hidden="1">
      <c r="A1790">
        <v>3722011149</v>
      </c>
      <c r="B1790">
        <v>57240262</v>
      </c>
      <c r="C1790" s="36" t="s">
        <v>2018</v>
      </c>
      <c r="D1790" s="37">
        <v>42032.621307870373</v>
      </c>
      <c r="E1790" s="37">
        <v>42032.625856481478</v>
      </c>
      <c r="U1790">
        <v>16</v>
      </c>
      <c r="W1790" s="47"/>
    </row>
    <row r="1791" spans="1:23" hidden="1">
      <c r="A1791">
        <v>3722055731</v>
      </c>
      <c r="B1791">
        <v>57240262</v>
      </c>
      <c r="C1791" s="36" t="s">
        <v>2019</v>
      </c>
      <c r="D1791" s="37">
        <v>42032.632604166669</v>
      </c>
      <c r="E1791" s="37">
        <v>42032.634340277778</v>
      </c>
      <c r="U1791">
        <v>16</v>
      </c>
      <c r="W1791" s="47"/>
    </row>
    <row r="1792" spans="1:23" hidden="1">
      <c r="A1792">
        <v>3722360703</v>
      </c>
      <c r="B1792">
        <v>57240262</v>
      </c>
      <c r="C1792" s="36" t="s">
        <v>2020</v>
      </c>
      <c r="D1792" s="37">
        <v>42032.699490740742</v>
      </c>
      <c r="E1792" s="37">
        <v>42032.7033912037</v>
      </c>
      <c r="U1792">
        <v>16</v>
      </c>
      <c r="W1792" s="47"/>
    </row>
    <row r="1793" spans="1:23" hidden="1">
      <c r="A1793">
        <v>3722543917</v>
      </c>
      <c r="B1793">
        <v>57240262</v>
      </c>
      <c r="C1793" s="36" t="s">
        <v>2021</v>
      </c>
      <c r="D1793" s="37">
        <v>42032.736458333333</v>
      </c>
      <c r="E1793" s="37">
        <v>42032.741342592592</v>
      </c>
      <c r="U1793">
        <v>16</v>
      </c>
      <c r="W1793" s="47"/>
    </row>
    <row r="1794" spans="1:23" ht="24">
      <c r="A1794">
        <v>3722883737</v>
      </c>
      <c r="B1794">
        <v>57240262</v>
      </c>
      <c r="C1794" s="36" t="s">
        <v>2022</v>
      </c>
      <c r="D1794" s="37">
        <v>42032.80841435185</v>
      </c>
      <c r="E1794" s="37">
        <v>42032.829907407409</v>
      </c>
      <c r="F1794">
        <v>1</v>
      </c>
      <c r="G1794">
        <v>2</v>
      </c>
      <c r="H1794">
        <v>3</v>
      </c>
      <c r="I1794">
        <v>4</v>
      </c>
      <c r="O1794">
        <v>10</v>
      </c>
      <c r="P1794">
        <v>11</v>
      </c>
      <c r="Q1794">
        <v>12</v>
      </c>
      <c r="R1794">
        <v>13</v>
      </c>
      <c r="V1794" s="42" t="s">
        <v>63</v>
      </c>
      <c r="W1794" s="47">
        <v>1</v>
      </c>
    </row>
    <row r="1795" spans="1:23" hidden="1">
      <c r="A1795">
        <v>3723283711</v>
      </c>
      <c r="B1795">
        <v>57240262</v>
      </c>
      <c r="C1795" s="36" t="s">
        <v>450</v>
      </c>
      <c r="D1795" s="37">
        <v>42032.895335648151</v>
      </c>
      <c r="E1795" s="37">
        <v>42032.897499999999</v>
      </c>
      <c r="F1795">
        <v>1</v>
      </c>
      <c r="G1795">
        <v>2</v>
      </c>
      <c r="K1795">
        <v>6</v>
      </c>
      <c r="W1795" s="47"/>
    </row>
    <row r="1796" spans="1:23">
      <c r="A1796">
        <v>3723238094</v>
      </c>
      <c r="B1796">
        <v>57240262</v>
      </c>
      <c r="C1796" s="36" t="s">
        <v>2023</v>
      </c>
      <c r="D1796" s="37">
        <v>42032.884456018517</v>
      </c>
      <c r="E1796" s="37">
        <v>42032.899155092593</v>
      </c>
      <c r="F1796">
        <v>1</v>
      </c>
      <c r="H1796">
        <v>3</v>
      </c>
      <c r="J1796">
        <v>5</v>
      </c>
      <c r="K1796">
        <v>6</v>
      </c>
      <c r="L1796">
        <v>7</v>
      </c>
      <c r="O1796">
        <v>10</v>
      </c>
      <c r="Q1796">
        <v>12</v>
      </c>
      <c r="S1796">
        <v>14</v>
      </c>
      <c r="V1796" s="42" t="s">
        <v>62</v>
      </c>
      <c r="W1796" s="47">
        <v>5</v>
      </c>
    </row>
    <row r="1797" spans="1:23" hidden="1">
      <c r="A1797">
        <v>3723300818</v>
      </c>
      <c r="B1797">
        <v>57240262</v>
      </c>
      <c r="C1797" s="36" t="s">
        <v>2024</v>
      </c>
      <c r="D1797" s="37">
        <v>42032.899560185186</v>
      </c>
      <c r="E1797" s="37">
        <v>42032.900497685187</v>
      </c>
      <c r="F1797">
        <v>1</v>
      </c>
      <c r="W1797" s="47"/>
    </row>
    <row r="1798" spans="1:23" hidden="1">
      <c r="A1798">
        <v>3723325779</v>
      </c>
      <c r="B1798">
        <v>57240262</v>
      </c>
      <c r="C1798" s="36" t="s">
        <v>2025</v>
      </c>
      <c r="D1798" s="37">
        <v>42032.905787037038</v>
      </c>
      <c r="E1798" s="37">
        <v>42032.910312499997</v>
      </c>
      <c r="U1798">
        <v>16</v>
      </c>
      <c r="W1798" s="47"/>
    </row>
    <row r="1799" spans="1:23">
      <c r="A1799">
        <v>3723393944</v>
      </c>
      <c r="B1799">
        <v>57240262</v>
      </c>
      <c r="C1799" s="36" t="s">
        <v>2026</v>
      </c>
      <c r="D1799" s="37">
        <v>42032.922418981485</v>
      </c>
      <c r="E1799" s="37">
        <v>42032.930659722224</v>
      </c>
      <c r="G1799">
        <v>2</v>
      </c>
      <c r="H1799">
        <v>3</v>
      </c>
      <c r="O1799">
        <v>10</v>
      </c>
      <c r="P1799">
        <v>11</v>
      </c>
      <c r="Q1799">
        <v>12</v>
      </c>
      <c r="R1799">
        <v>13</v>
      </c>
      <c r="V1799" s="42" t="s">
        <v>61</v>
      </c>
      <c r="W1799" s="47">
        <v>12</v>
      </c>
    </row>
    <row r="1800" spans="1:23" hidden="1">
      <c r="A1800">
        <v>3723416319</v>
      </c>
      <c r="B1800">
        <v>57240262</v>
      </c>
      <c r="C1800" s="36" t="s">
        <v>2027</v>
      </c>
      <c r="D1800" s="37">
        <v>42032.928067129629</v>
      </c>
      <c r="E1800" s="37">
        <v>42032.931898148148</v>
      </c>
      <c r="U1800">
        <v>16</v>
      </c>
      <c r="W1800" s="47"/>
    </row>
    <row r="1801" spans="1:23" hidden="1">
      <c r="A1801">
        <v>3723580468</v>
      </c>
      <c r="B1801">
        <v>57240262</v>
      </c>
      <c r="C1801" s="36" t="s">
        <v>2028</v>
      </c>
      <c r="D1801" s="37">
        <v>42032.973935185182</v>
      </c>
      <c r="E1801" s="37">
        <v>42032.980092592596</v>
      </c>
      <c r="G1801">
        <v>2</v>
      </c>
      <c r="K1801">
        <v>6</v>
      </c>
      <c r="O1801">
        <v>10</v>
      </c>
      <c r="W1801" s="47"/>
    </row>
    <row r="1802" spans="1:23" hidden="1">
      <c r="A1802">
        <v>3724546978</v>
      </c>
      <c r="B1802">
        <v>57240262</v>
      </c>
      <c r="C1802" s="36" t="s">
        <v>2029</v>
      </c>
      <c r="D1802" s="37">
        <v>42033.381076388891</v>
      </c>
      <c r="E1802" s="37">
        <v>42033.389027777775</v>
      </c>
      <c r="G1802">
        <v>2</v>
      </c>
      <c r="W1802" s="47"/>
    </row>
    <row r="1803" spans="1:23" hidden="1">
      <c r="A1803">
        <v>3724555644</v>
      </c>
      <c r="B1803">
        <v>57240262</v>
      </c>
      <c r="C1803" s="36" t="s">
        <v>2030</v>
      </c>
      <c r="D1803" s="37">
        <v>42033.386354166665</v>
      </c>
      <c r="E1803" s="37">
        <v>42033.392430555556</v>
      </c>
      <c r="U1803">
        <v>16</v>
      </c>
      <c r="W1803" s="47"/>
    </row>
    <row r="1804" spans="1:23" hidden="1">
      <c r="A1804">
        <v>3724566753</v>
      </c>
      <c r="B1804">
        <v>57240262</v>
      </c>
      <c r="C1804" s="36" t="s">
        <v>2031</v>
      </c>
      <c r="D1804" s="37">
        <v>42033.392939814818</v>
      </c>
      <c r="E1804" s="37">
        <v>42033.396134259259</v>
      </c>
      <c r="I1804">
        <v>4</v>
      </c>
      <c r="J1804">
        <v>5</v>
      </c>
      <c r="K1804">
        <v>6</v>
      </c>
      <c r="M1804">
        <v>8</v>
      </c>
      <c r="O1804">
        <v>10</v>
      </c>
      <c r="W1804" s="47"/>
    </row>
    <row r="1805" spans="1:23">
      <c r="A1805">
        <v>3724724784</v>
      </c>
      <c r="B1805">
        <v>57240262</v>
      </c>
      <c r="C1805" s="36" t="s">
        <v>2032</v>
      </c>
      <c r="D1805" s="37">
        <v>42033.476851851854</v>
      </c>
      <c r="E1805" s="37">
        <v>42033.482627314814</v>
      </c>
      <c r="F1805">
        <v>1</v>
      </c>
      <c r="G1805">
        <v>2</v>
      </c>
      <c r="I1805">
        <v>4</v>
      </c>
      <c r="K1805">
        <v>6</v>
      </c>
      <c r="N1805">
        <v>9</v>
      </c>
      <c r="O1805">
        <v>10</v>
      </c>
      <c r="V1805" s="42" t="s">
        <v>60</v>
      </c>
      <c r="W1805" s="47">
        <v>9</v>
      </c>
    </row>
    <row r="1806" spans="1:23" hidden="1">
      <c r="A1806">
        <v>3724754950</v>
      </c>
      <c r="B1806">
        <v>57240262</v>
      </c>
      <c r="C1806" s="36" t="s">
        <v>2033</v>
      </c>
      <c r="D1806" s="37">
        <v>42033.489027777781</v>
      </c>
      <c r="E1806" s="37">
        <v>42033.494131944448</v>
      </c>
      <c r="U1806">
        <v>16</v>
      </c>
      <c r="W1806" s="47"/>
    </row>
    <row r="1807" spans="1:23" hidden="1">
      <c r="A1807">
        <v>3724810920</v>
      </c>
      <c r="B1807">
        <v>57240262</v>
      </c>
      <c r="C1807" s="36" t="s">
        <v>2034</v>
      </c>
      <c r="D1807" s="37">
        <v>42033.517870370371</v>
      </c>
      <c r="E1807" s="37">
        <v>42033.521828703706</v>
      </c>
      <c r="O1807">
        <v>10</v>
      </c>
      <c r="W1807" s="47"/>
    </row>
    <row r="1808" spans="1:23" hidden="1">
      <c r="A1808">
        <v>3725115696</v>
      </c>
      <c r="B1808">
        <v>57240262</v>
      </c>
      <c r="C1808" s="36" t="s">
        <v>2035</v>
      </c>
      <c r="D1808" s="37">
        <v>42033.619479166664</v>
      </c>
      <c r="E1808" s="37">
        <v>42033.622430555559</v>
      </c>
      <c r="U1808">
        <v>16</v>
      </c>
      <c r="W1808" s="47"/>
    </row>
    <row r="1809" spans="1:23" ht="24">
      <c r="A1809">
        <v>3725131807</v>
      </c>
      <c r="B1809">
        <v>57240262</v>
      </c>
      <c r="C1809" s="36" t="s">
        <v>2036</v>
      </c>
      <c r="D1809" s="37">
        <v>42033.623668981483</v>
      </c>
      <c r="E1809" s="37">
        <v>42033.63521990741</v>
      </c>
      <c r="P1809">
        <v>11</v>
      </c>
      <c r="Q1809">
        <v>12</v>
      </c>
      <c r="V1809" s="42" t="s">
        <v>59</v>
      </c>
      <c r="W1809" s="47">
        <v>12</v>
      </c>
    </row>
    <row r="1810" spans="1:23" hidden="1">
      <c r="A1810">
        <v>3725488546</v>
      </c>
      <c r="B1810">
        <v>57240262</v>
      </c>
      <c r="C1810" s="36" t="s">
        <v>2037</v>
      </c>
      <c r="D1810" s="37">
        <v>42033.712858796294</v>
      </c>
      <c r="E1810" s="37">
        <v>42033.717511574076</v>
      </c>
      <c r="K1810">
        <v>6</v>
      </c>
      <c r="W1810" s="47"/>
    </row>
    <row r="1811" spans="1:23" hidden="1">
      <c r="A1811">
        <v>3725684823</v>
      </c>
      <c r="B1811">
        <v>57240262</v>
      </c>
      <c r="C1811" s="36" t="s">
        <v>2038</v>
      </c>
      <c r="D1811" s="37">
        <v>42033.765092592592</v>
      </c>
      <c r="E1811" s="37">
        <v>42033.769189814811</v>
      </c>
      <c r="U1811">
        <v>16</v>
      </c>
      <c r="W1811" s="47"/>
    </row>
    <row r="1812" spans="1:23" hidden="1">
      <c r="A1812">
        <v>3725795259</v>
      </c>
      <c r="B1812">
        <v>57240262</v>
      </c>
      <c r="C1812" s="36" t="s">
        <v>451</v>
      </c>
      <c r="D1812" s="37">
        <v>42033.795162037037</v>
      </c>
      <c r="E1812" s="37">
        <v>42033.800682870373</v>
      </c>
      <c r="G1812">
        <v>2</v>
      </c>
      <c r="I1812">
        <v>4</v>
      </c>
      <c r="O1812">
        <v>10</v>
      </c>
      <c r="W1812" s="47"/>
    </row>
    <row r="1813" spans="1:23">
      <c r="A1813">
        <v>3725788875</v>
      </c>
      <c r="B1813">
        <v>57240262</v>
      </c>
      <c r="C1813" s="36" t="s">
        <v>2039</v>
      </c>
      <c r="D1813" s="37">
        <v>42033.793680555558</v>
      </c>
      <c r="E1813" s="37">
        <v>42033.800868055558</v>
      </c>
      <c r="H1813">
        <v>3</v>
      </c>
      <c r="K1813">
        <v>6</v>
      </c>
      <c r="O1813">
        <v>10</v>
      </c>
      <c r="P1813">
        <v>11</v>
      </c>
      <c r="Q1813">
        <v>12</v>
      </c>
      <c r="V1813" s="42" t="s">
        <v>40</v>
      </c>
      <c r="W1813" s="47">
        <v>12</v>
      </c>
    </row>
    <row r="1814" spans="1:23" hidden="1">
      <c r="A1814">
        <v>3725969244</v>
      </c>
      <c r="B1814">
        <v>57240262</v>
      </c>
      <c r="C1814" s="36" t="s">
        <v>2040</v>
      </c>
      <c r="D1814" s="37">
        <v>42033.843414351853</v>
      </c>
      <c r="E1814" s="37">
        <v>42033.849050925928</v>
      </c>
      <c r="M1814">
        <v>8</v>
      </c>
      <c r="W1814" s="47"/>
    </row>
    <row r="1815" spans="1:23" hidden="1">
      <c r="A1815">
        <v>3725969446</v>
      </c>
      <c r="B1815">
        <v>57240262</v>
      </c>
      <c r="C1815" s="36" t="s">
        <v>2041</v>
      </c>
      <c r="D1815" s="37">
        <v>42033.843599537038</v>
      </c>
      <c r="E1815" s="37">
        <v>42033.84915509259</v>
      </c>
      <c r="M1815">
        <v>8</v>
      </c>
      <c r="Q1815">
        <v>12</v>
      </c>
      <c r="W1815" s="47"/>
    </row>
    <row r="1816" spans="1:23" hidden="1">
      <c r="A1816">
        <v>3726051544</v>
      </c>
      <c r="B1816">
        <v>57240262</v>
      </c>
      <c r="C1816" s="36" t="s">
        <v>2042</v>
      </c>
      <c r="D1816" s="37">
        <v>42033.866238425922</v>
      </c>
      <c r="E1816" s="37">
        <v>42033.867743055554</v>
      </c>
      <c r="K1816">
        <v>6</v>
      </c>
      <c r="W1816" s="47"/>
    </row>
    <row r="1817" spans="1:23" ht="24">
      <c r="A1817">
        <v>3726228603</v>
      </c>
      <c r="B1817">
        <v>57240262</v>
      </c>
      <c r="C1817" s="36" t="s">
        <v>2043</v>
      </c>
      <c r="D1817" s="37">
        <v>42033.918032407404</v>
      </c>
      <c r="E1817" s="37">
        <v>42033.927939814814</v>
      </c>
      <c r="F1817">
        <v>1</v>
      </c>
      <c r="G1817">
        <v>2</v>
      </c>
      <c r="H1817">
        <v>3</v>
      </c>
      <c r="K1817">
        <v>6</v>
      </c>
      <c r="R1817">
        <v>13</v>
      </c>
      <c r="S1817">
        <v>14</v>
      </c>
      <c r="V1817" s="42" t="s">
        <v>58</v>
      </c>
      <c r="W1817" s="47">
        <v>13</v>
      </c>
    </row>
    <row r="1818" spans="1:23" hidden="1">
      <c r="A1818">
        <v>3726367428</v>
      </c>
      <c r="B1818">
        <v>57240262</v>
      </c>
      <c r="C1818" s="36" t="s">
        <v>2044</v>
      </c>
      <c r="D1818" s="37">
        <v>42033.967743055553</v>
      </c>
      <c r="E1818" s="37">
        <v>42033.972222222219</v>
      </c>
      <c r="H1818">
        <v>3</v>
      </c>
      <c r="W1818" s="47"/>
    </row>
    <row r="1819" spans="1:23">
      <c r="A1819">
        <v>3727054772</v>
      </c>
      <c r="B1819">
        <v>57240262</v>
      </c>
      <c r="C1819" s="36" t="s">
        <v>2045</v>
      </c>
      <c r="D1819" s="37">
        <v>42034.411203703705</v>
      </c>
      <c r="E1819" s="37">
        <v>42034.415868055556</v>
      </c>
      <c r="F1819">
        <v>1</v>
      </c>
      <c r="I1819">
        <v>4</v>
      </c>
      <c r="J1819">
        <v>5</v>
      </c>
      <c r="M1819">
        <v>8</v>
      </c>
      <c r="O1819">
        <v>10</v>
      </c>
      <c r="V1819" s="42" t="s">
        <v>57</v>
      </c>
      <c r="W1819" s="47">
        <v>1</v>
      </c>
    </row>
    <row r="1820" spans="1:23" hidden="1">
      <c r="A1820">
        <v>3727222637</v>
      </c>
      <c r="B1820">
        <v>57240262</v>
      </c>
      <c r="C1820" s="36" t="s">
        <v>2046</v>
      </c>
      <c r="D1820" s="37">
        <v>42034.508437500001</v>
      </c>
      <c r="E1820" s="37">
        <v>42034.514699074076</v>
      </c>
      <c r="I1820">
        <v>4</v>
      </c>
      <c r="W1820" s="47"/>
    </row>
    <row r="1821" spans="1:23" hidden="1">
      <c r="A1821">
        <v>3727240272</v>
      </c>
      <c r="B1821">
        <v>57240262</v>
      </c>
      <c r="C1821" s="36" t="s">
        <v>2047</v>
      </c>
      <c r="D1821" s="37">
        <v>42034.516944444447</v>
      </c>
      <c r="E1821" s="37">
        <v>42034.519895833335</v>
      </c>
      <c r="U1821">
        <v>16</v>
      </c>
      <c r="W1821" s="47"/>
    </row>
    <row r="1822" spans="1:23" hidden="1">
      <c r="A1822">
        <v>3727296350</v>
      </c>
      <c r="B1822">
        <v>57240262</v>
      </c>
      <c r="C1822" s="36" t="s">
        <v>2048</v>
      </c>
      <c r="D1822" s="37">
        <v>42034.542650462965</v>
      </c>
      <c r="E1822" s="37">
        <v>42034.549062500002</v>
      </c>
      <c r="U1822">
        <v>16</v>
      </c>
      <c r="W1822" s="47"/>
    </row>
    <row r="1823" spans="1:23" hidden="1">
      <c r="A1823">
        <v>3727315690</v>
      </c>
      <c r="B1823">
        <v>57240262</v>
      </c>
      <c r="C1823" s="36" t="s">
        <v>2049</v>
      </c>
      <c r="D1823" s="37">
        <v>42034.549803240741</v>
      </c>
      <c r="E1823" s="37">
        <v>42034.556319444448</v>
      </c>
      <c r="U1823">
        <v>16</v>
      </c>
      <c r="W1823" s="47"/>
    </row>
    <row r="1824" spans="1:23" hidden="1">
      <c r="A1824">
        <v>3727328375</v>
      </c>
      <c r="B1824">
        <v>57240262</v>
      </c>
      <c r="C1824" s="36" t="s">
        <v>2050</v>
      </c>
      <c r="D1824" s="37">
        <v>42034.555763888886</v>
      </c>
      <c r="E1824" s="37">
        <v>42034.559189814812</v>
      </c>
      <c r="F1824">
        <v>1</v>
      </c>
      <c r="W1824" s="47"/>
    </row>
    <row r="1825" spans="1:23" hidden="1">
      <c r="A1825">
        <v>3727365371</v>
      </c>
      <c r="B1825">
        <v>57240262</v>
      </c>
      <c r="C1825" s="36" t="s">
        <v>2051</v>
      </c>
      <c r="D1825" s="37">
        <v>42034.569513888891</v>
      </c>
      <c r="E1825" s="37">
        <v>42034.573067129626</v>
      </c>
      <c r="U1825">
        <v>16</v>
      </c>
      <c r="W1825" s="47"/>
    </row>
    <row r="1826" spans="1:23" hidden="1">
      <c r="A1826">
        <v>3727467848</v>
      </c>
      <c r="B1826">
        <v>57240262</v>
      </c>
      <c r="C1826" s="36" t="s">
        <v>2052</v>
      </c>
      <c r="D1826" s="37">
        <v>42034.602893518517</v>
      </c>
      <c r="E1826" s="37">
        <v>42034.611006944448</v>
      </c>
      <c r="U1826">
        <v>16</v>
      </c>
      <c r="W1826" s="47"/>
    </row>
    <row r="1827" spans="1:23" hidden="1">
      <c r="A1827">
        <v>3727475259</v>
      </c>
      <c r="B1827">
        <v>57240262</v>
      </c>
      <c r="C1827" s="36" t="s">
        <v>2053</v>
      </c>
      <c r="D1827" s="37">
        <v>42034.605231481481</v>
      </c>
      <c r="E1827" s="37">
        <v>42034.612118055556</v>
      </c>
      <c r="U1827">
        <v>16</v>
      </c>
      <c r="W1827" s="47"/>
    </row>
    <row r="1828" spans="1:23" hidden="1">
      <c r="A1828">
        <v>3727479033</v>
      </c>
      <c r="B1828">
        <v>57240262</v>
      </c>
      <c r="C1828" s="36" t="s">
        <v>2054</v>
      </c>
      <c r="D1828" s="37">
        <v>42034.606585648151</v>
      </c>
      <c r="E1828" s="37">
        <v>42034.614895833336</v>
      </c>
      <c r="K1828">
        <v>6</v>
      </c>
      <c r="W1828" s="47"/>
    </row>
    <row r="1829" spans="1:23" hidden="1">
      <c r="A1829">
        <v>3727492225</v>
      </c>
      <c r="B1829">
        <v>57240262</v>
      </c>
      <c r="C1829" s="36" t="s">
        <v>2055</v>
      </c>
      <c r="D1829" s="37">
        <v>42034.610671296294</v>
      </c>
      <c r="E1829" s="37">
        <v>42034.616469907407</v>
      </c>
      <c r="Q1829">
        <v>12</v>
      </c>
      <c r="W1829" s="47"/>
    </row>
    <row r="1830" spans="1:23">
      <c r="A1830">
        <v>3727484739</v>
      </c>
      <c r="B1830">
        <v>57240262</v>
      </c>
      <c r="C1830" s="36" t="s">
        <v>452</v>
      </c>
      <c r="D1830" s="37">
        <v>42034.608437499999</v>
      </c>
      <c r="E1830" s="37">
        <v>42034.616828703707</v>
      </c>
      <c r="F1830">
        <v>1</v>
      </c>
      <c r="L1830">
        <v>7</v>
      </c>
      <c r="V1830" s="42" t="s">
        <v>56</v>
      </c>
      <c r="W1830" s="47">
        <v>7</v>
      </c>
    </row>
    <row r="1831" spans="1:23" hidden="1">
      <c r="A1831">
        <v>3727634390</v>
      </c>
      <c r="B1831">
        <v>57240262</v>
      </c>
      <c r="C1831" s="36" t="s">
        <v>2056</v>
      </c>
      <c r="D1831" s="37">
        <v>42034.65084490741</v>
      </c>
      <c r="E1831" s="37">
        <v>42034.654398148145</v>
      </c>
      <c r="M1831">
        <v>8</v>
      </c>
      <c r="W1831" s="47"/>
    </row>
    <row r="1832" spans="1:23" hidden="1">
      <c r="A1832">
        <v>3727667111</v>
      </c>
      <c r="B1832">
        <v>57240262</v>
      </c>
      <c r="C1832" s="36" t="s">
        <v>2057</v>
      </c>
      <c r="D1832" s="37">
        <v>42034.659895833334</v>
      </c>
      <c r="E1832" s="37">
        <v>42034.661504629628</v>
      </c>
      <c r="F1832">
        <v>1</v>
      </c>
      <c r="G1832">
        <v>2</v>
      </c>
      <c r="K1832">
        <v>6</v>
      </c>
      <c r="W1832" s="47"/>
    </row>
    <row r="1833" spans="1:23" hidden="1">
      <c r="A1833">
        <v>3727873863</v>
      </c>
      <c r="B1833">
        <v>57240262</v>
      </c>
      <c r="C1833" s="36" t="s">
        <v>2058</v>
      </c>
      <c r="D1833" s="37">
        <v>42034.71638888889</v>
      </c>
      <c r="E1833" s="37">
        <v>42034.726099537038</v>
      </c>
      <c r="O1833">
        <v>10</v>
      </c>
      <c r="W1833" s="47"/>
    </row>
    <row r="1834" spans="1:23">
      <c r="A1834">
        <v>3727927089</v>
      </c>
      <c r="B1834">
        <v>57240262</v>
      </c>
      <c r="C1834" s="36" t="s">
        <v>2059</v>
      </c>
      <c r="D1834" s="37">
        <v>42034.731736111113</v>
      </c>
      <c r="E1834" s="37">
        <v>42034.736770833333</v>
      </c>
      <c r="I1834">
        <v>4</v>
      </c>
      <c r="J1834">
        <v>5</v>
      </c>
      <c r="K1834">
        <v>6</v>
      </c>
      <c r="M1834">
        <v>8</v>
      </c>
      <c r="V1834" s="42" t="s">
        <v>55</v>
      </c>
      <c r="W1834" s="47">
        <v>6</v>
      </c>
    </row>
    <row r="1835" spans="1:23" hidden="1">
      <c r="A1835">
        <v>3728570043</v>
      </c>
      <c r="B1835">
        <v>57240262</v>
      </c>
      <c r="C1835" s="36" t="s">
        <v>2060</v>
      </c>
      <c r="D1835" s="37">
        <v>42034.950312499997</v>
      </c>
      <c r="E1835" s="37">
        <v>42034.953379629631</v>
      </c>
      <c r="G1835">
        <v>2</v>
      </c>
      <c r="N1835">
        <v>9</v>
      </c>
      <c r="W1835" s="47"/>
    </row>
    <row r="1836" spans="1:23" hidden="1">
      <c r="A1836">
        <v>3728787609</v>
      </c>
      <c r="B1836">
        <v>57240262</v>
      </c>
      <c r="C1836" s="36" t="s">
        <v>2061</v>
      </c>
      <c r="D1836" s="37">
        <v>42035.082743055558</v>
      </c>
      <c r="E1836" s="37">
        <v>42035.087719907409</v>
      </c>
      <c r="U1836">
        <v>16</v>
      </c>
      <c r="W1836" s="47"/>
    </row>
    <row r="1837" spans="1:23" hidden="1">
      <c r="A1837">
        <v>3729044695</v>
      </c>
      <c r="B1837">
        <v>57240262</v>
      </c>
      <c r="C1837" s="36" t="s">
        <v>453</v>
      </c>
      <c r="D1837" s="37">
        <v>42035.370138888888</v>
      </c>
      <c r="E1837" s="37">
        <v>42035.373993055553</v>
      </c>
      <c r="M1837">
        <v>8</v>
      </c>
      <c r="N1837">
        <v>9</v>
      </c>
      <c r="W1837" s="47"/>
    </row>
    <row r="1838" spans="1:23">
      <c r="A1838">
        <v>3729027601</v>
      </c>
      <c r="B1838">
        <v>57240262</v>
      </c>
      <c r="C1838" s="36" t="s">
        <v>2062</v>
      </c>
      <c r="D1838" s="37">
        <v>42035.348368055558</v>
      </c>
      <c r="E1838" s="37">
        <v>42035.37841435185</v>
      </c>
      <c r="I1838">
        <v>4</v>
      </c>
      <c r="N1838">
        <v>9</v>
      </c>
      <c r="O1838">
        <v>10</v>
      </c>
      <c r="R1838">
        <v>13</v>
      </c>
      <c r="V1838" s="42" t="s">
        <v>54</v>
      </c>
      <c r="W1838" s="47">
        <v>13</v>
      </c>
    </row>
    <row r="1839" spans="1:23" hidden="1">
      <c r="A1839">
        <v>3729059195</v>
      </c>
      <c r="B1839">
        <v>57240262</v>
      </c>
      <c r="C1839" s="36" t="s">
        <v>2063</v>
      </c>
      <c r="D1839" s="37">
        <v>42035.386840277781</v>
      </c>
      <c r="E1839" s="37">
        <v>42035.391469907408</v>
      </c>
      <c r="F1839">
        <v>1</v>
      </c>
      <c r="W1839" s="47"/>
    </row>
    <row r="1840" spans="1:23" hidden="1">
      <c r="A1840">
        <v>3729073615</v>
      </c>
      <c r="B1840">
        <v>57240262</v>
      </c>
      <c r="C1840" s="36" t="s">
        <v>2064</v>
      </c>
      <c r="D1840" s="37">
        <v>42035.402916666666</v>
      </c>
      <c r="E1840" s="37">
        <v>42035.407511574071</v>
      </c>
      <c r="U1840">
        <v>16</v>
      </c>
      <c r="W1840" s="47"/>
    </row>
    <row r="1841" spans="1:23" hidden="1">
      <c r="A1841">
        <v>3729119423</v>
      </c>
      <c r="B1841">
        <v>57240262</v>
      </c>
      <c r="C1841" s="36" t="s">
        <v>2065</v>
      </c>
      <c r="D1841" s="37">
        <v>42035.448854166665</v>
      </c>
      <c r="E1841" s="37">
        <v>42035.458749999998</v>
      </c>
      <c r="O1841">
        <v>10</v>
      </c>
      <c r="W1841" s="47"/>
    </row>
    <row r="1842" spans="1:23" hidden="1">
      <c r="A1842">
        <v>3729123860</v>
      </c>
      <c r="B1842">
        <v>57240262</v>
      </c>
      <c r="C1842" s="36" t="s">
        <v>2066</v>
      </c>
      <c r="D1842" s="37">
        <v>42035.453263888892</v>
      </c>
      <c r="E1842" s="37">
        <v>42035.459293981483</v>
      </c>
      <c r="F1842">
        <v>1</v>
      </c>
      <c r="G1842">
        <v>2</v>
      </c>
      <c r="H1842">
        <v>3</v>
      </c>
      <c r="O1842">
        <v>10</v>
      </c>
      <c r="W1842" s="47"/>
    </row>
    <row r="1843" spans="1:23">
      <c r="A1843">
        <v>3729412655</v>
      </c>
      <c r="B1843">
        <v>57240262</v>
      </c>
      <c r="C1843" s="36" t="s">
        <v>2067</v>
      </c>
      <c r="D1843" s="37">
        <v>42035.68677083333</v>
      </c>
      <c r="E1843" s="37">
        <v>42035.700104166666</v>
      </c>
      <c r="G1843">
        <v>2</v>
      </c>
      <c r="V1843" s="42" t="s">
        <v>31</v>
      </c>
      <c r="W1843" s="47">
        <v>2</v>
      </c>
    </row>
    <row r="1844" spans="1:23" hidden="1">
      <c r="A1844">
        <v>3729501310</v>
      </c>
      <c r="B1844">
        <v>57240262</v>
      </c>
      <c r="C1844" s="36" t="s">
        <v>2068</v>
      </c>
      <c r="D1844" s="37">
        <v>42035.752766203703</v>
      </c>
      <c r="E1844" s="37">
        <v>42035.75708333333</v>
      </c>
      <c r="O1844">
        <v>10</v>
      </c>
      <c r="W1844" s="47"/>
    </row>
    <row r="1845" spans="1:23" hidden="1">
      <c r="A1845">
        <v>3729655774</v>
      </c>
      <c r="B1845">
        <v>57240262</v>
      </c>
      <c r="C1845" s="36" t="s">
        <v>2069</v>
      </c>
      <c r="D1845" s="37">
        <v>42035.885069444441</v>
      </c>
      <c r="E1845" s="37">
        <v>42035.890335648146</v>
      </c>
      <c r="U1845">
        <v>16</v>
      </c>
      <c r="W1845" s="47"/>
    </row>
    <row r="1846" spans="1:23" hidden="1">
      <c r="A1846">
        <v>3730069157</v>
      </c>
      <c r="B1846">
        <v>57240262</v>
      </c>
      <c r="C1846" s="36" t="s">
        <v>2070</v>
      </c>
      <c r="D1846" s="37">
        <v>42036.415405092594</v>
      </c>
      <c r="E1846" s="37">
        <v>42036.424571759257</v>
      </c>
      <c r="O1846">
        <v>10</v>
      </c>
      <c r="W1846" s="47"/>
    </row>
    <row r="1847" spans="1:23" hidden="1">
      <c r="A1847">
        <v>3730075128</v>
      </c>
      <c r="B1847">
        <v>57240262</v>
      </c>
      <c r="C1847" s="36" t="s">
        <v>2382</v>
      </c>
      <c r="D1847" s="37">
        <v>42036.424004629633</v>
      </c>
      <c r="E1847" s="37">
        <v>42036.425451388888</v>
      </c>
      <c r="W1847" s="47"/>
    </row>
    <row r="1848" spans="1:23" hidden="1">
      <c r="A1848">
        <v>3730076047</v>
      </c>
      <c r="B1848">
        <v>57240262</v>
      </c>
      <c r="C1848" s="36" t="s">
        <v>2071</v>
      </c>
      <c r="D1848" s="37">
        <v>42036.424953703703</v>
      </c>
      <c r="E1848" s="37">
        <v>42036.426423611112</v>
      </c>
      <c r="F1848">
        <v>1</v>
      </c>
      <c r="G1848">
        <v>2</v>
      </c>
      <c r="Q1848">
        <v>12</v>
      </c>
      <c r="W1848" s="47"/>
    </row>
    <row r="1849" spans="1:23" hidden="1">
      <c r="A1849">
        <v>3730075652</v>
      </c>
      <c r="B1849">
        <v>57240262</v>
      </c>
      <c r="C1849" s="36" t="s">
        <v>457</v>
      </c>
      <c r="D1849" s="37">
        <v>42036.424166666664</v>
      </c>
      <c r="E1849" s="37">
        <v>42036.430520833332</v>
      </c>
      <c r="O1849">
        <v>10</v>
      </c>
      <c r="W1849" s="47"/>
    </row>
    <row r="1850" spans="1:23" hidden="1">
      <c r="A1850">
        <v>3730077887</v>
      </c>
      <c r="B1850">
        <v>57240262</v>
      </c>
      <c r="C1850" s="36" t="s">
        <v>2072</v>
      </c>
      <c r="D1850" s="37">
        <v>42036.427534722221</v>
      </c>
      <c r="E1850" s="37">
        <v>42036.430717592593</v>
      </c>
      <c r="K1850">
        <v>6</v>
      </c>
      <c r="W1850" s="47"/>
    </row>
    <row r="1851" spans="1:23">
      <c r="A1851">
        <v>3730076467</v>
      </c>
      <c r="B1851">
        <v>57240262</v>
      </c>
      <c r="C1851" s="36" t="s">
        <v>532</v>
      </c>
      <c r="D1851" s="37">
        <v>42036.425810185188</v>
      </c>
      <c r="E1851" s="37">
        <v>42036.430949074071</v>
      </c>
      <c r="F1851">
        <v>1</v>
      </c>
      <c r="G1851">
        <v>2</v>
      </c>
      <c r="K1851">
        <v>6</v>
      </c>
      <c r="O1851">
        <v>10</v>
      </c>
      <c r="P1851">
        <v>11</v>
      </c>
      <c r="Q1851">
        <v>12</v>
      </c>
      <c r="V1851" s="42" t="s">
        <v>52</v>
      </c>
      <c r="W1851" s="47">
        <v>12</v>
      </c>
    </row>
    <row r="1852" spans="1:23">
      <c r="A1852">
        <v>3730075972</v>
      </c>
      <c r="B1852">
        <v>57240262</v>
      </c>
      <c r="C1852" s="36" t="s">
        <v>455</v>
      </c>
      <c r="D1852" s="37">
        <v>42036.423541666663</v>
      </c>
      <c r="E1852" s="37">
        <v>42036.432546296295</v>
      </c>
      <c r="G1852">
        <v>2</v>
      </c>
      <c r="J1852">
        <v>5</v>
      </c>
      <c r="K1852">
        <v>6</v>
      </c>
      <c r="V1852" s="42" t="s">
        <v>53</v>
      </c>
      <c r="W1852" s="47">
        <v>6</v>
      </c>
    </row>
    <row r="1853" spans="1:23" hidden="1">
      <c r="A1853">
        <v>3730075930</v>
      </c>
      <c r="B1853">
        <v>57240262</v>
      </c>
      <c r="C1853" s="36" t="s">
        <v>456</v>
      </c>
      <c r="D1853" s="37">
        <v>42036.425023148149</v>
      </c>
      <c r="E1853" s="37">
        <v>42036.438935185186</v>
      </c>
      <c r="F1853">
        <v>1</v>
      </c>
      <c r="W1853" s="47"/>
    </row>
    <row r="1854" spans="1:23" hidden="1">
      <c r="A1854">
        <v>3730101616</v>
      </c>
      <c r="B1854">
        <v>57240262</v>
      </c>
      <c r="C1854" s="36" t="s">
        <v>2073</v>
      </c>
      <c r="D1854" s="37">
        <v>42036.454062500001</v>
      </c>
      <c r="E1854" s="37">
        <v>42036.463287037041</v>
      </c>
      <c r="G1854">
        <v>2</v>
      </c>
      <c r="W1854" s="47"/>
    </row>
    <row r="1855" spans="1:23" hidden="1">
      <c r="A1855">
        <v>3730131807</v>
      </c>
      <c r="B1855">
        <v>57240262</v>
      </c>
      <c r="C1855" s="36" t="s">
        <v>2074</v>
      </c>
      <c r="D1855" s="37">
        <v>42036.495196759257</v>
      </c>
      <c r="E1855" s="37">
        <v>42036.496967592589</v>
      </c>
      <c r="U1855">
        <v>16</v>
      </c>
      <c r="W1855" s="47"/>
    </row>
    <row r="1856" spans="1:23" hidden="1">
      <c r="A1856">
        <v>3730133501</v>
      </c>
      <c r="B1856">
        <v>57240262</v>
      </c>
      <c r="C1856" s="36" t="s">
        <v>2075</v>
      </c>
      <c r="D1856" s="37">
        <v>42036.497395833336</v>
      </c>
      <c r="E1856" s="37">
        <v>42036.506145833337</v>
      </c>
      <c r="F1856">
        <v>1</v>
      </c>
      <c r="G1856">
        <v>2</v>
      </c>
      <c r="W1856" s="47"/>
    </row>
    <row r="1857" spans="1:23" hidden="1">
      <c r="A1857">
        <v>3730165297</v>
      </c>
      <c r="B1857">
        <v>57240262</v>
      </c>
      <c r="C1857" s="36" t="s">
        <v>2076</v>
      </c>
      <c r="D1857" s="37">
        <v>42036.533703703702</v>
      </c>
      <c r="E1857" s="37">
        <v>42036.538738425923</v>
      </c>
      <c r="G1857">
        <v>2</v>
      </c>
      <c r="O1857">
        <v>10</v>
      </c>
      <c r="Q1857">
        <v>12</v>
      </c>
      <c r="W1857" s="47"/>
    </row>
    <row r="1858" spans="1:23" hidden="1">
      <c r="A1858">
        <v>3730183541</v>
      </c>
      <c r="B1858">
        <v>57240262</v>
      </c>
      <c r="C1858" s="36" t="s">
        <v>2077</v>
      </c>
      <c r="D1858" s="37">
        <v>42036.525266203702</v>
      </c>
      <c r="E1858" s="37">
        <v>42036.558032407411</v>
      </c>
      <c r="U1858">
        <v>16</v>
      </c>
      <c r="W1858" s="47"/>
    </row>
    <row r="1859" spans="1:23">
      <c r="A1859">
        <v>3730183690</v>
      </c>
      <c r="B1859">
        <v>57240262</v>
      </c>
      <c r="C1859" s="36" t="s">
        <v>2078</v>
      </c>
      <c r="D1859" s="37">
        <v>42036.55364583333</v>
      </c>
      <c r="E1859" s="37">
        <v>42036.560104166667</v>
      </c>
      <c r="F1859">
        <v>1</v>
      </c>
      <c r="O1859">
        <v>10</v>
      </c>
      <c r="Q1859">
        <v>12</v>
      </c>
      <c r="V1859" s="42" t="s">
        <v>25</v>
      </c>
      <c r="W1859" s="47">
        <v>1</v>
      </c>
    </row>
    <row r="1860" spans="1:23" hidden="1">
      <c r="A1860">
        <v>3730197265</v>
      </c>
      <c r="B1860">
        <v>57240262</v>
      </c>
      <c r="C1860" s="36" t="s">
        <v>2079</v>
      </c>
      <c r="D1860" s="37">
        <v>42036.567824074074</v>
      </c>
      <c r="E1860" s="37">
        <v>42036.571944444448</v>
      </c>
      <c r="U1860">
        <v>16</v>
      </c>
      <c r="W1860" s="47"/>
    </row>
    <row r="1861" spans="1:23" hidden="1">
      <c r="A1861">
        <v>3730211822</v>
      </c>
      <c r="B1861">
        <v>57240262</v>
      </c>
      <c r="C1861" s="36" t="s">
        <v>2080</v>
      </c>
      <c r="D1861" s="37">
        <v>42036.583009259259</v>
      </c>
      <c r="E1861" s="37">
        <v>42036.588113425925</v>
      </c>
      <c r="M1861">
        <v>8</v>
      </c>
      <c r="W1861" s="47"/>
    </row>
    <row r="1862" spans="1:23" hidden="1">
      <c r="A1862">
        <v>3730221785</v>
      </c>
      <c r="B1862">
        <v>57240262</v>
      </c>
      <c r="C1862" s="36" t="s">
        <v>2081</v>
      </c>
      <c r="D1862" s="37">
        <v>42036.592604166668</v>
      </c>
      <c r="E1862" s="37">
        <v>42036.594328703701</v>
      </c>
      <c r="U1862">
        <v>16</v>
      </c>
      <c r="W1862" s="47"/>
    </row>
    <row r="1863" spans="1:23" hidden="1">
      <c r="A1863">
        <v>3730220218</v>
      </c>
      <c r="B1863">
        <v>57240262</v>
      </c>
      <c r="C1863" s="36" t="s">
        <v>458</v>
      </c>
      <c r="D1863" s="37">
        <v>42036.591006944444</v>
      </c>
      <c r="E1863" s="37">
        <v>42036.595416666663</v>
      </c>
      <c r="O1863">
        <v>10</v>
      </c>
      <c r="W1863" s="47"/>
    </row>
    <row r="1864" spans="1:23" hidden="1">
      <c r="A1864">
        <v>3730224018</v>
      </c>
      <c r="B1864">
        <v>57240262</v>
      </c>
      <c r="C1864" s="36" t="s">
        <v>2082</v>
      </c>
      <c r="D1864" s="37">
        <v>42036.594756944447</v>
      </c>
      <c r="E1864" s="37">
        <v>42036.607939814814</v>
      </c>
      <c r="U1864">
        <v>16</v>
      </c>
      <c r="W1864" s="47"/>
    </row>
    <row r="1865" spans="1:23" hidden="1">
      <c r="A1865">
        <v>3730238949</v>
      </c>
      <c r="B1865">
        <v>57240262</v>
      </c>
      <c r="C1865" s="36" t="s">
        <v>2083</v>
      </c>
      <c r="D1865" s="37">
        <v>42036.608784722222</v>
      </c>
      <c r="E1865" s="37">
        <v>42036.609907407408</v>
      </c>
      <c r="H1865">
        <v>3</v>
      </c>
      <c r="N1865">
        <v>9</v>
      </c>
      <c r="Q1865">
        <v>12</v>
      </c>
      <c r="R1865">
        <v>13</v>
      </c>
      <c r="W1865" s="47"/>
    </row>
    <row r="1866" spans="1:23" hidden="1">
      <c r="A1866">
        <v>3730247138</v>
      </c>
      <c r="B1866">
        <v>57240262</v>
      </c>
      <c r="C1866" s="36" t="s">
        <v>2084</v>
      </c>
      <c r="D1866" s="37">
        <v>42036.616620370369</v>
      </c>
      <c r="E1866" s="37">
        <v>42036.621018518519</v>
      </c>
      <c r="U1866">
        <v>16</v>
      </c>
      <c r="W1866" s="47"/>
    </row>
    <row r="1867" spans="1:23" hidden="1">
      <c r="A1867">
        <v>3730252447</v>
      </c>
      <c r="B1867">
        <v>57240262</v>
      </c>
      <c r="C1867" s="36" t="s">
        <v>2085</v>
      </c>
      <c r="D1867" s="37">
        <v>42036.620104166665</v>
      </c>
      <c r="E1867" s="37">
        <v>42036.630543981482</v>
      </c>
      <c r="U1867">
        <v>16</v>
      </c>
      <c r="W1867" s="47"/>
    </row>
    <row r="1868" spans="1:23">
      <c r="A1868">
        <v>3730258128</v>
      </c>
      <c r="B1868">
        <v>57240262</v>
      </c>
      <c r="C1868" s="36" t="s">
        <v>2086</v>
      </c>
      <c r="D1868" s="37">
        <v>42036.627164351848</v>
      </c>
      <c r="E1868" s="37">
        <v>42036.634560185186</v>
      </c>
      <c r="K1868">
        <v>6</v>
      </c>
      <c r="N1868">
        <v>9</v>
      </c>
      <c r="O1868">
        <v>10</v>
      </c>
      <c r="V1868" s="42" t="s">
        <v>51</v>
      </c>
      <c r="W1868" s="47">
        <v>6</v>
      </c>
    </row>
    <row r="1869" spans="1:23" hidden="1">
      <c r="A1869">
        <v>3730269476</v>
      </c>
      <c r="B1869">
        <v>57240262</v>
      </c>
      <c r="C1869" s="36" t="s">
        <v>2087</v>
      </c>
      <c r="D1869" s="37">
        <v>42036.637523148151</v>
      </c>
      <c r="E1869" s="37">
        <v>42036.643865740742</v>
      </c>
      <c r="U1869">
        <v>16</v>
      </c>
      <c r="W1869" s="47"/>
    </row>
    <row r="1870" spans="1:23" ht="24">
      <c r="A1870">
        <v>3730279719</v>
      </c>
      <c r="B1870">
        <v>57240262</v>
      </c>
      <c r="C1870" s="36" t="s">
        <v>2088</v>
      </c>
      <c r="D1870" s="37">
        <v>42036.646724537037</v>
      </c>
      <c r="E1870" s="37">
        <v>42036.65215277778</v>
      </c>
      <c r="I1870">
        <v>4</v>
      </c>
      <c r="Q1870">
        <v>12</v>
      </c>
      <c r="V1870" s="42" t="s">
        <v>50</v>
      </c>
      <c r="W1870" s="47">
        <v>15</v>
      </c>
    </row>
    <row r="1871" spans="1:23" hidden="1">
      <c r="A1871">
        <v>3730283552</v>
      </c>
      <c r="B1871">
        <v>57240262</v>
      </c>
      <c r="C1871" s="36" t="s">
        <v>2089</v>
      </c>
      <c r="D1871" s="37">
        <v>42036.650300925925</v>
      </c>
      <c r="E1871" s="37">
        <v>42036.652986111112</v>
      </c>
      <c r="U1871">
        <v>16</v>
      </c>
      <c r="W1871" s="47"/>
    </row>
    <row r="1872" spans="1:23" hidden="1">
      <c r="A1872">
        <v>3730288878</v>
      </c>
      <c r="B1872">
        <v>57240262</v>
      </c>
      <c r="C1872" s="36" t="s">
        <v>2090</v>
      </c>
      <c r="D1872" s="37">
        <v>42036.655150462961</v>
      </c>
      <c r="E1872" s="37">
        <v>42036.660462962966</v>
      </c>
      <c r="U1872">
        <v>16</v>
      </c>
      <c r="W1872" s="47"/>
    </row>
    <row r="1873" spans="1:23" hidden="1">
      <c r="A1873">
        <v>3730296918</v>
      </c>
      <c r="B1873">
        <v>57240262</v>
      </c>
      <c r="C1873" s="36" t="s">
        <v>2091</v>
      </c>
      <c r="D1873" s="37">
        <v>42036.662476851852</v>
      </c>
      <c r="E1873" s="37">
        <v>42036.669895833336</v>
      </c>
      <c r="U1873">
        <v>16</v>
      </c>
      <c r="W1873" s="47"/>
    </row>
    <row r="1874" spans="1:23" hidden="1">
      <c r="A1874">
        <v>3730295892</v>
      </c>
      <c r="B1874">
        <v>57240262</v>
      </c>
      <c r="C1874" s="36" t="s">
        <v>459</v>
      </c>
      <c r="D1874" s="37">
        <v>42036.661631944444</v>
      </c>
      <c r="E1874" s="37">
        <v>42036.671851851854</v>
      </c>
      <c r="M1874">
        <v>8</v>
      </c>
      <c r="W1874" s="47"/>
    </row>
    <row r="1875" spans="1:23" hidden="1">
      <c r="A1875">
        <v>3730305467</v>
      </c>
      <c r="B1875">
        <v>57240262</v>
      </c>
      <c r="C1875" s="36" t="s">
        <v>2092</v>
      </c>
      <c r="D1875" s="37">
        <v>42036.670231481483</v>
      </c>
      <c r="E1875" s="37">
        <v>42036.673032407409</v>
      </c>
      <c r="U1875">
        <v>16</v>
      </c>
      <c r="W1875" s="47"/>
    </row>
    <row r="1876" spans="1:23" hidden="1">
      <c r="A1876">
        <v>3730309882</v>
      </c>
      <c r="B1876">
        <v>57240262</v>
      </c>
      <c r="C1876" s="36" t="s">
        <v>2093</v>
      </c>
      <c r="D1876" s="37">
        <v>42036.673993055556</v>
      </c>
      <c r="E1876" s="37">
        <v>42036.67895833333</v>
      </c>
      <c r="F1876">
        <v>1</v>
      </c>
      <c r="W1876" s="47"/>
    </row>
    <row r="1877" spans="1:23" hidden="1">
      <c r="A1877">
        <v>3730324299</v>
      </c>
      <c r="B1877">
        <v>57240262</v>
      </c>
      <c r="C1877" s="36" t="s">
        <v>2094</v>
      </c>
      <c r="D1877" s="37">
        <v>42036.686249999999</v>
      </c>
      <c r="E1877" s="37">
        <v>42036.690312500003</v>
      </c>
      <c r="U1877">
        <v>16</v>
      </c>
      <c r="W1877" s="47"/>
    </row>
    <row r="1878" spans="1:23">
      <c r="A1878">
        <v>3730329889</v>
      </c>
      <c r="B1878">
        <v>57240262</v>
      </c>
      <c r="C1878" s="36" t="s">
        <v>533</v>
      </c>
      <c r="D1878" s="37">
        <v>42036.689618055556</v>
      </c>
      <c r="E1878" s="37">
        <v>42036.694467592592</v>
      </c>
      <c r="U1878">
        <v>16</v>
      </c>
      <c r="V1878" s="42" t="s">
        <v>48</v>
      </c>
      <c r="W1878" s="47">
        <v>4</v>
      </c>
    </row>
    <row r="1879" spans="1:23">
      <c r="A1879">
        <v>3730294183</v>
      </c>
      <c r="B1879">
        <v>57240262</v>
      </c>
      <c r="C1879" s="36" t="s">
        <v>460</v>
      </c>
      <c r="D1879" s="37">
        <v>42036.660104166665</v>
      </c>
      <c r="E1879" s="37">
        <v>42036.702557870369</v>
      </c>
      <c r="K1879">
        <v>6</v>
      </c>
      <c r="Q1879">
        <v>12</v>
      </c>
      <c r="V1879" s="42" t="s">
        <v>49</v>
      </c>
      <c r="W1879" s="47">
        <v>6</v>
      </c>
    </row>
    <row r="1880" spans="1:23" hidden="1">
      <c r="A1880">
        <v>3730348951</v>
      </c>
      <c r="B1880">
        <v>57240262</v>
      </c>
      <c r="C1880" s="36" t="s">
        <v>2095</v>
      </c>
      <c r="D1880" s="37">
        <v>42036.70684027778</v>
      </c>
      <c r="E1880" s="37">
        <v>42036.711840277778</v>
      </c>
      <c r="K1880">
        <v>6</v>
      </c>
      <c r="W1880" s="47"/>
    </row>
    <row r="1881" spans="1:23" hidden="1">
      <c r="A1881">
        <v>3730357114</v>
      </c>
      <c r="B1881">
        <v>57240262</v>
      </c>
      <c r="C1881" s="36" t="s">
        <v>2096</v>
      </c>
      <c r="D1881" s="37">
        <v>42036.713530092595</v>
      </c>
      <c r="E1881" s="37">
        <v>42036.715648148151</v>
      </c>
      <c r="U1881">
        <v>16</v>
      </c>
      <c r="W1881" s="47"/>
    </row>
    <row r="1882" spans="1:23" hidden="1">
      <c r="A1882">
        <v>3730358426</v>
      </c>
      <c r="B1882">
        <v>57240262</v>
      </c>
      <c r="C1882" s="36" t="s">
        <v>2097</v>
      </c>
      <c r="D1882" s="37">
        <v>42036.714513888888</v>
      </c>
      <c r="E1882" s="37">
        <v>42036.720138888886</v>
      </c>
      <c r="U1882">
        <v>16</v>
      </c>
      <c r="W1882" s="47"/>
    </row>
    <row r="1883" spans="1:23" hidden="1">
      <c r="A1883">
        <v>3730393406</v>
      </c>
      <c r="B1883">
        <v>57240262</v>
      </c>
      <c r="C1883" s="36" t="s">
        <v>2098</v>
      </c>
      <c r="D1883" s="37">
        <v>42036.743032407408</v>
      </c>
      <c r="E1883" s="37">
        <v>42036.747974537036</v>
      </c>
      <c r="U1883">
        <v>16</v>
      </c>
      <c r="W1883" s="47"/>
    </row>
    <row r="1884" spans="1:23" hidden="1">
      <c r="A1884">
        <v>3730405478</v>
      </c>
      <c r="B1884">
        <v>57240262</v>
      </c>
      <c r="C1884" s="36" t="s">
        <v>2099</v>
      </c>
      <c r="D1884" s="37">
        <v>42036.753599537034</v>
      </c>
      <c r="E1884" s="37">
        <v>42036.757986111108</v>
      </c>
      <c r="F1884">
        <v>1</v>
      </c>
      <c r="M1884">
        <v>8</v>
      </c>
      <c r="W1884" s="47"/>
    </row>
    <row r="1885" spans="1:23" hidden="1">
      <c r="A1885">
        <v>3730437768</v>
      </c>
      <c r="B1885">
        <v>57240262</v>
      </c>
      <c r="C1885" s="36" t="s">
        <v>2102</v>
      </c>
      <c r="D1885" s="37">
        <v>42036.780428240738</v>
      </c>
      <c r="E1885" s="37">
        <v>42036.781099537038</v>
      </c>
      <c r="W1885" s="47"/>
    </row>
    <row r="1886" spans="1:23" hidden="1">
      <c r="A1886">
        <v>3730440664</v>
      </c>
      <c r="B1886">
        <v>57240262</v>
      </c>
      <c r="C1886" s="36" t="s">
        <v>2383</v>
      </c>
      <c r="D1886" s="37">
        <v>42036.782777777778</v>
      </c>
      <c r="E1886" s="37">
        <v>42036.784467592595</v>
      </c>
      <c r="O1886">
        <v>10</v>
      </c>
      <c r="W1886" s="47"/>
    </row>
    <row r="1887" spans="1:23" hidden="1">
      <c r="A1887">
        <v>3730439784</v>
      </c>
      <c r="B1887">
        <v>57240262</v>
      </c>
      <c r="C1887" s="36" t="s">
        <v>2101</v>
      </c>
      <c r="D1887" s="37">
        <v>42036.781828703701</v>
      </c>
      <c r="E1887" s="37">
        <v>42036.787754629629</v>
      </c>
      <c r="U1887">
        <v>16</v>
      </c>
      <c r="W1887" s="47"/>
    </row>
    <row r="1888" spans="1:23" hidden="1">
      <c r="A1888">
        <v>3730446925</v>
      </c>
      <c r="B1888">
        <v>57240262</v>
      </c>
      <c r="C1888" s="36" t="s">
        <v>461</v>
      </c>
      <c r="D1888" s="37">
        <v>42036.787997685184</v>
      </c>
      <c r="E1888" s="37">
        <v>42036.793773148151</v>
      </c>
      <c r="H1888">
        <v>3</v>
      </c>
      <c r="W1888" s="47"/>
    </row>
    <row r="1889" spans="1:23" hidden="1">
      <c r="A1889">
        <v>3730438394</v>
      </c>
      <c r="B1889">
        <v>57240262</v>
      </c>
      <c r="C1889" s="36" t="s">
        <v>2100</v>
      </c>
      <c r="D1889" s="37">
        <v>42036.780104166668</v>
      </c>
      <c r="E1889" s="37">
        <v>42036.794756944444</v>
      </c>
      <c r="F1889">
        <v>1</v>
      </c>
      <c r="G1889">
        <v>2</v>
      </c>
      <c r="J1889">
        <v>5</v>
      </c>
      <c r="K1889">
        <v>6</v>
      </c>
      <c r="O1889">
        <v>10</v>
      </c>
      <c r="Q1889">
        <v>12</v>
      </c>
      <c r="R1889">
        <v>13</v>
      </c>
      <c r="W1889" s="47"/>
    </row>
    <row r="1890" spans="1:23" hidden="1">
      <c r="A1890">
        <v>3730444173</v>
      </c>
      <c r="B1890">
        <v>57240262</v>
      </c>
      <c r="C1890" s="36" t="s">
        <v>2103</v>
      </c>
      <c r="D1890" s="37">
        <v>42036.785636574074</v>
      </c>
      <c r="E1890" s="37">
        <v>42036.794988425929</v>
      </c>
      <c r="Q1890">
        <v>12</v>
      </c>
      <c r="W1890" s="47"/>
    </row>
    <row r="1891" spans="1:23" hidden="1">
      <c r="A1891">
        <v>3730452822</v>
      </c>
      <c r="B1891">
        <v>57240262</v>
      </c>
      <c r="C1891" s="36" t="s">
        <v>2104</v>
      </c>
      <c r="D1891" s="37">
        <v>42036.793206018519</v>
      </c>
      <c r="E1891" s="37">
        <v>42036.798425925925</v>
      </c>
      <c r="N1891">
        <v>9</v>
      </c>
      <c r="O1891">
        <v>10</v>
      </c>
      <c r="W1891" s="47"/>
    </row>
    <row r="1892" spans="1:23" hidden="1">
      <c r="A1892">
        <v>3730459366</v>
      </c>
      <c r="B1892">
        <v>57240262</v>
      </c>
      <c r="C1892" s="36" t="s">
        <v>2105</v>
      </c>
      <c r="D1892" s="37">
        <v>42036.798877314817</v>
      </c>
      <c r="E1892" s="37">
        <v>42036.805162037039</v>
      </c>
      <c r="G1892">
        <v>2</v>
      </c>
      <c r="P1892">
        <v>11</v>
      </c>
      <c r="S1892">
        <v>14</v>
      </c>
      <c r="W1892" s="47"/>
    </row>
    <row r="1893" spans="1:23" hidden="1">
      <c r="A1893">
        <v>3730464672</v>
      </c>
      <c r="B1893">
        <v>57240262</v>
      </c>
      <c r="C1893" s="36" t="s">
        <v>2106</v>
      </c>
      <c r="D1893" s="37">
        <v>42036.803206018521</v>
      </c>
      <c r="E1893" s="37">
        <v>42036.812141203707</v>
      </c>
      <c r="M1893">
        <v>8</v>
      </c>
      <c r="W1893" s="47"/>
    </row>
    <row r="1894" spans="1:23" hidden="1">
      <c r="A1894">
        <v>3730466844</v>
      </c>
      <c r="B1894">
        <v>57240262</v>
      </c>
      <c r="C1894" s="36" t="s">
        <v>2107</v>
      </c>
      <c r="D1894" s="37">
        <v>42036.805081018516</v>
      </c>
      <c r="E1894" s="37">
        <v>42036.816041666665</v>
      </c>
      <c r="M1894">
        <v>8</v>
      </c>
      <c r="W1894" s="47"/>
    </row>
    <row r="1895" spans="1:23" hidden="1">
      <c r="A1895">
        <v>3730475355</v>
      </c>
      <c r="B1895">
        <v>57240262</v>
      </c>
      <c r="C1895" s="36" t="s">
        <v>2108</v>
      </c>
      <c r="D1895" s="37">
        <v>42036.812256944446</v>
      </c>
      <c r="E1895" s="37">
        <v>42036.817037037035</v>
      </c>
      <c r="U1895">
        <v>16</v>
      </c>
      <c r="W1895" s="47"/>
    </row>
    <row r="1896" spans="1:23">
      <c r="A1896">
        <v>3730477533</v>
      </c>
      <c r="B1896">
        <v>57240262</v>
      </c>
      <c r="C1896" s="36" t="s">
        <v>2109</v>
      </c>
      <c r="D1896" s="37">
        <v>42036.814259259256</v>
      </c>
      <c r="E1896" s="37">
        <v>42036.823645833334</v>
      </c>
      <c r="G1896">
        <v>2</v>
      </c>
      <c r="K1896">
        <v>6</v>
      </c>
      <c r="Q1896">
        <v>12</v>
      </c>
      <c r="V1896" s="42" t="s">
        <v>34</v>
      </c>
      <c r="W1896" s="47">
        <v>6</v>
      </c>
    </row>
    <row r="1897" spans="1:23" hidden="1">
      <c r="A1897">
        <v>3730510431</v>
      </c>
      <c r="B1897">
        <v>57240262</v>
      </c>
      <c r="C1897" s="36" t="s">
        <v>2384</v>
      </c>
      <c r="D1897" s="37">
        <v>42036.841226851851</v>
      </c>
      <c r="E1897" s="37">
        <v>42036.84238425926</v>
      </c>
      <c r="W1897" s="47"/>
    </row>
    <row r="1898" spans="1:23" hidden="1">
      <c r="A1898">
        <v>3730509927</v>
      </c>
      <c r="B1898">
        <v>57240262</v>
      </c>
      <c r="C1898" s="36" t="s">
        <v>2110</v>
      </c>
      <c r="D1898" s="37">
        <v>42036.840902777774</v>
      </c>
      <c r="E1898" s="37">
        <v>42036.847013888888</v>
      </c>
      <c r="U1898">
        <v>16</v>
      </c>
      <c r="W1898" s="47"/>
    </row>
    <row r="1899" spans="1:23" hidden="1">
      <c r="A1899">
        <v>3730521353</v>
      </c>
      <c r="B1899">
        <v>57240262</v>
      </c>
      <c r="C1899" s="36" t="s">
        <v>2111</v>
      </c>
      <c r="D1899" s="37">
        <v>42036.850532407407</v>
      </c>
      <c r="E1899" s="37">
        <v>42036.854375000003</v>
      </c>
      <c r="U1899">
        <v>16</v>
      </c>
      <c r="W1899" s="47"/>
    </row>
    <row r="1900" spans="1:23" hidden="1">
      <c r="A1900">
        <v>3730545785</v>
      </c>
      <c r="B1900">
        <v>57240262</v>
      </c>
      <c r="C1900" s="36" t="s">
        <v>2385</v>
      </c>
      <c r="D1900" s="37">
        <v>42036.871504629627</v>
      </c>
      <c r="E1900" s="37">
        <v>42036.872152777774</v>
      </c>
      <c r="W1900" s="47"/>
    </row>
    <row r="1901" spans="1:23" hidden="1">
      <c r="A1901">
        <v>3730543529</v>
      </c>
      <c r="B1901">
        <v>57240262</v>
      </c>
      <c r="C1901" s="36" t="s">
        <v>2112</v>
      </c>
      <c r="D1901" s="37">
        <v>42036.869479166664</v>
      </c>
      <c r="E1901" s="37">
        <v>42036.873437499999</v>
      </c>
      <c r="U1901">
        <v>16</v>
      </c>
      <c r="W1901" s="47"/>
    </row>
    <row r="1902" spans="1:23">
      <c r="A1902">
        <v>3730536569</v>
      </c>
      <c r="B1902">
        <v>57240262</v>
      </c>
      <c r="C1902" s="36" t="s">
        <v>462</v>
      </c>
      <c r="D1902" s="37">
        <v>42036.863379629627</v>
      </c>
      <c r="E1902" s="37">
        <v>42036.875520833331</v>
      </c>
      <c r="M1902">
        <v>8</v>
      </c>
      <c r="P1902">
        <v>11</v>
      </c>
      <c r="V1902" s="42" t="s">
        <v>47</v>
      </c>
      <c r="W1902" s="47">
        <v>8</v>
      </c>
    </row>
    <row r="1903" spans="1:23" hidden="1">
      <c r="A1903">
        <v>3730567975</v>
      </c>
      <c r="B1903">
        <v>57240262</v>
      </c>
      <c r="C1903" s="36" t="s">
        <v>2386</v>
      </c>
      <c r="D1903" s="37">
        <v>42036.889166666668</v>
      </c>
      <c r="E1903" s="37">
        <v>42036.890370370369</v>
      </c>
      <c r="W1903" s="47"/>
    </row>
    <row r="1904" spans="1:23">
      <c r="A1904">
        <v>3730589600</v>
      </c>
      <c r="B1904">
        <v>57240262</v>
      </c>
      <c r="C1904" s="36" t="s">
        <v>2113</v>
      </c>
      <c r="D1904" s="37">
        <v>42036.907407407409</v>
      </c>
      <c r="E1904" s="37">
        <v>42036.91369212963</v>
      </c>
      <c r="F1904">
        <v>1</v>
      </c>
      <c r="I1904">
        <v>4</v>
      </c>
      <c r="P1904">
        <v>11</v>
      </c>
      <c r="Q1904">
        <v>12</v>
      </c>
      <c r="V1904" s="42" t="s">
        <v>46</v>
      </c>
      <c r="W1904" s="47">
        <v>12</v>
      </c>
    </row>
    <row r="1905" spans="1:23" hidden="1">
      <c r="A1905">
        <v>3730594286</v>
      </c>
      <c r="B1905">
        <v>57240262</v>
      </c>
      <c r="C1905" s="36" t="s">
        <v>2114</v>
      </c>
      <c r="D1905" s="37">
        <v>42036.911412037036</v>
      </c>
      <c r="E1905" s="37">
        <v>42036.913773148146</v>
      </c>
      <c r="U1905">
        <v>16</v>
      </c>
      <c r="W1905" s="47"/>
    </row>
    <row r="1906" spans="1:23" hidden="1">
      <c r="A1906">
        <v>3730636036</v>
      </c>
      <c r="B1906">
        <v>57240262</v>
      </c>
      <c r="C1906" s="36" t="s">
        <v>2115</v>
      </c>
      <c r="D1906" s="37">
        <v>42036.947187500002</v>
      </c>
      <c r="E1906" s="37">
        <v>42036.951527777775</v>
      </c>
      <c r="U1906">
        <v>16</v>
      </c>
      <c r="W1906" s="47"/>
    </row>
    <row r="1907" spans="1:23" hidden="1">
      <c r="A1907">
        <v>3730666586</v>
      </c>
      <c r="B1907">
        <v>57240262</v>
      </c>
      <c r="C1907" s="36" t="s">
        <v>2116</v>
      </c>
      <c r="D1907" s="37">
        <v>42036.976261574076</v>
      </c>
      <c r="E1907" s="37">
        <v>42036.98196759259</v>
      </c>
      <c r="U1907">
        <v>16</v>
      </c>
      <c r="W1907" s="47"/>
    </row>
    <row r="1908" spans="1:23" hidden="1">
      <c r="A1908">
        <v>3730901103</v>
      </c>
      <c r="B1908">
        <v>57240262</v>
      </c>
      <c r="C1908" s="36" t="s">
        <v>2117</v>
      </c>
      <c r="D1908" s="37">
        <v>42037.204780092594</v>
      </c>
      <c r="E1908" s="37">
        <v>42037.214305555557</v>
      </c>
      <c r="U1908">
        <v>16</v>
      </c>
      <c r="W1908" s="47"/>
    </row>
    <row r="1909" spans="1:23">
      <c r="A1909">
        <v>3730970443</v>
      </c>
      <c r="B1909">
        <v>57240262</v>
      </c>
      <c r="C1909" s="36" t="s">
        <v>2118</v>
      </c>
      <c r="D1909" s="37">
        <v>42037.277511574073</v>
      </c>
      <c r="E1909" s="37">
        <v>42037.284710648149</v>
      </c>
      <c r="G1909">
        <v>2</v>
      </c>
      <c r="H1909">
        <v>3</v>
      </c>
      <c r="K1909">
        <v>6</v>
      </c>
      <c r="O1909">
        <v>10</v>
      </c>
      <c r="V1909" s="42" t="s">
        <v>45</v>
      </c>
      <c r="W1909" s="47">
        <v>2</v>
      </c>
    </row>
    <row r="1910" spans="1:23" hidden="1">
      <c r="A1910">
        <v>3731015331</v>
      </c>
      <c r="B1910">
        <v>57240262</v>
      </c>
      <c r="C1910" s="36" t="s">
        <v>2119</v>
      </c>
      <c r="D1910" s="37">
        <v>42037.322696759256</v>
      </c>
      <c r="E1910" s="37">
        <v>42037.326747685183</v>
      </c>
      <c r="U1910">
        <v>16</v>
      </c>
      <c r="W1910" s="47"/>
    </row>
    <row r="1911" spans="1:23" hidden="1">
      <c r="A1911">
        <v>3731054283</v>
      </c>
      <c r="B1911">
        <v>57240262</v>
      </c>
      <c r="C1911" s="36" t="s">
        <v>2120</v>
      </c>
      <c r="D1911" s="37">
        <v>42037.356516203705</v>
      </c>
      <c r="E1911" s="37">
        <v>42037.359780092593</v>
      </c>
      <c r="K1911">
        <v>6</v>
      </c>
      <c r="W1911" s="47"/>
    </row>
    <row r="1912" spans="1:23">
      <c r="A1912">
        <v>3731073678</v>
      </c>
      <c r="B1912">
        <v>57240262</v>
      </c>
      <c r="C1912" s="36" t="s">
        <v>2121</v>
      </c>
      <c r="D1912" s="37">
        <v>42037.370856481481</v>
      </c>
      <c r="E1912" s="37">
        <v>42037.373402777775</v>
      </c>
      <c r="U1912">
        <v>16</v>
      </c>
      <c r="V1912" s="42" t="s">
        <v>44</v>
      </c>
      <c r="W1912" s="47">
        <v>15</v>
      </c>
    </row>
    <row r="1913" spans="1:23" ht="24">
      <c r="A1913">
        <v>3731149441</v>
      </c>
      <c r="B1913">
        <v>57240262</v>
      </c>
      <c r="C1913" s="36" t="s">
        <v>2122</v>
      </c>
      <c r="D1913" s="37">
        <v>42037.418738425928</v>
      </c>
      <c r="E1913" s="37">
        <v>42037.425011574072</v>
      </c>
      <c r="H1913">
        <v>3</v>
      </c>
      <c r="M1913">
        <v>8</v>
      </c>
      <c r="O1913">
        <v>10</v>
      </c>
      <c r="V1913" s="42" t="s">
        <v>13</v>
      </c>
      <c r="W1913" s="47">
        <v>10</v>
      </c>
    </row>
    <row r="1914" spans="1:23" hidden="1">
      <c r="A1914">
        <v>3731170032</v>
      </c>
      <c r="B1914">
        <v>57240262</v>
      </c>
      <c r="C1914" s="36" t="s">
        <v>2123</v>
      </c>
      <c r="D1914" s="37">
        <v>42037.430590277778</v>
      </c>
      <c r="E1914" s="37">
        <v>42037.43478009259</v>
      </c>
      <c r="U1914">
        <v>16</v>
      </c>
      <c r="W1914" s="47"/>
    </row>
    <row r="1915" spans="1:23" hidden="1">
      <c r="A1915">
        <v>3731169557</v>
      </c>
      <c r="B1915">
        <v>57240262</v>
      </c>
      <c r="C1915" s="36" t="s">
        <v>466</v>
      </c>
      <c r="D1915" s="37">
        <v>42037.430462962962</v>
      </c>
      <c r="E1915" s="37">
        <v>42037.435729166667</v>
      </c>
      <c r="U1915">
        <v>16</v>
      </c>
      <c r="W1915" s="47"/>
    </row>
    <row r="1916" spans="1:23">
      <c r="A1916">
        <v>3731170437</v>
      </c>
      <c r="B1916">
        <v>57240262</v>
      </c>
      <c r="C1916" s="36" t="s">
        <v>2124</v>
      </c>
      <c r="D1916" s="37">
        <v>42037.430902777778</v>
      </c>
      <c r="E1916" s="37">
        <v>42037.43787037037</v>
      </c>
      <c r="F1916">
        <v>1</v>
      </c>
      <c r="G1916">
        <v>2</v>
      </c>
      <c r="K1916">
        <v>6</v>
      </c>
      <c r="V1916" s="42" t="s">
        <v>25</v>
      </c>
      <c r="W1916" s="47">
        <v>1</v>
      </c>
    </row>
    <row r="1917" spans="1:23">
      <c r="A1917">
        <v>3731178974</v>
      </c>
      <c r="B1917">
        <v>57240262</v>
      </c>
      <c r="C1917" s="36" t="s">
        <v>2125</v>
      </c>
      <c r="D1917" s="37">
        <v>42037.435266203705</v>
      </c>
      <c r="E1917" s="37">
        <v>42037.44226851852</v>
      </c>
      <c r="I1917">
        <v>4</v>
      </c>
      <c r="M1917">
        <v>8</v>
      </c>
      <c r="N1917">
        <v>9</v>
      </c>
      <c r="O1917">
        <v>10</v>
      </c>
      <c r="V1917" s="42" t="s">
        <v>43</v>
      </c>
      <c r="W1917" s="47">
        <v>4</v>
      </c>
    </row>
    <row r="1918" spans="1:23" hidden="1">
      <c r="A1918">
        <v>3731176300</v>
      </c>
      <c r="B1918">
        <v>57240262</v>
      </c>
      <c r="C1918" s="36" t="s">
        <v>467</v>
      </c>
      <c r="D1918" s="37">
        <v>42037.434421296297</v>
      </c>
      <c r="E1918" s="37">
        <v>42037.455659722225</v>
      </c>
      <c r="U1918">
        <v>16</v>
      </c>
      <c r="W1918" s="47"/>
    </row>
    <row r="1919" spans="1:23">
      <c r="A1919">
        <v>3731212424</v>
      </c>
      <c r="B1919">
        <v>57240262</v>
      </c>
      <c r="C1919" s="36" t="s">
        <v>2126</v>
      </c>
      <c r="D1919" s="37">
        <v>42037.454583333332</v>
      </c>
      <c r="E1919" s="37">
        <v>42037.464745370373</v>
      </c>
      <c r="M1919">
        <v>8</v>
      </c>
      <c r="Q1919">
        <v>12</v>
      </c>
      <c r="V1919" s="42" t="s">
        <v>42</v>
      </c>
      <c r="W1919" s="47">
        <v>8</v>
      </c>
    </row>
    <row r="1920" spans="1:23" hidden="1">
      <c r="A1920">
        <v>3731222381</v>
      </c>
      <c r="B1920">
        <v>57240262</v>
      </c>
      <c r="C1920" s="36" t="s">
        <v>2127</v>
      </c>
      <c r="D1920" s="37">
        <v>42037.460335648146</v>
      </c>
      <c r="E1920" s="37">
        <v>42037.465833333335</v>
      </c>
      <c r="O1920">
        <v>10</v>
      </c>
      <c r="W1920" s="47"/>
    </row>
    <row r="1921" spans="1:23" hidden="1">
      <c r="A1921">
        <v>3731256934</v>
      </c>
      <c r="B1921">
        <v>57240262</v>
      </c>
      <c r="C1921" s="36" t="s">
        <v>2128</v>
      </c>
      <c r="D1921" s="37">
        <v>42037.478483796294</v>
      </c>
      <c r="E1921" s="37">
        <v>42037.484270833331</v>
      </c>
      <c r="U1921">
        <v>16</v>
      </c>
      <c r="W1921" s="47"/>
    </row>
    <row r="1922" spans="1:23" hidden="1">
      <c r="A1922">
        <v>3731275407</v>
      </c>
      <c r="B1922">
        <v>57240262</v>
      </c>
      <c r="C1922" s="36" t="s">
        <v>2129</v>
      </c>
      <c r="D1922" s="37">
        <v>42037.48878472222</v>
      </c>
      <c r="E1922" s="37">
        <v>42037.494085648148</v>
      </c>
      <c r="U1922">
        <v>16</v>
      </c>
      <c r="W1922" s="47"/>
    </row>
    <row r="1923" spans="1:23" hidden="1">
      <c r="A1923">
        <v>3731356865</v>
      </c>
      <c r="B1923">
        <v>57240262</v>
      </c>
      <c r="C1923" s="36" t="s">
        <v>2130</v>
      </c>
      <c r="D1923" s="37">
        <v>42037.529594907406</v>
      </c>
      <c r="E1923" s="37">
        <v>42037.531261574077</v>
      </c>
      <c r="Q1923">
        <v>12</v>
      </c>
      <c r="W1923" s="47"/>
    </row>
    <row r="1924" spans="1:23" hidden="1">
      <c r="A1924">
        <v>3731356920</v>
      </c>
      <c r="B1924">
        <v>57240262</v>
      </c>
      <c r="C1924" s="36" t="s">
        <v>2131</v>
      </c>
      <c r="D1924" s="37">
        <v>42037.528761574074</v>
      </c>
      <c r="E1924" s="37">
        <v>42037.539513888885</v>
      </c>
      <c r="U1924">
        <v>16</v>
      </c>
      <c r="W1924" s="47"/>
    </row>
    <row r="1925" spans="1:23" hidden="1">
      <c r="A1925">
        <v>3731408108</v>
      </c>
      <c r="B1925">
        <v>57240262</v>
      </c>
      <c r="C1925" s="36" t="s">
        <v>2132</v>
      </c>
      <c r="D1925" s="37">
        <v>42037.551412037035</v>
      </c>
      <c r="E1925" s="37">
        <v>42037.556597222225</v>
      </c>
      <c r="F1925">
        <v>1</v>
      </c>
      <c r="W1925" s="47"/>
    </row>
    <row r="1926" spans="1:23" ht="24">
      <c r="A1926">
        <v>3731411617</v>
      </c>
      <c r="B1926">
        <v>57240262</v>
      </c>
      <c r="C1926" s="36" t="s">
        <v>2133</v>
      </c>
      <c r="D1926" s="37">
        <v>42037.552685185183</v>
      </c>
      <c r="E1926" s="37">
        <v>42037.570891203701</v>
      </c>
      <c r="F1926">
        <v>1</v>
      </c>
      <c r="G1926">
        <v>2</v>
      </c>
      <c r="H1926">
        <v>3</v>
      </c>
      <c r="K1926">
        <v>6</v>
      </c>
      <c r="O1926">
        <v>10</v>
      </c>
      <c r="P1926">
        <v>11</v>
      </c>
      <c r="Q1926">
        <v>12</v>
      </c>
      <c r="S1926">
        <v>14</v>
      </c>
      <c r="V1926" s="42" t="s">
        <v>41</v>
      </c>
      <c r="W1926" s="47">
        <v>10</v>
      </c>
    </row>
    <row r="1927" spans="1:23" hidden="1">
      <c r="A1927">
        <v>3731503105</v>
      </c>
      <c r="B1927">
        <v>57240262</v>
      </c>
      <c r="C1927" s="36" t="s">
        <v>2134</v>
      </c>
      <c r="D1927" s="37">
        <v>42037.586574074077</v>
      </c>
      <c r="E1927" s="37">
        <v>42037.610405092593</v>
      </c>
      <c r="U1927">
        <v>16</v>
      </c>
      <c r="W1927" s="47"/>
    </row>
    <row r="1928" spans="1:23" hidden="1">
      <c r="A1928">
        <v>3731623044</v>
      </c>
      <c r="B1928">
        <v>57240262</v>
      </c>
      <c r="C1928" s="36" t="s">
        <v>2135</v>
      </c>
      <c r="D1928" s="37">
        <v>42037.622546296298</v>
      </c>
      <c r="E1928" s="37">
        <v>42037.628807870373</v>
      </c>
      <c r="F1928">
        <v>1</v>
      </c>
      <c r="W1928" s="47"/>
    </row>
    <row r="1929" spans="1:23" hidden="1">
      <c r="A1929">
        <v>3731823330</v>
      </c>
      <c r="B1929">
        <v>57240262</v>
      </c>
      <c r="C1929" s="36" t="s">
        <v>2136</v>
      </c>
      <c r="D1929" s="37">
        <v>42037.676527777781</v>
      </c>
      <c r="E1929" s="37">
        <v>42037.679490740738</v>
      </c>
      <c r="U1929">
        <v>16</v>
      </c>
      <c r="W1929" s="47"/>
    </row>
    <row r="1930" spans="1:23" hidden="1">
      <c r="A1930">
        <v>3731838099</v>
      </c>
      <c r="B1930">
        <v>57240262</v>
      </c>
      <c r="C1930" s="36" t="s">
        <v>2137</v>
      </c>
      <c r="D1930" s="37">
        <v>42037.680532407408</v>
      </c>
      <c r="E1930" s="37">
        <v>42037.68613425926</v>
      </c>
      <c r="U1930">
        <v>16</v>
      </c>
      <c r="W1930" s="47"/>
    </row>
    <row r="1931" spans="1:23" hidden="1">
      <c r="A1931">
        <v>3731858993</v>
      </c>
      <c r="B1931">
        <v>57240262</v>
      </c>
      <c r="C1931" s="36" t="s">
        <v>2138</v>
      </c>
      <c r="D1931" s="37">
        <v>42037.68582175926</v>
      </c>
      <c r="E1931" s="37">
        <v>42037.688634259262</v>
      </c>
      <c r="U1931">
        <v>16</v>
      </c>
      <c r="W1931" s="47"/>
    </row>
    <row r="1932" spans="1:23" hidden="1">
      <c r="A1932">
        <v>3731862032</v>
      </c>
      <c r="B1932">
        <v>57240262</v>
      </c>
      <c r="C1932" s="36" t="s">
        <v>2139</v>
      </c>
      <c r="D1932" s="37">
        <v>42037.686516203707</v>
      </c>
      <c r="E1932" s="37">
        <v>42037.690439814818</v>
      </c>
      <c r="K1932">
        <v>6</v>
      </c>
      <c r="M1932">
        <v>8</v>
      </c>
      <c r="Q1932">
        <v>12</v>
      </c>
      <c r="W1932" s="47"/>
    </row>
    <row r="1933" spans="1:23" hidden="1">
      <c r="A1933">
        <v>3731927508</v>
      </c>
      <c r="B1933">
        <v>57240262</v>
      </c>
      <c r="C1933" s="36" t="s">
        <v>2140</v>
      </c>
      <c r="D1933" s="37">
        <v>42037.703680555554</v>
      </c>
      <c r="E1933" s="37">
        <v>42037.704594907409</v>
      </c>
      <c r="M1933">
        <v>8</v>
      </c>
      <c r="W1933" s="47"/>
    </row>
    <row r="1934" spans="1:23" hidden="1">
      <c r="A1934">
        <v>3732099818</v>
      </c>
      <c r="B1934">
        <v>57240262</v>
      </c>
      <c r="C1934" s="36" t="s">
        <v>2387</v>
      </c>
      <c r="D1934" s="37">
        <v>42037.750659722224</v>
      </c>
      <c r="E1934" s="37">
        <v>42037.751203703701</v>
      </c>
      <c r="W1934" s="47"/>
    </row>
    <row r="1935" spans="1:23">
      <c r="A1935">
        <v>3732260975</v>
      </c>
      <c r="B1935">
        <v>57240262</v>
      </c>
      <c r="C1935" s="36" t="s">
        <v>2141</v>
      </c>
      <c r="D1935" s="37">
        <v>42037.794629629629</v>
      </c>
      <c r="E1935" s="37">
        <v>42037.802060185182</v>
      </c>
      <c r="J1935">
        <v>5</v>
      </c>
      <c r="Q1935">
        <v>12</v>
      </c>
      <c r="V1935" s="42" t="s">
        <v>40</v>
      </c>
      <c r="W1935" s="47">
        <v>12</v>
      </c>
    </row>
    <row r="1936" spans="1:23" hidden="1">
      <c r="A1936">
        <v>3732309792</v>
      </c>
      <c r="B1936">
        <v>57240262</v>
      </c>
      <c r="C1936" s="36" t="s">
        <v>2142</v>
      </c>
      <c r="D1936" s="37">
        <v>42037.80804398148</v>
      </c>
      <c r="E1936" s="37">
        <v>42037.810115740744</v>
      </c>
      <c r="U1936">
        <v>16</v>
      </c>
      <c r="W1936" s="47"/>
    </row>
    <row r="1937" spans="1:23" hidden="1">
      <c r="A1937">
        <v>3732309284</v>
      </c>
      <c r="B1937">
        <v>57240262</v>
      </c>
      <c r="C1937" s="36" t="s">
        <v>468</v>
      </c>
      <c r="D1937" s="37">
        <v>42037.807638888888</v>
      </c>
      <c r="E1937" s="37">
        <v>42037.814444444448</v>
      </c>
      <c r="U1937">
        <v>16</v>
      </c>
      <c r="W1937" s="47"/>
    </row>
    <row r="1938" spans="1:23" hidden="1">
      <c r="A1938">
        <v>3732310818</v>
      </c>
      <c r="B1938">
        <v>57240262</v>
      </c>
      <c r="C1938" s="36" t="s">
        <v>2143</v>
      </c>
      <c r="D1938" s="37">
        <v>42037.808483796296</v>
      </c>
      <c r="E1938" s="37">
        <v>42037.817777777775</v>
      </c>
      <c r="F1938">
        <v>1</v>
      </c>
      <c r="W1938" s="47"/>
    </row>
    <row r="1939" spans="1:23" hidden="1">
      <c r="A1939">
        <v>3732331317</v>
      </c>
      <c r="B1939">
        <v>57240262</v>
      </c>
      <c r="C1939" s="36" t="s">
        <v>311</v>
      </c>
      <c r="D1939" s="37">
        <v>42037.813449074078</v>
      </c>
      <c r="E1939" s="37">
        <v>42037.81994212963</v>
      </c>
      <c r="U1939">
        <v>16</v>
      </c>
      <c r="W1939" s="47"/>
    </row>
    <row r="1940" spans="1:23">
      <c r="A1940">
        <v>3732351902</v>
      </c>
      <c r="B1940">
        <v>57240262</v>
      </c>
      <c r="C1940" s="36" t="s">
        <v>301</v>
      </c>
      <c r="D1940" s="37">
        <v>42037.819918981484</v>
      </c>
      <c r="E1940" s="37">
        <v>42037.823912037034</v>
      </c>
      <c r="F1940">
        <v>1</v>
      </c>
      <c r="G1940">
        <v>2</v>
      </c>
      <c r="I1940">
        <v>4</v>
      </c>
      <c r="O1940">
        <v>10</v>
      </c>
      <c r="R1940">
        <v>13</v>
      </c>
      <c r="V1940" s="42" t="s">
        <v>39</v>
      </c>
      <c r="W1940" s="47">
        <v>4</v>
      </c>
    </row>
    <row r="1941" spans="1:23" hidden="1">
      <c r="A1941">
        <v>3732378642</v>
      </c>
      <c r="B1941">
        <v>57240262</v>
      </c>
      <c r="C1941" s="36" t="s">
        <v>310</v>
      </c>
      <c r="D1941" s="37">
        <v>42037.827152777776</v>
      </c>
      <c r="E1941" s="37">
        <v>42037.829594907409</v>
      </c>
      <c r="U1941">
        <v>16</v>
      </c>
      <c r="W1941" s="47"/>
    </row>
    <row r="1942" spans="1:23" hidden="1">
      <c r="A1942">
        <v>3732313414</v>
      </c>
      <c r="B1942">
        <v>57240262</v>
      </c>
      <c r="C1942" s="36" t="s">
        <v>2144</v>
      </c>
      <c r="D1942" s="37">
        <v>42037.809131944443</v>
      </c>
      <c r="E1942" s="37">
        <v>42037.83357638889</v>
      </c>
      <c r="U1942">
        <v>16</v>
      </c>
      <c r="W1942" s="47"/>
    </row>
    <row r="1943" spans="1:23">
      <c r="A1943">
        <v>3732410592</v>
      </c>
      <c r="B1943">
        <v>57240262</v>
      </c>
      <c r="C1943" s="36" t="s">
        <v>2145</v>
      </c>
      <c r="D1943" s="37">
        <v>42037.836134259262</v>
      </c>
      <c r="E1943" s="37">
        <v>42037.841990740744</v>
      </c>
      <c r="F1943">
        <v>1</v>
      </c>
      <c r="I1943">
        <v>4</v>
      </c>
      <c r="J1943">
        <v>5</v>
      </c>
      <c r="K1943">
        <v>6</v>
      </c>
      <c r="P1943">
        <v>11</v>
      </c>
      <c r="Q1943">
        <v>12</v>
      </c>
      <c r="V1943" s="42" t="s">
        <v>38</v>
      </c>
      <c r="W1943" s="47">
        <v>4</v>
      </c>
    </row>
    <row r="1944" spans="1:23">
      <c r="A1944">
        <v>3732413560</v>
      </c>
      <c r="B1944">
        <v>57240262</v>
      </c>
      <c r="C1944" s="36" t="s">
        <v>2146</v>
      </c>
      <c r="D1944" s="37">
        <v>42037.836956018517</v>
      </c>
      <c r="E1944" s="37">
        <v>42037.842395833337</v>
      </c>
      <c r="F1944">
        <v>1</v>
      </c>
      <c r="H1944">
        <v>3</v>
      </c>
      <c r="K1944">
        <v>6</v>
      </c>
      <c r="Q1944">
        <v>12</v>
      </c>
      <c r="S1944">
        <v>14</v>
      </c>
      <c r="V1944" s="42" t="s">
        <v>37</v>
      </c>
      <c r="W1944" s="47">
        <v>2</v>
      </c>
    </row>
    <row r="1945" spans="1:23">
      <c r="A1945">
        <v>3732523190</v>
      </c>
      <c r="B1945">
        <v>57240262</v>
      </c>
      <c r="C1945" s="36" t="s">
        <v>2147</v>
      </c>
      <c r="D1945" s="37">
        <v>42037.868263888886</v>
      </c>
      <c r="E1945" s="37">
        <v>42037.873784722222</v>
      </c>
      <c r="F1945">
        <v>1</v>
      </c>
      <c r="J1945">
        <v>5</v>
      </c>
      <c r="K1945">
        <v>6</v>
      </c>
      <c r="M1945">
        <v>8</v>
      </c>
      <c r="O1945">
        <v>10</v>
      </c>
      <c r="V1945" s="42" t="s">
        <v>35</v>
      </c>
      <c r="W1945" s="47">
        <v>10</v>
      </c>
    </row>
    <row r="1946" spans="1:23">
      <c r="A1946">
        <v>3732520573</v>
      </c>
      <c r="B1946">
        <v>57240262</v>
      </c>
      <c r="C1946" s="36" t="s">
        <v>300</v>
      </c>
      <c r="D1946" s="37">
        <v>42037.8675</v>
      </c>
      <c r="E1946" s="37">
        <v>42037.875069444446</v>
      </c>
      <c r="F1946">
        <v>1</v>
      </c>
      <c r="J1946">
        <v>5</v>
      </c>
      <c r="K1946">
        <v>6</v>
      </c>
      <c r="O1946">
        <v>10</v>
      </c>
      <c r="V1946" s="42" t="s">
        <v>36</v>
      </c>
      <c r="W1946" s="47">
        <v>5</v>
      </c>
    </row>
    <row r="1947" spans="1:23" hidden="1">
      <c r="A1947">
        <v>3732599026</v>
      </c>
      <c r="B1947">
        <v>57240262</v>
      </c>
      <c r="C1947" s="36" t="s">
        <v>2148</v>
      </c>
      <c r="D1947" s="37">
        <v>42037.889224537037</v>
      </c>
      <c r="E1947" s="37">
        <v>42037.896620370368</v>
      </c>
      <c r="G1947">
        <v>2</v>
      </c>
      <c r="S1947">
        <v>14</v>
      </c>
      <c r="W1947" s="47"/>
    </row>
    <row r="1948" spans="1:23" hidden="1">
      <c r="A1948">
        <v>3732624430</v>
      </c>
      <c r="B1948">
        <v>57240262</v>
      </c>
      <c r="C1948" s="36" t="s">
        <v>2149</v>
      </c>
      <c r="D1948" s="37">
        <v>42037.896724537037</v>
      </c>
      <c r="E1948" s="37">
        <v>42037.904189814813</v>
      </c>
      <c r="O1948">
        <v>10</v>
      </c>
      <c r="W1948" s="47"/>
    </row>
    <row r="1949" spans="1:23" hidden="1">
      <c r="A1949">
        <v>3732837538</v>
      </c>
      <c r="B1949">
        <v>57240262</v>
      </c>
      <c r="C1949" s="36" t="s">
        <v>2388</v>
      </c>
      <c r="D1949" s="37">
        <v>42037.96769675926</v>
      </c>
      <c r="E1949" s="37">
        <v>42037.969317129631</v>
      </c>
      <c r="W1949" s="47"/>
    </row>
    <row r="1950" spans="1:23" hidden="1">
      <c r="A1950">
        <v>3732870291</v>
      </c>
      <c r="B1950">
        <v>57240262</v>
      </c>
      <c r="C1950" s="36" t="s">
        <v>2150</v>
      </c>
      <c r="D1950" s="37">
        <v>42037.981805555559</v>
      </c>
      <c r="E1950" s="37">
        <v>42037.984479166669</v>
      </c>
      <c r="U1950">
        <v>16</v>
      </c>
      <c r="W1950" s="47"/>
    </row>
    <row r="1951" spans="1:23" hidden="1">
      <c r="A1951">
        <v>3733398722</v>
      </c>
      <c r="B1951">
        <v>57240262</v>
      </c>
      <c r="C1951" s="36" t="s">
        <v>2151</v>
      </c>
      <c r="D1951" s="37">
        <v>42038.313287037039</v>
      </c>
      <c r="E1951" s="37">
        <v>42038.31695601852</v>
      </c>
      <c r="U1951">
        <v>16</v>
      </c>
      <c r="W1951" s="47"/>
    </row>
    <row r="1952" spans="1:23" hidden="1">
      <c r="A1952">
        <v>3733482589</v>
      </c>
      <c r="B1952">
        <v>57240262</v>
      </c>
      <c r="C1952" s="36" t="s">
        <v>2152</v>
      </c>
      <c r="D1952" s="37">
        <v>42038.372835648152</v>
      </c>
      <c r="E1952" s="37">
        <v>42038.379479166666</v>
      </c>
      <c r="K1952">
        <v>6</v>
      </c>
      <c r="W1952" s="47"/>
    </row>
    <row r="1953" spans="1:23">
      <c r="A1953">
        <v>3733535451</v>
      </c>
      <c r="B1953">
        <v>57240262</v>
      </c>
      <c r="C1953" s="36" t="s">
        <v>2153</v>
      </c>
      <c r="D1953" s="37">
        <v>42038.404768518521</v>
      </c>
      <c r="E1953" s="37">
        <v>42038.411423611113</v>
      </c>
      <c r="J1953">
        <v>5</v>
      </c>
      <c r="K1953">
        <v>6</v>
      </c>
      <c r="P1953">
        <v>11</v>
      </c>
      <c r="V1953" s="42" t="s">
        <v>34</v>
      </c>
      <c r="W1953" s="47">
        <v>6</v>
      </c>
    </row>
    <row r="1954" spans="1:23" hidden="1">
      <c r="A1954">
        <v>3733584830</v>
      </c>
      <c r="B1954">
        <v>57240262</v>
      </c>
      <c r="C1954" s="36" t="s">
        <v>2154</v>
      </c>
      <c r="D1954" s="37">
        <v>42038.43236111111</v>
      </c>
      <c r="E1954" s="37">
        <v>42038.437303240738</v>
      </c>
      <c r="G1954">
        <v>2</v>
      </c>
      <c r="W1954" s="47"/>
    </row>
    <row r="1955" spans="1:23" hidden="1">
      <c r="A1955">
        <v>3733638108</v>
      </c>
      <c r="B1955">
        <v>57240262</v>
      </c>
      <c r="C1955" s="36" t="s">
        <v>2155</v>
      </c>
      <c r="D1955" s="37">
        <v>42038.460590277777</v>
      </c>
      <c r="E1955" s="37">
        <v>42038.471597222226</v>
      </c>
      <c r="U1955">
        <v>16</v>
      </c>
      <c r="W1955" s="47"/>
    </row>
    <row r="1956" spans="1:23" hidden="1">
      <c r="A1956">
        <v>3733715675</v>
      </c>
      <c r="B1956">
        <v>57240262</v>
      </c>
      <c r="C1956" s="36" t="s">
        <v>2156</v>
      </c>
      <c r="D1956" s="37">
        <v>42038.49962962963</v>
      </c>
      <c r="E1956" s="37">
        <v>42038.507650462961</v>
      </c>
      <c r="U1956">
        <v>16</v>
      </c>
      <c r="W1956" s="47"/>
    </row>
    <row r="1957" spans="1:23" hidden="1">
      <c r="A1957">
        <v>3733984869</v>
      </c>
      <c r="B1957">
        <v>57240262</v>
      </c>
      <c r="C1957" s="36" t="s">
        <v>2157</v>
      </c>
      <c r="D1957" s="37">
        <v>42038.598090277781</v>
      </c>
      <c r="E1957" s="37">
        <v>42038.59946759259</v>
      </c>
      <c r="F1957">
        <v>1</v>
      </c>
      <c r="W1957" s="47"/>
    </row>
    <row r="1958" spans="1:23" hidden="1">
      <c r="A1958">
        <v>3734038020</v>
      </c>
      <c r="B1958">
        <v>57240262</v>
      </c>
      <c r="C1958" s="36" t="s">
        <v>2158</v>
      </c>
      <c r="D1958" s="37">
        <v>42038.612916666665</v>
      </c>
      <c r="E1958" s="37">
        <v>42038.622986111113</v>
      </c>
      <c r="N1958">
        <v>9</v>
      </c>
      <c r="W1958" s="47"/>
    </row>
    <row r="1959" spans="1:23" hidden="1">
      <c r="A1959">
        <v>3733938342</v>
      </c>
      <c r="B1959">
        <v>57240262</v>
      </c>
      <c r="C1959" s="36" t="s">
        <v>309</v>
      </c>
      <c r="D1959" s="37">
        <v>42038.584814814814</v>
      </c>
      <c r="E1959" s="37">
        <v>42038.643831018519</v>
      </c>
      <c r="U1959">
        <v>16</v>
      </c>
      <c r="W1959" s="47"/>
    </row>
    <row r="1960" spans="1:23" hidden="1">
      <c r="A1960">
        <v>3734102076</v>
      </c>
      <c r="B1960">
        <v>57240262</v>
      </c>
      <c r="C1960" s="36" t="s">
        <v>2159</v>
      </c>
      <c r="D1960" s="37">
        <v>42038.628854166665</v>
      </c>
      <c r="E1960" s="37">
        <v>42038.647638888891</v>
      </c>
      <c r="U1960">
        <v>16</v>
      </c>
      <c r="W1960" s="47"/>
    </row>
    <row r="1961" spans="1:23" hidden="1">
      <c r="A1961">
        <v>3734217861</v>
      </c>
      <c r="B1961">
        <v>57240262</v>
      </c>
      <c r="C1961" s="36" t="s">
        <v>2160</v>
      </c>
      <c r="D1961" s="37">
        <v>42038.65965277778</v>
      </c>
      <c r="E1961" s="37">
        <v>42038.663599537038</v>
      </c>
      <c r="J1961">
        <v>5</v>
      </c>
      <c r="W1961" s="47"/>
    </row>
    <row r="1962" spans="1:23" hidden="1">
      <c r="A1962">
        <v>3734259607</v>
      </c>
      <c r="B1962">
        <v>57240262</v>
      </c>
      <c r="C1962" s="36" t="s">
        <v>2161</v>
      </c>
      <c r="D1962" s="37">
        <v>42038.669976851852</v>
      </c>
      <c r="E1962" s="37">
        <v>42038.673842592594</v>
      </c>
      <c r="I1962">
        <v>4</v>
      </c>
      <c r="W1962" s="47"/>
    </row>
    <row r="1963" spans="1:23" hidden="1">
      <c r="A1963">
        <v>3734362800</v>
      </c>
      <c r="B1963">
        <v>57240262</v>
      </c>
      <c r="C1963" s="36" t="s">
        <v>2162</v>
      </c>
      <c r="D1963" s="37">
        <v>42038.694745370369</v>
      </c>
      <c r="E1963" s="37">
        <v>42038.701921296299</v>
      </c>
      <c r="U1963">
        <v>16</v>
      </c>
      <c r="W1963" s="47"/>
    </row>
    <row r="1964" spans="1:23" hidden="1">
      <c r="A1964">
        <v>3734420176</v>
      </c>
      <c r="B1964">
        <v>57240262</v>
      </c>
      <c r="C1964" s="36" t="s">
        <v>2163</v>
      </c>
      <c r="D1964" s="37">
        <v>42038.709606481483</v>
      </c>
      <c r="E1964" s="37">
        <v>42038.712511574071</v>
      </c>
      <c r="O1964">
        <v>10</v>
      </c>
      <c r="W1964" s="47"/>
    </row>
    <row r="1965" spans="1:23" hidden="1">
      <c r="A1965">
        <v>3734526904</v>
      </c>
      <c r="B1965">
        <v>57240262</v>
      </c>
      <c r="C1965" s="36" t="s">
        <v>2164</v>
      </c>
      <c r="D1965" s="37">
        <v>42038.732800925929</v>
      </c>
      <c r="E1965" s="37">
        <v>42038.737303240741</v>
      </c>
      <c r="F1965">
        <v>1</v>
      </c>
      <c r="G1965">
        <v>2</v>
      </c>
      <c r="J1965">
        <v>5</v>
      </c>
      <c r="K1965">
        <v>6</v>
      </c>
      <c r="Q1965">
        <v>12</v>
      </c>
      <c r="W1965" s="47"/>
    </row>
    <row r="1966" spans="1:23" hidden="1">
      <c r="A1966">
        <v>3734630325</v>
      </c>
      <c r="B1966">
        <v>57240262</v>
      </c>
      <c r="C1966" s="36" t="s">
        <v>2165</v>
      </c>
      <c r="D1966" s="37">
        <v>42038.757835648146</v>
      </c>
      <c r="E1966" s="37">
        <v>42038.763240740744</v>
      </c>
      <c r="N1966">
        <v>9</v>
      </c>
      <c r="W1966" s="47"/>
    </row>
    <row r="1967" spans="1:23">
      <c r="A1967">
        <v>3734675634</v>
      </c>
      <c r="B1967">
        <v>57240262</v>
      </c>
      <c r="C1967" s="36" t="s">
        <v>2166</v>
      </c>
      <c r="D1967" s="37">
        <v>42038.76939814815</v>
      </c>
      <c r="E1967" s="37">
        <v>42038.774768518517</v>
      </c>
      <c r="F1967">
        <v>1</v>
      </c>
      <c r="K1967">
        <v>6</v>
      </c>
      <c r="R1967">
        <v>13</v>
      </c>
      <c r="V1967" s="42" t="s">
        <v>33</v>
      </c>
      <c r="W1967" s="47">
        <v>1</v>
      </c>
    </row>
    <row r="1968" spans="1:23" hidden="1">
      <c r="A1968">
        <v>3735255164</v>
      </c>
      <c r="B1968">
        <v>57240262</v>
      </c>
      <c r="C1968" s="36" t="s">
        <v>307</v>
      </c>
      <c r="D1968" s="37">
        <v>42038.929305555554</v>
      </c>
      <c r="E1968" s="37">
        <v>42038.935057870367</v>
      </c>
      <c r="F1968">
        <v>1</v>
      </c>
      <c r="G1968">
        <v>2</v>
      </c>
      <c r="H1968">
        <v>3</v>
      </c>
      <c r="O1968">
        <v>10</v>
      </c>
      <c r="P1968">
        <v>11</v>
      </c>
      <c r="Q1968">
        <v>12</v>
      </c>
      <c r="R1968">
        <v>13</v>
      </c>
      <c r="W1968" s="47"/>
    </row>
    <row r="1969" spans="1:23" hidden="1">
      <c r="A1969">
        <v>3735251220</v>
      </c>
      <c r="B1969">
        <v>57240262</v>
      </c>
      <c r="C1969" s="36" t="s">
        <v>308</v>
      </c>
      <c r="D1969" s="37">
        <v>42038.928136574075</v>
      </c>
      <c r="E1969" s="37">
        <v>42038.936956018515</v>
      </c>
      <c r="O1969">
        <v>10</v>
      </c>
      <c r="W1969" s="47"/>
    </row>
    <row r="1970" spans="1:23" ht="24">
      <c r="A1970">
        <v>3735225182</v>
      </c>
      <c r="B1970">
        <v>57240262</v>
      </c>
      <c r="C1970" s="36" t="s">
        <v>2167</v>
      </c>
      <c r="D1970" s="37">
        <v>42038.919861111113</v>
      </c>
      <c r="E1970" s="37">
        <v>42038.937210648146</v>
      </c>
      <c r="G1970">
        <v>2</v>
      </c>
      <c r="H1970">
        <v>3</v>
      </c>
      <c r="I1970">
        <v>4</v>
      </c>
      <c r="K1970">
        <v>6</v>
      </c>
      <c r="M1970">
        <v>8</v>
      </c>
      <c r="N1970">
        <v>9</v>
      </c>
      <c r="P1970">
        <v>11</v>
      </c>
      <c r="S1970">
        <v>14</v>
      </c>
      <c r="V1970" s="42" t="s">
        <v>32</v>
      </c>
      <c r="W1970" s="47">
        <v>15</v>
      </c>
    </row>
    <row r="1971" spans="1:23" hidden="1">
      <c r="A1971">
        <v>3735259117</v>
      </c>
      <c r="B1971">
        <v>57240262</v>
      </c>
      <c r="C1971" s="36" t="s">
        <v>2168</v>
      </c>
      <c r="D1971" s="37">
        <v>42038.930659722224</v>
      </c>
      <c r="E1971" s="37">
        <v>42038.937442129631</v>
      </c>
      <c r="F1971">
        <v>1</v>
      </c>
      <c r="G1971">
        <v>2</v>
      </c>
      <c r="I1971">
        <v>4</v>
      </c>
      <c r="J1971">
        <v>5</v>
      </c>
      <c r="K1971">
        <v>6</v>
      </c>
      <c r="N1971">
        <v>9</v>
      </c>
      <c r="Q1971">
        <v>12</v>
      </c>
      <c r="W1971" s="47"/>
    </row>
    <row r="1972" spans="1:23">
      <c r="A1972">
        <v>3735271170</v>
      </c>
      <c r="B1972">
        <v>57240262</v>
      </c>
      <c r="C1972" s="36" t="s">
        <v>2169</v>
      </c>
      <c r="D1972" s="37">
        <v>42038.934675925928</v>
      </c>
      <c r="E1972" s="37">
        <v>42038.940937500003</v>
      </c>
      <c r="F1972">
        <v>1</v>
      </c>
      <c r="G1972">
        <v>2</v>
      </c>
      <c r="K1972">
        <v>6</v>
      </c>
      <c r="O1972">
        <v>10</v>
      </c>
      <c r="V1972" s="42" t="s">
        <v>31</v>
      </c>
      <c r="W1972" s="47">
        <v>2</v>
      </c>
    </row>
    <row r="1973" spans="1:23" hidden="1">
      <c r="A1973">
        <v>3735323781</v>
      </c>
      <c r="B1973">
        <v>57240262</v>
      </c>
      <c r="C1973" s="36" t="s">
        <v>2170</v>
      </c>
      <c r="D1973" s="37">
        <v>42038.9531712963</v>
      </c>
      <c r="E1973" s="37">
        <v>42038.956597222219</v>
      </c>
      <c r="O1973">
        <v>10</v>
      </c>
      <c r="W1973" s="47"/>
    </row>
    <row r="1974" spans="1:23" hidden="1">
      <c r="A1974">
        <v>3735366677</v>
      </c>
      <c r="B1974">
        <v>57240262</v>
      </c>
      <c r="C1974" s="36" t="s">
        <v>2171</v>
      </c>
      <c r="D1974" s="37">
        <v>42038.969247685185</v>
      </c>
      <c r="E1974" s="37">
        <v>42038.984456018516</v>
      </c>
      <c r="F1974">
        <v>1</v>
      </c>
      <c r="I1974">
        <v>4</v>
      </c>
      <c r="K1974">
        <v>6</v>
      </c>
      <c r="P1974">
        <v>11</v>
      </c>
      <c r="W1974" s="47"/>
    </row>
    <row r="1975" spans="1:23" hidden="1">
      <c r="A1975">
        <v>3735973131</v>
      </c>
      <c r="B1975">
        <v>57240262</v>
      </c>
      <c r="C1975" s="36" t="s">
        <v>2172</v>
      </c>
      <c r="D1975" s="37">
        <v>42039.346701388888</v>
      </c>
      <c r="E1975" s="37">
        <v>42039.349872685183</v>
      </c>
      <c r="U1975">
        <v>16</v>
      </c>
      <c r="W1975" s="47"/>
    </row>
    <row r="1976" spans="1:23" hidden="1">
      <c r="A1976">
        <v>3736016591</v>
      </c>
      <c r="B1976">
        <v>57240262</v>
      </c>
      <c r="C1976" s="36" t="s">
        <v>2173</v>
      </c>
      <c r="D1976" s="37">
        <v>42039.374039351853</v>
      </c>
      <c r="E1976" s="37">
        <v>42039.375405092593</v>
      </c>
      <c r="U1976">
        <v>16</v>
      </c>
      <c r="W1976" s="47"/>
    </row>
    <row r="1977" spans="1:23">
      <c r="A1977">
        <v>3736113684</v>
      </c>
      <c r="B1977">
        <v>57240262</v>
      </c>
      <c r="C1977" s="36" t="s">
        <v>2174</v>
      </c>
      <c r="D1977" s="37">
        <v>42039.426631944443</v>
      </c>
      <c r="E1977" s="37">
        <v>42039.437326388892</v>
      </c>
      <c r="F1977">
        <v>1</v>
      </c>
      <c r="G1977">
        <v>2</v>
      </c>
      <c r="J1977">
        <v>5</v>
      </c>
      <c r="K1977">
        <v>6</v>
      </c>
      <c r="N1977">
        <v>9</v>
      </c>
      <c r="O1977">
        <v>10</v>
      </c>
      <c r="V1977" s="42" t="s">
        <v>28</v>
      </c>
      <c r="W1977" s="47">
        <v>1</v>
      </c>
    </row>
    <row r="1978" spans="1:23">
      <c r="A1978">
        <v>3736244954</v>
      </c>
      <c r="B1978">
        <v>57240262</v>
      </c>
      <c r="C1978" s="36" t="s">
        <v>2175</v>
      </c>
      <c r="D1978" s="37">
        <v>42039.489895833336</v>
      </c>
      <c r="E1978" s="37">
        <v>42039.5</v>
      </c>
      <c r="G1978">
        <v>2</v>
      </c>
      <c r="V1978" s="42" t="s">
        <v>30</v>
      </c>
      <c r="W1978" s="47">
        <v>2</v>
      </c>
    </row>
    <row r="1979" spans="1:23" hidden="1">
      <c r="A1979">
        <v>3736329564</v>
      </c>
      <c r="B1979">
        <v>57240262</v>
      </c>
      <c r="C1979" s="36" t="s">
        <v>2176</v>
      </c>
      <c r="D1979" s="37">
        <v>42039.526226851849</v>
      </c>
      <c r="E1979" s="37">
        <v>42039.528923611113</v>
      </c>
      <c r="U1979">
        <v>16</v>
      </c>
      <c r="W1979" s="47"/>
    </row>
    <row r="1980" spans="1:23" hidden="1">
      <c r="A1980">
        <v>3736355419</v>
      </c>
      <c r="B1980">
        <v>57240262</v>
      </c>
      <c r="C1980" s="36" t="s">
        <v>2177</v>
      </c>
      <c r="D1980" s="37">
        <v>42039.536261574074</v>
      </c>
      <c r="E1980" s="37">
        <v>42039.537592592591</v>
      </c>
      <c r="U1980">
        <v>16</v>
      </c>
      <c r="W1980" s="47"/>
    </row>
    <row r="1981" spans="1:23" hidden="1">
      <c r="A1981">
        <v>3737044915</v>
      </c>
      <c r="B1981">
        <v>57240262</v>
      </c>
      <c r="C1981" s="36" t="s">
        <v>2178</v>
      </c>
      <c r="D1981" s="37">
        <v>42039.726967592593</v>
      </c>
      <c r="E1981" s="37">
        <v>42039.769537037035</v>
      </c>
      <c r="O1981">
        <v>10</v>
      </c>
      <c r="W1981" s="47"/>
    </row>
    <row r="1982" spans="1:23" hidden="1">
      <c r="A1982">
        <v>3737293210</v>
      </c>
      <c r="B1982">
        <v>57240262</v>
      </c>
      <c r="C1982" s="36" t="s">
        <v>2179</v>
      </c>
      <c r="D1982" s="37">
        <v>42039.795682870368</v>
      </c>
      <c r="E1982" s="37">
        <v>42039.800520833334</v>
      </c>
      <c r="G1982">
        <v>2</v>
      </c>
      <c r="W1982" s="47"/>
    </row>
    <row r="1983" spans="1:23" hidden="1">
      <c r="A1983">
        <v>3737392894</v>
      </c>
      <c r="B1983">
        <v>57240262</v>
      </c>
      <c r="C1983" s="36" t="s">
        <v>2180</v>
      </c>
      <c r="D1983" s="37">
        <v>42039.823472222219</v>
      </c>
      <c r="E1983" s="37">
        <v>42039.830763888887</v>
      </c>
      <c r="U1983">
        <v>16</v>
      </c>
      <c r="W1983" s="47"/>
    </row>
    <row r="1984" spans="1:23" hidden="1">
      <c r="A1984">
        <v>3737538595</v>
      </c>
      <c r="B1984">
        <v>57240262</v>
      </c>
      <c r="C1984" s="36" t="s">
        <v>2181</v>
      </c>
      <c r="D1984" s="37">
        <v>42039.86513888889</v>
      </c>
      <c r="E1984" s="37">
        <v>42039.869513888887</v>
      </c>
      <c r="U1984">
        <v>16</v>
      </c>
      <c r="W1984" s="47"/>
    </row>
    <row r="1985" spans="1:23" hidden="1">
      <c r="A1985">
        <v>3737587180</v>
      </c>
      <c r="B1985">
        <v>57240262</v>
      </c>
      <c r="C1985" s="36" t="s">
        <v>2182</v>
      </c>
      <c r="D1985" s="37">
        <v>42039.879027777781</v>
      </c>
      <c r="E1985" s="37">
        <v>42039.889097222222</v>
      </c>
      <c r="F1985">
        <v>1</v>
      </c>
      <c r="W1985" s="47"/>
    </row>
    <row r="1986" spans="1:23">
      <c r="A1986">
        <v>3737867231</v>
      </c>
      <c r="B1986">
        <v>57240262</v>
      </c>
      <c r="C1986" s="36" t="s">
        <v>2183</v>
      </c>
      <c r="D1986" s="37">
        <v>42039.971863425926</v>
      </c>
      <c r="E1986" s="37">
        <v>42039.978136574071</v>
      </c>
      <c r="H1986">
        <v>3</v>
      </c>
      <c r="O1986">
        <v>10</v>
      </c>
      <c r="Q1986">
        <v>12</v>
      </c>
      <c r="V1986" s="42" t="s">
        <v>29</v>
      </c>
      <c r="W1986" s="47">
        <v>12</v>
      </c>
    </row>
    <row r="1987" spans="1:23" hidden="1">
      <c r="A1987">
        <v>3737902772</v>
      </c>
      <c r="B1987">
        <v>57240262</v>
      </c>
      <c r="C1987" s="36" t="s">
        <v>2184</v>
      </c>
      <c r="D1987" s="37">
        <v>42039.985995370371</v>
      </c>
      <c r="E1987" s="37">
        <v>42039.992592592593</v>
      </c>
      <c r="Q1987">
        <v>12</v>
      </c>
      <c r="W1987" s="47"/>
    </row>
    <row r="1988" spans="1:23" hidden="1">
      <c r="A1988">
        <v>3737940294</v>
      </c>
      <c r="B1988">
        <v>57240262</v>
      </c>
      <c r="C1988" s="36" t="s">
        <v>2185</v>
      </c>
      <c r="D1988" s="37">
        <v>42040.003506944442</v>
      </c>
      <c r="E1988" s="37">
        <v>42040.008101851854</v>
      </c>
      <c r="U1988">
        <v>16</v>
      </c>
      <c r="W1988" s="47"/>
    </row>
    <row r="1989" spans="1:23" hidden="1">
      <c r="A1989">
        <v>3738029916</v>
      </c>
      <c r="B1989">
        <v>57240262</v>
      </c>
      <c r="C1989" s="36" t="s">
        <v>2186</v>
      </c>
      <c r="D1989" s="37">
        <v>42040.045358796298</v>
      </c>
      <c r="E1989" s="37">
        <v>42040.050555555557</v>
      </c>
      <c r="F1989">
        <v>1</v>
      </c>
      <c r="W1989" s="47"/>
    </row>
    <row r="1990" spans="1:23">
      <c r="A1990">
        <v>3738067670</v>
      </c>
      <c r="B1990">
        <v>57240262</v>
      </c>
      <c r="C1990" s="36" t="s">
        <v>2187</v>
      </c>
      <c r="D1990" s="37">
        <v>42040.06422453704</v>
      </c>
      <c r="E1990" s="37">
        <v>42040.081377314818</v>
      </c>
      <c r="F1990">
        <v>1</v>
      </c>
      <c r="G1990">
        <v>2</v>
      </c>
      <c r="J1990">
        <v>5</v>
      </c>
      <c r="K1990">
        <v>6</v>
      </c>
      <c r="R1990">
        <v>13</v>
      </c>
      <c r="V1990" s="42" t="s">
        <v>28</v>
      </c>
      <c r="W1990" s="47">
        <v>1</v>
      </c>
    </row>
    <row r="1991" spans="1:23" hidden="1">
      <c r="A1991">
        <v>3738424580</v>
      </c>
      <c r="B1991">
        <v>57240262</v>
      </c>
      <c r="C1991" s="36" t="s">
        <v>2188</v>
      </c>
      <c r="D1991" s="37">
        <v>42040.309641203705</v>
      </c>
      <c r="E1991" s="37">
        <v>42040.314699074072</v>
      </c>
      <c r="F1991">
        <v>1</v>
      </c>
      <c r="W1991" s="47"/>
    </row>
    <row r="1992" spans="1:23" hidden="1">
      <c r="A1992">
        <v>3738543517</v>
      </c>
      <c r="B1992">
        <v>57240262</v>
      </c>
      <c r="C1992" s="36" t="s">
        <v>2189</v>
      </c>
      <c r="D1992" s="37">
        <v>42040.388171296298</v>
      </c>
      <c r="E1992" s="37">
        <v>42040.393946759257</v>
      </c>
      <c r="N1992">
        <v>9</v>
      </c>
      <c r="W1992" s="47"/>
    </row>
    <row r="1993" spans="1:23" hidden="1">
      <c r="A1993">
        <v>3738706173</v>
      </c>
      <c r="B1993">
        <v>57240262</v>
      </c>
      <c r="C1993" s="36" t="s">
        <v>2190</v>
      </c>
      <c r="D1993" s="37">
        <v>42040.478136574071</v>
      </c>
      <c r="E1993" s="37">
        <v>42040.482152777775</v>
      </c>
      <c r="O1993">
        <v>10</v>
      </c>
      <c r="W1993" s="47"/>
    </row>
    <row r="1994" spans="1:23">
      <c r="A1994">
        <v>3738961724</v>
      </c>
      <c r="B1994">
        <v>57240262</v>
      </c>
      <c r="C1994" s="36" t="s">
        <v>2191</v>
      </c>
      <c r="D1994" s="37">
        <v>42040.579918981479</v>
      </c>
      <c r="E1994" s="37">
        <v>42040.584837962961</v>
      </c>
      <c r="F1994">
        <v>1</v>
      </c>
      <c r="K1994">
        <v>6</v>
      </c>
      <c r="L1994">
        <v>7</v>
      </c>
      <c r="V1994" s="42" t="s">
        <v>27</v>
      </c>
      <c r="W1994" s="47">
        <v>7</v>
      </c>
    </row>
    <row r="1995" spans="1:23" hidden="1">
      <c r="A1995">
        <v>3739034878</v>
      </c>
      <c r="B1995">
        <v>57240262</v>
      </c>
      <c r="C1995" s="36" t="s">
        <v>2192</v>
      </c>
      <c r="D1995" s="37">
        <v>42040.601875</v>
      </c>
      <c r="E1995" s="37">
        <v>42040.607615740744</v>
      </c>
      <c r="U1995">
        <v>16</v>
      </c>
      <c r="W1995" s="47"/>
    </row>
    <row r="1996" spans="1:23" hidden="1">
      <c r="A1996">
        <v>3739074003</v>
      </c>
      <c r="B1996">
        <v>57240262</v>
      </c>
      <c r="C1996" s="36" t="s">
        <v>2193</v>
      </c>
      <c r="D1996" s="37">
        <v>42040.613032407404</v>
      </c>
      <c r="E1996" s="37">
        <v>42040.614293981482</v>
      </c>
      <c r="U1996">
        <v>16</v>
      </c>
      <c r="W1996" s="47"/>
    </row>
    <row r="1997" spans="1:23" hidden="1">
      <c r="A1997">
        <v>3739185552</v>
      </c>
      <c r="B1997">
        <v>57240262</v>
      </c>
      <c r="C1997" s="36" t="s">
        <v>2194</v>
      </c>
      <c r="D1997" s="37">
        <v>42040.642523148148</v>
      </c>
      <c r="E1997" s="37">
        <v>42040.646354166667</v>
      </c>
      <c r="U1997">
        <v>16</v>
      </c>
      <c r="W1997" s="47"/>
    </row>
    <row r="1998" spans="1:23" hidden="1">
      <c r="A1998">
        <v>3739389017</v>
      </c>
      <c r="B1998">
        <v>57240262</v>
      </c>
      <c r="C1998" s="36" t="s">
        <v>2195</v>
      </c>
      <c r="D1998" s="37">
        <v>42040.69462962963</v>
      </c>
      <c r="E1998" s="37">
        <v>42040.698923611111</v>
      </c>
      <c r="K1998">
        <v>6</v>
      </c>
      <c r="W1998" s="47"/>
    </row>
    <row r="1999" spans="1:23" hidden="1">
      <c r="A1999">
        <v>3739393648</v>
      </c>
      <c r="B1999">
        <v>57240262</v>
      </c>
      <c r="C1999" s="36" t="s">
        <v>2196</v>
      </c>
      <c r="D1999" s="37">
        <v>42040.695810185185</v>
      </c>
      <c r="E1999" s="37">
        <v>42040.700659722221</v>
      </c>
      <c r="G1999">
        <v>2</v>
      </c>
      <c r="K1999">
        <v>6</v>
      </c>
      <c r="M1999">
        <v>8</v>
      </c>
      <c r="O1999">
        <v>10</v>
      </c>
      <c r="W1999" s="47"/>
    </row>
    <row r="2000" spans="1:23" hidden="1">
      <c r="A2000">
        <v>3739514270</v>
      </c>
      <c r="B2000">
        <v>57240262</v>
      </c>
      <c r="C2000" s="36" t="s">
        <v>2197</v>
      </c>
      <c r="D2000" s="37">
        <v>42040.727453703701</v>
      </c>
      <c r="E2000" s="37">
        <v>42040.733298611114</v>
      </c>
      <c r="F2000">
        <v>1</v>
      </c>
      <c r="W2000" s="47"/>
    </row>
    <row r="2001" spans="1:23" hidden="1">
      <c r="A2001">
        <v>3739610107</v>
      </c>
      <c r="B2001">
        <v>57240262</v>
      </c>
      <c r="C2001" s="36" t="s">
        <v>2198</v>
      </c>
      <c r="D2001" s="37">
        <v>42040.753761574073</v>
      </c>
      <c r="E2001" s="37">
        <v>42040.760254629633</v>
      </c>
      <c r="F2001">
        <v>1</v>
      </c>
      <c r="J2001">
        <v>5</v>
      </c>
      <c r="N2001">
        <v>9</v>
      </c>
      <c r="R2001">
        <v>13</v>
      </c>
      <c r="W2001" s="47"/>
    </row>
    <row r="2002" spans="1:23" hidden="1">
      <c r="A2002">
        <v>3739951257</v>
      </c>
      <c r="B2002">
        <v>57240262</v>
      </c>
      <c r="C2002" s="36" t="s">
        <v>2199</v>
      </c>
      <c r="D2002" s="37">
        <v>42040.845046296294</v>
      </c>
      <c r="E2002" s="37">
        <v>42040.851712962962</v>
      </c>
      <c r="H2002">
        <v>3</v>
      </c>
      <c r="W2002" s="47"/>
    </row>
    <row r="2003" spans="1:23" hidden="1">
      <c r="A2003">
        <v>3740015745</v>
      </c>
      <c r="B2003">
        <v>57240262</v>
      </c>
      <c r="C2003" s="36" t="s">
        <v>2200</v>
      </c>
      <c r="D2003" s="37">
        <v>42040.863159722219</v>
      </c>
      <c r="E2003" s="37">
        <v>42040.86822916667</v>
      </c>
      <c r="J2003">
        <v>5</v>
      </c>
      <c r="W2003" s="47"/>
    </row>
    <row r="2004" spans="1:23">
      <c r="A2004">
        <v>3740048578</v>
      </c>
      <c r="B2004">
        <v>57240262</v>
      </c>
      <c r="C2004" s="36" t="s">
        <v>2201</v>
      </c>
      <c r="D2004" s="37">
        <v>42040.872453703705</v>
      </c>
      <c r="E2004" s="37">
        <v>42040.876805555556</v>
      </c>
      <c r="F2004">
        <v>1</v>
      </c>
      <c r="I2004">
        <v>4</v>
      </c>
      <c r="K2004">
        <v>6</v>
      </c>
      <c r="P2004">
        <v>11</v>
      </c>
      <c r="Q2004">
        <v>12</v>
      </c>
      <c r="V2004" s="42" t="s">
        <v>26</v>
      </c>
      <c r="W2004" s="47">
        <v>4</v>
      </c>
    </row>
    <row r="2005" spans="1:23" hidden="1">
      <c r="A2005">
        <v>3740104371</v>
      </c>
      <c r="B2005">
        <v>57240262</v>
      </c>
      <c r="C2005" s="36" t="s">
        <v>2202</v>
      </c>
      <c r="D2005" s="37">
        <v>42040.888541666667</v>
      </c>
      <c r="E2005" s="37">
        <v>42040.891793981478</v>
      </c>
      <c r="U2005">
        <v>16</v>
      </c>
      <c r="W2005" s="47"/>
    </row>
    <row r="2006" spans="1:23" hidden="1">
      <c r="A2006">
        <v>3740141168</v>
      </c>
      <c r="B2006">
        <v>57240262</v>
      </c>
      <c r="C2006" s="36" t="s">
        <v>2203</v>
      </c>
      <c r="D2006" s="37">
        <v>42040.899386574078</v>
      </c>
      <c r="E2006" s="37">
        <v>42040.904722222222</v>
      </c>
      <c r="U2006">
        <v>16</v>
      </c>
      <c r="W2006" s="47"/>
    </row>
    <row r="2007" spans="1:23" hidden="1">
      <c r="A2007">
        <v>3740234155</v>
      </c>
      <c r="B2007">
        <v>57240262</v>
      </c>
      <c r="C2007" s="36" t="s">
        <v>2204</v>
      </c>
      <c r="D2007" s="37">
        <v>42040.928101851852</v>
      </c>
      <c r="E2007" s="37">
        <v>42040.929108796299</v>
      </c>
      <c r="Q2007">
        <v>12</v>
      </c>
      <c r="W2007" s="47"/>
    </row>
    <row r="2008" spans="1:23">
      <c r="A2008">
        <v>3740226482</v>
      </c>
      <c r="B2008">
        <v>57240262</v>
      </c>
      <c r="C2008" s="36" t="s">
        <v>299</v>
      </c>
      <c r="D2008" s="37">
        <v>42040.925694444442</v>
      </c>
      <c r="E2008" s="37">
        <v>42040.930069444446</v>
      </c>
      <c r="F2008">
        <v>1</v>
      </c>
      <c r="R2008">
        <v>13</v>
      </c>
      <c r="V2008" s="42" t="s">
        <v>25</v>
      </c>
      <c r="W2008" s="47">
        <v>1</v>
      </c>
    </row>
    <row r="2009" spans="1:23" hidden="1">
      <c r="A2009">
        <v>3740404530</v>
      </c>
      <c r="B2009">
        <v>57240262</v>
      </c>
      <c r="C2009" s="36" t="s">
        <v>2205</v>
      </c>
      <c r="D2009" s="37">
        <v>42040.993460648147</v>
      </c>
      <c r="E2009" s="37">
        <v>42040.995995370373</v>
      </c>
      <c r="O2009">
        <v>10</v>
      </c>
      <c r="W2009" s="47"/>
    </row>
    <row r="2010" spans="1:23" hidden="1">
      <c r="A2010">
        <v>3740966940</v>
      </c>
      <c r="B2010">
        <v>57240262</v>
      </c>
      <c r="C2010" s="36" t="s">
        <v>2206</v>
      </c>
      <c r="D2010" s="37">
        <v>42041.374803240738</v>
      </c>
      <c r="E2010" s="37">
        <v>42041.380844907406</v>
      </c>
      <c r="U2010">
        <v>16</v>
      </c>
      <c r="W2010" s="47"/>
    </row>
    <row r="2011" spans="1:23" hidden="1">
      <c r="A2011">
        <v>3741055413</v>
      </c>
      <c r="B2011">
        <v>57240262</v>
      </c>
      <c r="C2011" s="36" t="s">
        <v>2207</v>
      </c>
      <c r="D2011" s="37">
        <v>42041.430474537039</v>
      </c>
      <c r="E2011" s="37">
        <v>42041.435034722221</v>
      </c>
      <c r="H2011">
        <v>3</v>
      </c>
      <c r="O2011">
        <v>10</v>
      </c>
      <c r="W2011" s="47"/>
    </row>
    <row r="2012" spans="1:23" hidden="1">
      <c r="A2012">
        <v>3741134082</v>
      </c>
      <c r="B2012">
        <v>57240262</v>
      </c>
      <c r="C2012" s="36" t="s">
        <v>2208</v>
      </c>
      <c r="D2012" s="37">
        <v>42041.477453703701</v>
      </c>
      <c r="E2012" s="37">
        <v>42041.483576388891</v>
      </c>
      <c r="M2012">
        <v>8</v>
      </c>
      <c r="W2012" s="47"/>
    </row>
    <row r="2013" spans="1:23" ht="24">
      <c r="A2013">
        <v>3741285270</v>
      </c>
      <c r="B2013">
        <v>57240262</v>
      </c>
      <c r="C2013" s="36" t="s">
        <v>2209</v>
      </c>
      <c r="D2013" s="37">
        <v>42041.550775462965</v>
      </c>
      <c r="E2013" s="37">
        <v>42041.557916666665</v>
      </c>
      <c r="G2013">
        <v>2</v>
      </c>
      <c r="L2013">
        <v>7</v>
      </c>
      <c r="M2013">
        <v>8</v>
      </c>
      <c r="P2013">
        <v>11</v>
      </c>
      <c r="Q2013">
        <v>12</v>
      </c>
      <c r="V2013" s="42" t="s">
        <v>24</v>
      </c>
      <c r="W2013" s="47">
        <v>12</v>
      </c>
    </row>
    <row r="2014" spans="1:23" hidden="1">
      <c r="A2014">
        <v>3741303436</v>
      </c>
      <c r="B2014">
        <v>57240262</v>
      </c>
      <c r="C2014" s="36" t="s">
        <v>2210</v>
      </c>
      <c r="D2014" s="37">
        <v>42041.556307870371</v>
      </c>
      <c r="E2014" s="37">
        <v>42041.560069444444</v>
      </c>
      <c r="U2014">
        <v>16</v>
      </c>
      <c r="W2014" s="47"/>
    </row>
    <row r="2015" spans="1:23" hidden="1">
      <c r="A2015">
        <v>3741777099</v>
      </c>
      <c r="B2015">
        <v>57240262</v>
      </c>
      <c r="C2015" s="36" t="s">
        <v>2211</v>
      </c>
      <c r="D2015" s="37">
        <v>42041.695115740738</v>
      </c>
      <c r="E2015" s="37">
        <v>42041.705312500002</v>
      </c>
      <c r="O2015">
        <v>10</v>
      </c>
      <c r="W2015" s="47"/>
    </row>
    <row r="2016" spans="1:23" hidden="1">
      <c r="A2016">
        <v>3741924427</v>
      </c>
      <c r="B2016">
        <v>57240262</v>
      </c>
      <c r="C2016" s="36" t="s">
        <v>2212</v>
      </c>
      <c r="D2016" s="37">
        <v>42041.736273148148</v>
      </c>
      <c r="E2016" s="37">
        <v>42041.751481481479</v>
      </c>
      <c r="M2016">
        <v>8</v>
      </c>
      <c r="W2016" s="47"/>
    </row>
    <row r="2017" spans="1:23" hidden="1">
      <c r="A2017">
        <v>3742284072</v>
      </c>
      <c r="B2017">
        <v>57240262</v>
      </c>
      <c r="C2017" s="36" t="s">
        <v>2213</v>
      </c>
      <c r="D2017" s="37">
        <v>42041.847569444442</v>
      </c>
      <c r="E2017" s="37">
        <v>42041.867534722223</v>
      </c>
      <c r="K2017">
        <v>6</v>
      </c>
      <c r="O2017">
        <v>10</v>
      </c>
      <c r="Q2017">
        <v>12</v>
      </c>
      <c r="W2017" s="47"/>
    </row>
    <row r="2018" spans="1:23" hidden="1">
      <c r="A2018">
        <v>3742419286</v>
      </c>
      <c r="B2018">
        <v>57240262</v>
      </c>
      <c r="C2018" s="36" t="s">
        <v>2214</v>
      </c>
      <c r="D2018" s="37">
        <v>42041.892708333333</v>
      </c>
      <c r="E2018" s="37">
        <v>42041.901678240742</v>
      </c>
      <c r="S2018">
        <v>14</v>
      </c>
      <c r="W2018" s="47"/>
    </row>
    <row r="2019" spans="1:23" hidden="1">
      <c r="A2019">
        <v>3742436274</v>
      </c>
      <c r="B2019">
        <v>57240262</v>
      </c>
      <c r="C2019" s="36" t="s">
        <v>2215</v>
      </c>
      <c r="D2019" s="37">
        <v>42041.898692129631</v>
      </c>
      <c r="E2019" s="37">
        <v>42041.902071759258</v>
      </c>
      <c r="I2019">
        <v>4</v>
      </c>
      <c r="W2019" s="47"/>
    </row>
    <row r="2020" spans="1:23" hidden="1">
      <c r="A2020">
        <v>3742421791</v>
      </c>
      <c r="B2020">
        <v>57240262</v>
      </c>
      <c r="C2020" s="36" t="s">
        <v>306</v>
      </c>
      <c r="D2020" s="37">
        <v>42041.893587962964</v>
      </c>
      <c r="E2020" s="37">
        <v>42041.903252314813</v>
      </c>
      <c r="F2020">
        <v>1</v>
      </c>
      <c r="W2020" s="47"/>
    </row>
    <row r="2021" spans="1:23" hidden="1">
      <c r="A2021">
        <v>3742436475</v>
      </c>
      <c r="B2021">
        <v>57240262</v>
      </c>
      <c r="C2021" s="36" t="s">
        <v>2216</v>
      </c>
      <c r="D2021" s="37">
        <v>42041.898819444446</v>
      </c>
      <c r="E2021" s="37">
        <v>42041.903275462966</v>
      </c>
      <c r="P2021">
        <v>11</v>
      </c>
      <c r="W2021" s="47"/>
    </row>
    <row r="2022" spans="1:23" hidden="1">
      <c r="A2022">
        <v>3742470737</v>
      </c>
      <c r="B2022">
        <v>57240262</v>
      </c>
      <c r="C2022" s="36" t="s">
        <v>2217</v>
      </c>
      <c r="D2022" s="37">
        <v>42041.911030092589</v>
      </c>
      <c r="E2022" s="37">
        <v>42041.913784722223</v>
      </c>
      <c r="U2022">
        <v>16</v>
      </c>
      <c r="W2022" s="47"/>
    </row>
    <row r="2023" spans="1:23" hidden="1">
      <c r="A2023">
        <v>3742533919</v>
      </c>
      <c r="B2023">
        <v>57240262</v>
      </c>
      <c r="C2023" s="36" t="s">
        <v>2218</v>
      </c>
      <c r="D2023" s="37">
        <v>42041.936550925922</v>
      </c>
      <c r="E2023" s="37">
        <v>42041.946412037039</v>
      </c>
      <c r="J2023">
        <v>5</v>
      </c>
      <c r="M2023">
        <v>8</v>
      </c>
      <c r="R2023">
        <v>13</v>
      </c>
      <c r="W2023" s="47"/>
    </row>
    <row r="2024" spans="1:23">
      <c r="A2024">
        <v>3742659889</v>
      </c>
      <c r="B2024">
        <v>57240262</v>
      </c>
      <c r="C2024" s="36" t="s">
        <v>2219</v>
      </c>
      <c r="D2024" s="37">
        <v>42042.001018518517</v>
      </c>
      <c r="E2024" s="37">
        <v>42042.005474537036</v>
      </c>
      <c r="J2024">
        <v>5</v>
      </c>
      <c r="N2024">
        <v>9</v>
      </c>
      <c r="O2024">
        <v>10</v>
      </c>
      <c r="Q2024">
        <v>12</v>
      </c>
      <c r="V2024" s="42" t="s">
        <v>23</v>
      </c>
      <c r="W2024" s="47">
        <v>5</v>
      </c>
    </row>
    <row r="2025" spans="1:23" hidden="1">
      <c r="A2025">
        <v>3743293258</v>
      </c>
      <c r="B2025">
        <v>57240262</v>
      </c>
      <c r="C2025" s="36" t="s">
        <v>2220</v>
      </c>
      <c r="D2025" s="37">
        <v>42042.657962962963</v>
      </c>
      <c r="E2025" s="37">
        <v>42042.665613425925</v>
      </c>
      <c r="R2025">
        <v>13</v>
      </c>
      <c r="W2025" s="47"/>
    </row>
    <row r="2026" spans="1:23" hidden="1">
      <c r="A2026">
        <v>3743434646</v>
      </c>
      <c r="B2026">
        <v>57240262</v>
      </c>
      <c r="C2026" s="36" t="s">
        <v>2221</v>
      </c>
      <c r="D2026" s="37">
        <v>42042.765648148146</v>
      </c>
      <c r="E2026" s="37">
        <v>42042.775659722225</v>
      </c>
      <c r="G2026">
        <v>2</v>
      </c>
      <c r="K2026">
        <v>6</v>
      </c>
      <c r="N2026">
        <v>9</v>
      </c>
      <c r="O2026">
        <v>10</v>
      </c>
      <c r="W2026" s="47"/>
    </row>
    <row r="2027" spans="1:23" hidden="1">
      <c r="A2027">
        <v>3743483143</v>
      </c>
      <c r="B2027">
        <v>57240262</v>
      </c>
      <c r="C2027" s="36" t="s">
        <v>2222</v>
      </c>
      <c r="D2027" s="37">
        <v>42042.807175925926</v>
      </c>
      <c r="E2027" s="37">
        <v>42042.810208333336</v>
      </c>
      <c r="F2027">
        <v>1</v>
      </c>
      <c r="H2027">
        <v>3</v>
      </c>
      <c r="I2027">
        <v>4</v>
      </c>
      <c r="W2027" s="47"/>
    </row>
    <row r="2028" spans="1:23" hidden="1">
      <c r="A2028">
        <v>3743492866</v>
      </c>
      <c r="B2028">
        <v>57240262</v>
      </c>
      <c r="C2028" s="36" t="s">
        <v>2223</v>
      </c>
      <c r="D2028" s="37">
        <v>42042.815891203703</v>
      </c>
      <c r="E2028" s="37">
        <v>42042.823368055557</v>
      </c>
      <c r="F2028">
        <v>1</v>
      </c>
      <c r="K2028">
        <v>6</v>
      </c>
      <c r="Q2028">
        <v>12</v>
      </c>
      <c r="W2028" s="47"/>
    </row>
    <row r="2029" spans="1:23" ht="24">
      <c r="A2029">
        <v>3743480714</v>
      </c>
      <c r="B2029">
        <v>57240262</v>
      </c>
      <c r="C2029" s="36" t="s">
        <v>298</v>
      </c>
      <c r="D2029" s="37">
        <v>42042.805011574077</v>
      </c>
      <c r="E2029" s="37">
        <v>42042.83693287037</v>
      </c>
      <c r="F2029">
        <v>1</v>
      </c>
      <c r="J2029">
        <v>5</v>
      </c>
      <c r="K2029">
        <v>6</v>
      </c>
      <c r="P2029">
        <v>11</v>
      </c>
      <c r="R2029">
        <v>13</v>
      </c>
      <c r="S2029">
        <v>14</v>
      </c>
      <c r="V2029" s="42" t="s">
        <v>22</v>
      </c>
      <c r="W2029" s="47">
        <v>5</v>
      </c>
    </row>
    <row r="2030" spans="1:23" hidden="1">
      <c r="A2030">
        <v>3743529827</v>
      </c>
      <c r="B2030">
        <v>57240262</v>
      </c>
      <c r="C2030" s="36" t="s">
        <v>2224</v>
      </c>
      <c r="D2030" s="37">
        <v>42042.849606481483</v>
      </c>
      <c r="E2030" s="37">
        <v>42042.85601851852</v>
      </c>
      <c r="U2030">
        <v>16</v>
      </c>
      <c r="W2030" s="47"/>
    </row>
    <row r="2031" spans="1:23" hidden="1">
      <c r="A2031">
        <v>3744076934</v>
      </c>
      <c r="B2031">
        <v>57240262</v>
      </c>
      <c r="C2031" s="36" t="s">
        <v>2389</v>
      </c>
      <c r="D2031" s="37">
        <v>42043.536585648151</v>
      </c>
      <c r="E2031" s="37">
        <v>42043.537222222221</v>
      </c>
      <c r="W2031" s="47"/>
    </row>
    <row r="2032" spans="1:23" hidden="1">
      <c r="A2032">
        <v>3744077833</v>
      </c>
      <c r="B2032">
        <v>57240262</v>
      </c>
      <c r="C2032" s="36" t="s">
        <v>2225</v>
      </c>
      <c r="D2032" s="37">
        <v>42043.537662037037</v>
      </c>
      <c r="E2032" s="37">
        <v>42043.539606481485</v>
      </c>
      <c r="U2032">
        <v>16</v>
      </c>
      <c r="W2032" s="47"/>
    </row>
    <row r="2033" spans="1:23">
      <c r="A2033">
        <v>3744443821</v>
      </c>
      <c r="B2033">
        <v>57240262</v>
      </c>
      <c r="C2033" s="36" t="s">
        <v>2226</v>
      </c>
      <c r="D2033" s="37">
        <v>42043.843321759261</v>
      </c>
      <c r="E2033" s="37">
        <v>42043.853634259256</v>
      </c>
      <c r="G2033">
        <v>2</v>
      </c>
      <c r="K2033">
        <v>6</v>
      </c>
      <c r="O2033">
        <v>10</v>
      </c>
      <c r="P2033">
        <v>11</v>
      </c>
      <c r="Q2033">
        <v>12</v>
      </c>
      <c r="R2033">
        <v>13</v>
      </c>
      <c r="V2033" s="42" t="s">
        <v>21</v>
      </c>
      <c r="W2033" s="47">
        <v>13</v>
      </c>
    </row>
    <row r="2034" spans="1:23" hidden="1">
      <c r="A2034">
        <v>3744487856</v>
      </c>
      <c r="B2034">
        <v>57240262</v>
      </c>
      <c r="C2034" s="36" t="s">
        <v>2227</v>
      </c>
      <c r="D2034" s="37">
        <v>42043.877592592595</v>
      </c>
      <c r="E2034" s="37">
        <v>42043.886550925927</v>
      </c>
      <c r="U2034">
        <v>16</v>
      </c>
      <c r="W2034" s="47"/>
    </row>
    <row r="2035" spans="1:23" hidden="1">
      <c r="A2035">
        <v>3745165888</v>
      </c>
      <c r="B2035">
        <v>57240262</v>
      </c>
      <c r="C2035" s="36" t="s">
        <v>2228</v>
      </c>
      <c r="D2035" s="37">
        <v>42044.384432870371</v>
      </c>
      <c r="E2035" s="37">
        <v>42044.395636574074</v>
      </c>
      <c r="F2035">
        <v>1</v>
      </c>
      <c r="W2035" s="47"/>
    </row>
    <row r="2036" spans="1:23" hidden="1">
      <c r="A2036">
        <v>3745170292</v>
      </c>
      <c r="B2036">
        <v>57240262</v>
      </c>
      <c r="C2036" s="36" t="s">
        <v>2229</v>
      </c>
      <c r="D2036" s="37">
        <v>42044.395914351851</v>
      </c>
      <c r="E2036" s="37">
        <v>42044.396874999999</v>
      </c>
      <c r="U2036">
        <v>16</v>
      </c>
      <c r="W2036" s="47"/>
    </row>
    <row r="2037" spans="1:23" hidden="1">
      <c r="A2037">
        <v>3745172506</v>
      </c>
      <c r="B2037">
        <v>57240262</v>
      </c>
      <c r="C2037" s="36" t="s">
        <v>2230</v>
      </c>
      <c r="D2037" s="37">
        <v>42044.397083333337</v>
      </c>
      <c r="E2037" s="37">
        <v>42044.401053240741</v>
      </c>
      <c r="F2037">
        <v>1</v>
      </c>
      <c r="W2037" s="47"/>
    </row>
    <row r="2038" spans="1:23" hidden="1">
      <c r="A2038">
        <v>3745179156</v>
      </c>
      <c r="B2038">
        <v>57240262</v>
      </c>
      <c r="C2038" s="36" t="s">
        <v>2231</v>
      </c>
      <c r="D2038" s="37">
        <v>42044.401134259257</v>
      </c>
      <c r="E2038" s="37">
        <v>42044.402928240743</v>
      </c>
      <c r="F2038">
        <v>1</v>
      </c>
      <c r="W2038" s="47"/>
    </row>
    <row r="2039" spans="1:23" hidden="1">
      <c r="A2039">
        <v>3745182579</v>
      </c>
      <c r="B2039">
        <v>57240262</v>
      </c>
      <c r="C2039" s="36" t="s">
        <v>2232</v>
      </c>
      <c r="D2039" s="37">
        <v>42044.403124999997</v>
      </c>
      <c r="E2039" s="37">
        <v>42044.403854166667</v>
      </c>
      <c r="U2039">
        <v>16</v>
      </c>
      <c r="W2039" s="47"/>
    </row>
    <row r="2040" spans="1:23" hidden="1">
      <c r="A2040">
        <v>3745184216</v>
      </c>
      <c r="B2040">
        <v>57240262</v>
      </c>
      <c r="C2040" s="36" t="s">
        <v>2233</v>
      </c>
      <c r="D2040" s="37">
        <v>42044.404050925928</v>
      </c>
      <c r="E2040" s="37">
        <v>42044.408182870371</v>
      </c>
      <c r="F2040">
        <v>1</v>
      </c>
      <c r="W2040" s="47"/>
    </row>
    <row r="2041" spans="1:23" hidden="1">
      <c r="A2041">
        <v>3745191652</v>
      </c>
      <c r="B2041">
        <v>57240262</v>
      </c>
      <c r="C2041" s="36" t="s">
        <v>2234</v>
      </c>
      <c r="D2041" s="37">
        <v>42044.408333333333</v>
      </c>
      <c r="E2041" s="37">
        <v>42044.40929398148</v>
      </c>
      <c r="U2041">
        <v>16</v>
      </c>
      <c r="W2041" s="47"/>
    </row>
    <row r="2042" spans="1:23" hidden="1">
      <c r="A2042">
        <v>3745193339</v>
      </c>
      <c r="B2042">
        <v>57240262</v>
      </c>
      <c r="C2042" s="36" t="s">
        <v>2235</v>
      </c>
      <c r="D2042" s="37">
        <v>42044.409317129626</v>
      </c>
      <c r="E2042" s="37">
        <v>42044.41033564815</v>
      </c>
      <c r="F2042">
        <v>1</v>
      </c>
      <c r="K2042">
        <v>6</v>
      </c>
      <c r="W2042" s="47"/>
    </row>
    <row r="2043" spans="1:23" hidden="1">
      <c r="A2043">
        <v>3745195152</v>
      </c>
      <c r="B2043">
        <v>57240262</v>
      </c>
      <c r="C2043" s="36" t="s">
        <v>2236</v>
      </c>
      <c r="D2043" s="37">
        <v>42044.410370370373</v>
      </c>
      <c r="E2043" s="37">
        <v>42044.412060185183</v>
      </c>
      <c r="N2043">
        <v>9</v>
      </c>
      <c r="W2043" s="47"/>
    </row>
    <row r="2044" spans="1:23" hidden="1">
      <c r="A2044">
        <v>3745198260</v>
      </c>
      <c r="B2044">
        <v>57240262</v>
      </c>
      <c r="C2044" s="36" t="s">
        <v>2237</v>
      </c>
      <c r="D2044" s="37">
        <v>42044.412118055552</v>
      </c>
      <c r="E2044" s="37">
        <v>42044.414594907408</v>
      </c>
      <c r="U2044">
        <v>16</v>
      </c>
      <c r="W2044" s="47"/>
    </row>
    <row r="2045" spans="1:23" hidden="1">
      <c r="A2045">
        <v>3745199634</v>
      </c>
      <c r="B2045">
        <v>57240262</v>
      </c>
      <c r="C2045" s="36" t="s">
        <v>2238</v>
      </c>
      <c r="D2045" s="37">
        <v>42044.412858796299</v>
      </c>
      <c r="E2045" s="37">
        <v>42044.417060185187</v>
      </c>
      <c r="F2045">
        <v>1</v>
      </c>
      <c r="G2045">
        <v>2</v>
      </c>
      <c r="H2045">
        <v>3</v>
      </c>
      <c r="J2045">
        <v>5</v>
      </c>
      <c r="W2045" s="47"/>
    </row>
    <row r="2046" spans="1:23" hidden="1">
      <c r="A2046">
        <v>3745207201</v>
      </c>
      <c r="B2046">
        <v>57240262</v>
      </c>
      <c r="C2046" s="36" t="s">
        <v>2239</v>
      </c>
      <c r="D2046" s="37">
        <v>42044.41710648148</v>
      </c>
      <c r="E2046" s="37">
        <v>42044.417928240742</v>
      </c>
      <c r="U2046">
        <v>16</v>
      </c>
      <c r="W2046" s="47"/>
    </row>
    <row r="2047" spans="1:23" hidden="1">
      <c r="A2047">
        <v>3745208998</v>
      </c>
      <c r="B2047">
        <v>57240262</v>
      </c>
      <c r="C2047" s="36" t="s">
        <v>2240</v>
      </c>
      <c r="D2047" s="37">
        <v>42044.417951388888</v>
      </c>
      <c r="E2047" s="37">
        <v>42044.419027777774</v>
      </c>
      <c r="U2047">
        <v>16</v>
      </c>
      <c r="W2047" s="47"/>
    </row>
    <row r="2048" spans="1:23" hidden="1">
      <c r="A2048">
        <v>3745210973</v>
      </c>
      <c r="B2048">
        <v>57240262</v>
      </c>
      <c r="C2048" s="36" t="s">
        <v>379</v>
      </c>
      <c r="D2048" s="37">
        <v>42044.419236111113</v>
      </c>
      <c r="E2048" s="37">
        <v>42044.430300925924</v>
      </c>
      <c r="F2048">
        <v>1</v>
      </c>
      <c r="G2048">
        <v>2</v>
      </c>
      <c r="K2048">
        <v>6</v>
      </c>
      <c r="M2048">
        <v>8</v>
      </c>
      <c r="W2048" s="47"/>
    </row>
    <row r="2049" spans="1:23" hidden="1">
      <c r="A2049">
        <v>3745233001</v>
      </c>
      <c r="B2049">
        <v>57240262</v>
      </c>
      <c r="C2049" s="36" t="s">
        <v>2241</v>
      </c>
      <c r="D2049" s="37">
        <v>42044.430775462963</v>
      </c>
      <c r="E2049" s="37">
        <v>42044.431793981479</v>
      </c>
      <c r="U2049">
        <v>16</v>
      </c>
      <c r="W2049" s="47"/>
    </row>
    <row r="2050" spans="1:23" hidden="1">
      <c r="A2050">
        <v>3745229364</v>
      </c>
      <c r="B2050">
        <v>57240262</v>
      </c>
      <c r="C2050" s="36" t="s">
        <v>305</v>
      </c>
      <c r="D2050" s="37">
        <v>42044.428854166668</v>
      </c>
      <c r="E2050" s="37">
        <v>42044.432939814818</v>
      </c>
      <c r="U2050">
        <v>16</v>
      </c>
      <c r="W2050" s="47"/>
    </row>
    <row r="2051" spans="1:23" hidden="1">
      <c r="A2051">
        <v>3745235220</v>
      </c>
      <c r="B2051">
        <v>57240262</v>
      </c>
      <c r="C2051" s="36" t="s">
        <v>2242</v>
      </c>
      <c r="D2051" s="37">
        <v>42044.431886574072</v>
      </c>
      <c r="E2051" s="37">
        <v>42044.433240740742</v>
      </c>
      <c r="U2051">
        <v>16</v>
      </c>
      <c r="W2051" s="47"/>
    </row>
    <row r="2052" spans="1:23" hidden="1">
      <c r="A2052">
        <v>3745238327</v>
      </c>
      <c r="B2052">
        <v>57240262</v>
      </c>
      <c r="C2052" s="36" t="s">
        <v>2243</v>
      </c>
      <c r="D2052" s="37">
        <v>42044.433483796296</v>
      </c>
      <c r="E2052" s="37">
        <v>42044.434733796297</v>
      </c>
      <c r="F2052">
        <v>1</v>
      </c>
      <c r="I2052">
        <v>4</v>
      </c>
      <c r="N2052">
        <v>9</v>
      </c>
      <c r="W2052" s="47"/>
    </row>
    <row r="2053" spans="1:23" hidden="1">
      <c r="A2053">
        <v>3745240722</v>
      </c>
      <c r="B2053">
        <v>57240262</v>
      </c>
      <c r="C2053" s="36" t="s">
        <v>2244</v>
      </c>
      <c r="D2053" s="37">
        <v>42044.43476851852</v>
      </c>
      <c r="E2053" s="37">
        <v>42044.435798611114</v>
      </c>
      <c r="F2053">
        <v>1</v>
      </c>
      <c r="I2053">
        <v>4</v>
      </c>
      <c r="N2053">
        <v>9</v>
      </c>
      <c r="W2053" s="47"/>
    </row>
    <row r="2054" spans="1:23" hidden="1">
      <c r="A2054">
        <v>3745243152</v>
      </c>
      <c r="B2054">
        <v>57240262</v>
      </c>
      <c r="C2054" s="36" t="s">
        <v>2245</v>
      </c>
      <c r="D2054" s="37">
        <v>42044.436006944445</v>
      </c>
      <c r="E2054" s="37">
        <v>42044.437916666669</v>
      </c>
      <c r="G2054">
        <v>2</v>
      </c>
      <c r="W2054" s="47"/>
    </row>
    <row r="2055" spans="1:23" hidden="1">
      <c r="A2055">
        <v>3745247065</v>
      </c>
      <c r="B2055">
        <v>57240262</v>
      </c>
      <c r="C2055" s="36" t="s">
        <v>2246</v>
      </c>
      <c r="D2055" s="37">
        <v>42044.438078703701</v>
      </c>
      <c r="E2055" s="37">
        <v>42044.439745370371</v>
      </c>
      <c r="F2055">
        <v>1</v>
      </c>
      <c r="W2055" s="47"/>
    </row>
    <row r="2056" spans="1:23" hidden="1">
      <c r="A2056">
        <v>3745250357</v>
      </c>
      <c r="B2056">
        <v>57240262</v>
      </c>
      <c r="C2056" s="36" t="s">
        <v>2247</v>
      </c>
      <c r="D2056" s="37">
        <v>42044.439791666664</v>
      </c>
      <c r="E2056" s="37">
        <v>42044.440983796296</v>
      </c>
      <c r="U2056">
        <v>16</v>
      </c>
      <c r="W2056" s="47"/>
    </row>
    <row r="2057" spans="1:23" hidden="1">
      <c r="A2057">
        <v>3745252659</v>
      </c>
      <c r="B2057">
        <v>57240262</v>
      </c>
      <c r="C2057" s="36" t="s">
        <v>2248</v>
      </c>
      <c r="D2057" s="37">
        <v>42044.441006944442</v>
      </c>
      <c r="E2057" s="37">
        <v>42044.441782407404</v>
      </c>
      <c r="N2057">
        <v>9</v>
      </c>
      <c r="W2057" s="47"/>
    </row>
    <row r="2058" spans="1:23" hidden="1">
      <c r="A2058">
        <v>3745254416</v>
      </c>
      <c r="B2058">
        <v>57240262</v>
      </c>
      <c r="C2058" s="36" t="s">
        <v>2249</v>
      </c>
      <c r="D2058" s="37">
        <v>42044.441805555558</v>
      </c>
      <c r="E2058" s="37">
        <v>42044.442986111113</v>
      </c>
      <c r="F2058">
        <v>1</v>
      </c>
      <c r="W2058" s="47"/>
    </row>
    <row r="2059" spans="1:23" hidden="1">
      <c r="A2059">
        <v>3745256481</v>
      </c>
      <c r="B2059">
        <v>57240262</v>
      </c>
      <c r="C2059" s="36" t="s">
        <v>2250</v>
      </c>
      <c r="D2059" s="37">
        <v>42044.443020833336</v>
      </c>
      <c r="E2059" s="37">
        <v>42044.443877314814</v>
      </c>
      <c r="U2059">
        <v>16</v>
      </c>
      <c r="W2059" s="47"/>
    </row>
    <row r="2060" spans="1:23" hidden="1">
      <c r="A2060">
        <v>3745258313</v>
      </c>
      <c r="B2060">
        <v>57240262</v>
      </c>
      <c r="C2060" s="36" t="s">
        <v>2251</v>
      </c>
      <c r="D2060" s="37">
        <v>42044.443981481483</v>
      </c>
      <c r="E2060" s="37">
        <v>42044.444687499999</v>
      </c>
      <c r="L2060">
        <v>7</v>
      </c>
      <c r="R2060">
        <v>13</v>
      </c>
      <c r="W2060" s="47"/>
    </row>
    <row r="2061" spans="1:23" hidden="1">
      <c r="A2061">
        <v>3745260088</v>
      </c>
      <c r="B2061">
        <v>57240262</v>
      </c>
      <c r="C2061" s="36" t="s">
        <v>2252</v>
      </c>
      <c r="D2061" s="37">
        <v>42044.444918981484</v>
      </c>
      <c r="E2061" s="37">
        <v>42044.445914351854</v>
      </c>
      <c r="H2061">
        <v>3</v>
      </c>
      <c r="W2061" s="47"/>
    </row>
    <row r="2062" spans="1:23" hidden="1">
      <c r="A2062">
        <v>3745262094</v>
      </c>
      <c r="B2062">
        <v>57240262</v>
      </c>
      <c r="C2062" s="36" t="s">
        <v>2253</v>
      </c>
      <c r="D2062" s="37">
        <v>42044.446006944447</v>
      </c>
      <c r="E2062" s="37">
        <v>42044.447048611109</v>
      </c>
      <c r="F2062">
        <v>1</v>
      </c>
      <c r="K2062">
        <v>6</v>
      </c>
      <c r="Q2062">
        <v>12</v>
      </c>
      <c r="W2062" s="47"/>
    </row>
    <row r="2063" spans="1:23" hidden="1">
      <c r="A2063">
        <v>3745264359</v>
      </c>
      <c r="B2063">
        <v>57240262</v>
      </c>
      <c r="C2063" s="36" t="s">
        <v>2254</v>
      </c>
      <c r="D2063" s="37">
        <v>42044.447245370371</v>
      </c>
      <c r="E2063" s="37">
        <v>42044.448182870372</v>
      </c>
      <c r="U2063">
        <v>16</v>
      </c>
      <c r="W2063" s="47"/>
    </row>
    <row r="2064" spans="1:23" hidden="1">
      <c r="A2064">
        <v>3745266203</v>
      </c>
      <c r="B2064">
        <v>57240262</v>
      </c>
      <c r="C2064" s="36" t="s">
        <v>2255</v>
      </c>
      <c r="D2064" s="37">
        <v>42044.448206018518</v>
      </c>
      <c r="E2064" s="37">
        <v>42044.448981481481</v>
      </c>
      <c r="K2064">
        <v>6</v>
      </c>
      <c r="W2064" s="47"/>
    </row>
    <row r="2065" spans="1:23" hidden="1">
      <c r="A2065">
        <v>3745267902</v>
      </c>
      <c r="B2065">
        <v>57240262</v>
      </c>
      <c r="C2065" s="36" t="s">
        <v>2256</v>
      </c>
      <c r="D2065" s="37">
        <v>42044.449108796296</v>
      </c>
      <c r="E2065" s="37">
        <v>42044.450312499997</v>
      </c>
      <c r="U2065">
        <v>16</v>
      </c>
      <c r="W2065" s="47"/>
    </row>
    <row r="2066" spans="1:23" hidden="1">
      <c r="A2066">
        <v>3745270677</v>
      </c>
      <c r="B2066">
        <v>57240262</v>
      </c>
      <c r="C2066" s="36" t="s">
        <v>2257</v>
      </c>
      <c r="D2066" s="37">
        <v>42044.450590277775</v>
      </c>
      <c r="E2066" s="37">
        <v>42044.452268518522</v>
      </c>
      <c r="P2066">
        <v>11</v>
      </c>
      <c r="W2066" s="47"/>
    </row>
    <row r="2067" spans="1:23" hidden="1">
      <c r="A2067">
        <v>3745274116</v>
      </c>
      <c r="B2067">
        <v>57240262</v>
      </c>
      <c r="C2067" s="36" t="s">
        <v>2258</v>
      </c>
      <c r="D2067" s="37">
        <v>42044.452349537038</v>
      </c>
      <c r="E2067" s="37">
        <v>42044.454594907409</v>
      </c>
      <c r="K2067">
        <v>6</v>
      </c>
      <c r="W2067" s="47"/>
    </row>
    <row r="2068" spans="1:23" hidden="1">
      <c r="A2068">
        <v>3745279641</v>
      </c>
      <c r="B2068">
        <v>57240262</v>
      </c>
      <c r="C2068" s="36" t="s">
        <v>2259</v>
      </c>
      <c r="D2068" s="37">
        <v>42044.455092592594</v>
      </c>
      <c r="E2068" s="37">
        <v>42044.456006944441</v>
      </c>
      <c r="U2068">
        <v>16</v>
      </c>
      <c r="W2068" s="47"/>
    </row>
    <row r="2069" spans="1:23" hidden="1">
      <c r="A2069">
        <v>3745281429</v>
      </c>
      <c r="B2069">
        <v>57240262</v>
      </c>
      <c r="C2069" s="36" t="s">
        <v>2260</v>
      </c>
      <c r="D2069" s="37">
        <v>42044.456030092595</v>
      </c>
      <c r="E2069" s="37">
        <v>42044.456956018519</v>
      </c>
      <c r="U2069">
        <v>16</v>
      </c>
      <c r="W2069" s="47"/>
    </row>
    <row r="2070" spans="1:23" hidden="1">
      <c r="A2070">
        <v>3745322578</v>
      </c>
      <c r="B2070">
        <v>57240262</v>
      </c>
      <c r="C2070" s="36" t="s">
        <v>2261</v>
      </c>
      <c r="D2070" s="37">
        <v>42044.476736111108</v>
      </c>
      <c r="E2070" s="37">
        <v>42044.480740740742</v>
      </c>
      <c r="U2070">
        <v>16</v>
      </c>
      <c r="W2070" s="47"/>
    </row>
    <row r="2071" spans="1:23" hidden="1">
      <c r="A2071">
        <v>3745359554</v>
      </c>
      <c r="B2071">
        <v>57240262</v>
      </c>
      <c r="C2071" s="36" t="s">
        <v>2262</v>
      </c>
      <c r="D2071" s="37">
        <v>42044.49423611111</v>
      </c>
      <c r="E2071" s="37">
        <v>42044.49800925926</v>
      </c>
      <c r="U2071">
        <v>16</v>
      </c>
      <c r="W2071" s="47"/>
    </row>
    <row r="2072" spans="1:23" hidden="1">
      <c r="A2072">
        <v>3745419513</v>
      </c>
      <c r="B2072">
        <v>57240262</v>
      </c>
      <c r="C2072" s="36" t="s">
        <v>2263</v>
      </c>
      <c r="D2072" s="37">
        <v>42044.521331018521</v>
      </c>
      <c r="E2072" s="37">
        <v>42044.522361111114</v>
      </c>
      <c r="K2072">
        <v>6</v>
      </c>
      <c r="W2072" s="47"/>
    </row>
    <row r="2073" spans="1:23" hidden="1">
      <c r="A2073">
        <v>3745445179</v>
      </c>
      <c r="B2073">
        <v>57240262</v>
      </c>
      <c r="C2073" s="36" t="s">
        <v>2264</v>
      </c>
      <c r="D2073" s="37">
        <v>42044.532199074078</v>
      </c>
      <c r="E2073" s="37">
        <v>42044.535312499997</v>
      </c>
      <c r="F2073">
        <v>1</v>
      </c>
      <c r="N2073">
        <v>9</v>
      </c>
      <c r="O2073">
        <v>10</v>
      </c>
      <c r="W2073" s="47"/>
    </row>
    <row r="2074" spans="1:23" hidden="1">
      <c r="A2074">
        <v>3745503253</v>
      </c>
      <c r="B2074">
        <v>57240262</v>
      </c>
      <c r="C2074" s="36" t="s">
        <v>2265</v>
      </c>
      <c r="D2074" s="37">
        <v>42044.542002314818</v>
      </c>
      <c r="E2074" s="37">
        <v>42044.564317129632</v>
      </c>
      <c r="G2074">
        <v>2</v>
      </c>
      <c r="W2074" s="47"/>
    </row>
    <row r="2075" spans="1:23" hidden="1">
      <c r="A2075">
        <v>3745591718</v>
      </c>
      <c r="B2075">
        <v>57240262</v>
      </c>
      <c r="C2075" s="36" t="s">
        <v>2266</v>
      </c>
      <c r="D2075" s="37">
        <v>42044.58321759259</v>
      </c>
      <c r="E2075" s="37">
        <v>42044.584872685184</v>
      </c>
      <c r="U2075">
        <v>16</v>
      </c>
      <c r="W2075" s="47"/>
    </row>
    <row r="2076" spans="1:23" hidden="1">
      <c r="A2076">
        <v>3745727652</v>
      </c>
      <c r="B2076">
        <v>57240262</v>
      </c>
      <c r="C2076" s="36" t="s">
        <v>2267</v>
      </c>
      <c r="D2076" s="37">
        <v>42044.620671296296</v>
      </c>
      <c r="E2076" s="37">
        <v>42044.643125000002</v>
      </c>
      <c r="N2076">
        <v>9</v>
      </c>
      <c r="W2076" s="47"/>
    </row>
    <row r="2077" spans="1:23" hidden="1">
      <c r="A2077">
        <v>3745817504</v>
      </c>
      <c r="B2077">
        <v>57240262</v>
      </c>
      <c r="C2077" s="36" t="s">
        <v>2268</v>
      </c>
      <c r="D2077" s="37">
        <v>42044.643599537034</v>
      </c>
      <c r="E2077" s="37">
        <v>42044.648425925923</v>
      </c>
      <c r="F2077">
        <v>1</v>
      </c>
      <c r="W2077" s="47"/>
    </row>
    <row r="2078" spans="1:23" hidden="1">
      <c r="A2078">
        <v>3745847839</v>
      </c>
      <c r="B2078">
        <v>57240262</v>
      </c>
      <c r="C2078" s="36" t="s">
        <v>2269</v>
      </c>
      <c r="D2078" s="37">
        <v>42044.650081018517</v>
      </c>
      <c r="E2078" s="37">
        <v>42044.659884259258</v>
      </c>
      <c r="U2078">
        <v>16</v>
      </c>
      <c r="W2078" s="47"/>
    </row>
    <row r="2079" spans="1:23" hidden="1">
      <c r="A2079">
        <v>3745885403</v>
      </c>
      <c r="B2079">
        <v>57240262</v>
      </c>
      <c r="C2079" s="36" t="s">
        <v>2270</v>
      </c>
      <c r="D2079" s="37">
        <v>42044.660543981481</v>
      </c>
      <c r="E2079" s="37">
        <v>42044.669351851851</v>
      </c>
      <c r="O2079">
        <v>10</v>
      </c>
      <c r="W2079" s="47"/>
    </row>
    <row r="2080" spans="1:23" hidden="1">
      <c r="A2080">
        <v>3746004912</v>
      </c>
      <c r="B2080">
        <v>57240262</v>
      </c>
      <c r="C2080" s="36" t="s">
        <v>2271</v>
      </c>
      <c r="D2080" s="37">
        <v>42044.68712962963</v>
      </c>
      <c r="E2080" s="37">
        <v>42044.687673611108</v>
      </c>
      <c r="I2080">
        <v>4</v>
      </c>
      <c r="J2080">
        <v>5</v>
      </c>
      <c r="M2080">
        <v>8</v>
      </c>
      <c r="N2080">
        <v>9</v>
      </c>
      <c r="O2080">
        <v>10</v>
      </c>
      <c r="W2080" s="47"/>
    </row>
    <row r="2081" spans="1:23" hidden="1">
      <c r="A2081">
        <v>3746292408</v>
      </c>
      <c r="B2081">
        <v>57240262</v>
      </c>
      <c r="C2081" s="36" t="s">
        <v>2272</v>
      </c>
      <c r="D2081" s="37">
        <v>42044.746018518519</v>
      </c>
      <c r="E2081" s="37">
        <v>42044.750520833331</v>
      </c>
      <c r="U2081">
        <v>16</v>
      </c>
      <c r="W2081" s="47"/>
    </row>
    <row r="2082" spans="1:23" hidden="1">
      <c r="A2082">
        <v>3746451232</v>
      </c>
      <c r="B2082">
        <v>57240262</v>
      </c>
      <c r="C2082" s="36" t="s">
        <v>2273</v>
      </c>
      <c r="D2082" s="37">
        <v>42044.77952546296</v>
      </c>
      <c r="E2082" s="37">
        <v>42044.784178240741</v>
      </c>
      <c r="U2082">
        <v>16</v>
      </c>
      <c r="W2082" s="47"/>
    </row>
    <row r="2083" spans="1:23">
      <c r="A2083">
        <v>3746532241</v>
      </c>
      <c r="B2083">
        <v>57240262</v>
      </c>
      <c r="C2083" s="36" t="s">
        <v>2274</v>
      </c>
      <c r="D2083" s="37">
        <v>42044.797592592593</v>
      </c>
      <c r="E2083" s="37">
        <v>42044.819930555554</v>
      </c>
      <c r="F2083">
        <v>1</v>
      </c>
      <c r="G2083">
        <v>2</v>
      </c>
      <c r="O2083">
        <v>10</v>
      </c>
      <c r="V2083" s="42" t="s">
        <v>20</v>
      </c>
      <c r="W2083" s="47">
        <v>2</v>
      </c>
    </row>
    <row r="2084" spans="1:23" hidden="1">
      <c r="A2084">
        <v>3746747840</v>
      </c>
      <c r="B2084">
        <v>57240262</v>
      </c>
      <c r="C2084" s="36" t="s">
        <v>2275</v>
      </c>
      <c r="D2084" s="37">
        <v>42044.845312500001</v>
      </c>
      <c r="E2084" s="37">
        <v>42044.85015046296</v>
      </c>
      <c r="F2084">
        <v>1</v>
      </c>
      <c r="G2084">
        <v>2</v>
      </c>
      <c r="W2084" s="47"/>
    </row>
    <row r="2085" spans="1:23" hidden="1">
      <c r="A2085">
        <v>3747094723</v>
      </c>
      <c r="B2085">
        <v>57240262</v>
      </c>
      <c r="C2085" s="36" t="s">
        <v>2276</v>
      </c>
      <c r="D2085" s="37">
        <v>42044.92763888889</v>
      </c>
      <c r="E2085" s="37">
        <v>42044.931481481479</v>
      </c>
      <c r="U2085">
        <v>16</v>
      </c>
      <c r="W2085" s="47"/>
    </row>
    <row r="2086" spans="1:23" ht="24">
      <c r="A2086">
        <v>3747102892</v>
      </c>
      <c r="B2086">
        <v>57240262</v>
      </c>
      <c r="C2086" s="36" t="s">
        <v>2277</v>
      </c>
      <c r="D2086" s="37">
        <v>42044.9299537037</v>
      </c>
      <c r="E2086" s="37">
        <v>42044.940833333334</v>
      </c>
      <c r="G2086">
        <v>2</v>
      </c>
      <c r="K2086">
        <v>6</v>
      </c>
      <c r="M2086">
        <v>8</v>
      </c>
      <c r="O2086">
        <v>10</v>
      </c>
      <c r="P2086">
        <v>11</v>
      </c>
      <c r="Q2086">
        <v>12</v>
      </c>
      <c r="V2086" s="42" t="s">
        <v>19</v>
      </c>
      <c r="W2086" s="47">
        <v>10</v>
      </c>
    </row>
    <row r="2087" spans="1:23" hidden="1">
      <c r="A2087">
        <v>3747902147</v>
      </c>
      <c r="B2087">
        <v>57240262</v>
      </c>
      <c r="C2087" s="36" t="s">
        <v>2278</v>
      </c>
      <c r="D2087" s="37">
        <v>42045.286874999998</v>
      </c>
      <c r="E2087" s="37">
        <v>42045.293854166666</v>
      </c>
      <c r="U2087">
        <v>16</v>
      </c>
      <c r="W2087" s="47"/>
    </row>
    <row r="2088" spans="1:23" hidden="1">
      <c r="A2088">
        <v>3748018699</v>
      </c>
      <c r="B2088">
        <v>57240262</v>
      </c>
      <c r="C2088" s="36" t="s">
        <v>2279</v>
      </c>
      <c r="D2088" s="37">
        <v>42045.352071759262</v>
      </c>
      <c r="E2088" s="37">
        <v>42045.354259259257</v>
      </c>
      <c r="I2088">
        <v>4</v>
      </c>
      <c r="Q2088">
        <v>12</v>
      </c>
      <c r="W2088" s="47"/>
    </row>
    <row r="2089" spans="1:23" hidden="1">
      <c r="A2089">
        <v>3748037716</v>
      </c>
      <c r="B2089">
        <v>57240262</v>
      </c>
      <c r="C2089" s="36" t="s">
        <v>2280</v>
      </c>
      <c r="D2089" s="37">
        <v>42045.361064814817</v>
      </c>
      <c r="E2089" s="37">
        <v>42045.367291666669</v>
      </c>
      <c r="N2089">
        <v>9</v>
      </c>
      <c r="W2089" s="47"/>
    </row>
    <row r="2090" spans="1:23" hidden="1">
      <c r="A2090">
        <v>3748052812</v>
      </c>
      <c r="B2090">
        <v>57240262</v>
      </c>
      <c r="C2090" s="36" t="s">
        <v>2281</v>
      </c>
      <c r="D2090" s="37">
        <v>42045.367384259262</v>
      </c>
      <c r="E2090" s="37">
        <v>42045.376192129632</v>
      </c>
      <c r="N2090">
        <v>9</v>
      </c>
      <c r="W2090" s="47"/>
    </row>
    <row r="2091" spans="1:23" hidden="1">
      <c r="A2091">
        <v>3748078287</v>
      </c>
      <c r="B2091">
        <v>57240262</v>
      </c>
      <c r="C2091" s="36" t="s">
        <v>2282</v>
      </c>
      <c r="D2091" s="37">
        <v>42045.377638888887</v>
      </c>
      <c r="E2091" s="37">
        <v>42045.383356481485</v>
      </c>
      <c r="L2091">
        <v>7</v>
      </c>
      <c r="R2091">
        <v>13</v>
      </c>
      <c r="W2091" s="47"/>
    </row>
    <row r="2092" spans="1:23" hidden="1">
      <c r="A2092">
        <v>3748133738</v>
      </c>
      <c r="B2092">
        <v>57240262</v>
      </c>
      <c r="C2092" s="36" t="s">
        <v>2283</v>
      </c>
      <c r="D2092" s="37">
        <v>42045.399791666663</v>
      </c>
      <c r="E2092" s="37">
        <v>42045.40384259259</v>
      </c>
      <c r="M2092">
        <v>8</v>
      </c>
      <c r="W2092" s="47"/>
    </row>
    <row r="2093" spans="1:23" hidden="1">
      <c r="A2093">
        <v>3749527871</v>
      </c>
      <c r="B2093">
        <v>57240262</v>
      </c>
      <c r="C2093" s="36" t="s">
        <v>2390</v>
      </c>
      <c r="D2093" s="37">
        <v>42045.742604166669</v>
      </c>
      <c r="E2093" s="37">
        <v>42045.746481481481</v>
      </c>
      <c r="Q2093">
        <v>12</v>
      </c>
      <c r="W2093" s="47"/>
    </row>
    <row r="2094" spans="1:23" hidden="1">
      <c r="A2094">
        <v>3749649974</v>
      </c>
      <c r="B2094">
        <v>57240262</v>
      </c>
      <c r="C2094" s="36" t="s">
        <v>2391</v>
      </c>
      <c r="D2094" s="37">
        <v>42045.769282407404</v>
      </c>
      <c r="E2094" s="37">
        <v>42045.775833333333</v>
      </c>
      <c r="K2094">
        <v>6</v>
      </c>
      <c r="W2094" s="47"/>
    </row>
    <row r="2095" spans="1:23" hidden="1">
      <c r="A2095">
        <v>3749820331</v>
      </c>
      <c r="B2095">
        <v>57240262</v>
      </c>
      <c r="C2095" s="36" t="s">
        <v>2392</v>
      </c>
      <c r="D2095" s="37">
        <v>42045.806898148148</v>
      </c>
      <c r="E2095" s="37">
        <v>42045.810104166667</v>
      </c>
      <c r="G2095">
        <v>2</v>
      </c>
      <c r="I2095">
        <v>4</v>
      </c>
      <c r="O2095">
        <v>10</v>
      </c>
      <c r="P2095">
        <v>11</v>
      </c>
      <c r="W2095" s="47"/>
    </row>
    <row r="2096" spans="1:23" hidden="1">
      <c r="A2096">
        <v>3749978127</v>
      </c>
      <c r="B2096">
        <v>57240262</v>
      </c>
      <c r="C2096" s="36" t="s">
        <v>2393</v>
      </c>
      <c r="D2096" s="37">
        <v>42045.842083333337</v>
      </c>
      <c r="E2096" s="37">
        <v>42045.847094907411</v>
      </c>
      <c r="I2096">
        <v>4</v>
      </c>
      <c r="N2096">
        <v>9</v>
      </c>
      <c r="W2096" s="47"/>
    </row>
    <row r="2097" spans="1:23" hidden="1">
      <c r="A2097">
        <v>3750994764</v>
      </c>
      <c r="B2097">
        <v>57240262</v>
      </c>
      <c r="C2097" s="36" t="s">
        <v>2394</v>
      </c>
      <c r="D2097" s="37">
        <v>42046.162291666667</v>
      </c>
      <c r="E2097" s="37">
        <v>42046.168229166666</v>
      </c>
      <c r="N2097">
        <v>9</v>
      </c>
      <c r="W2097" s="47"/>
    </row>
    <row r="2098" spans="1:23" hidden="1">
      <c r="A2098">
        <v>3751269280</v>
      </c>
      <c r="B2098">
        <v>57240262</v>
      </c>
      <c r="C2098" s="36" t="s">
        <v>2395</v>
      </c>
      <c r="D2098" s="37">
        <v>42046.285162037035</v>
      </c>
      <c r="E2098" s="37">
        <v>42046.289189814815</v>
      </c>
      <c r="I2098">
        <v>4</v>
      </c>
      <c r="M2098">
        <v>8</v>
      </c>
      <c r="W2098" s="47"/>
    </row>
    <row r="2099" spans="1:23" hidden="1">
      <c r="A2099">
        <v>3751273881</v>
      </c>
      <c r="B2099">
        <v>57240262</v>
      </c>
      <c r="C2099" s="36" t="s">
        <v>2396</v>
      </c>
      <c r="D2099" s="37">
        <v>42046.287129629629</v>
      </c>
      <c r="E2099" s="37">
        <v>42046.296157407407</v>
      </c>
      <c r="M2099">
        <v>8</v>
      </c>
      <c r="W2099" s="47"/>
    </row>
    <row r="2100" spans="1:23" hidden="1">
      <c r="A2100">
        <v>3751451146</v>
      </c>
      <c r="B2100">
        <v>57240262</v>
      </c>
      <c r="C2100" s="36" t="s">
        <v>2397</v>
      </c>
      <c r="D2100" s="37">
        <v>42046.360509259262</v>
      </c>
      <c r="E2100" s="37">
        <v>42046.361516203702</v>
      </c>
      <c r="U2100">
        <v>16</v>
      </c>
      <c r="W2100" s="47"/>
    </row>
    <row r="2101" spans="1:23" hidden="1">
      <c r="A2101">
        <v>3751629771</v>
      </c>
      <c r="B2101">
        <v>57240262</v>
      </c>
      <c r="C2101" s="36" t="s">
        <v>2398</v>
      </c>
      <c r="D2101" s="37">
        <v>42046.423136574071</v>
      </c>
      <c r="E2101" s="37">
        <v>42046.42527777778</v>
      </c>
      <c r="H2101">
        <v>3</v>
      </c>
      <c r="W2101" s="47"/>
    </row>
    <row r="2102" spans="1:23" hidden="1">
      <c r="A2102">
        <v>3751622196</v>
      </c>
      <c r="B2102">
        <v>57240262</v>
      </c>
      <c r="C2102" s="36" t="s">
        <v>2399</v>
      </c>
      <c r="D2102" s="37">
        <v>42046.420416666668</v>
      </c>
      <c r="E2102" s="37">
        <v>42046.493252314816</v>
      </c>
      <c r="U2102">
        <v>16</v>
      </c>
      <c r="W2102" s="47"/>
    </row>
    <row r="2103" spans="1:23" hidden="1">
      <c r="A2103">
        <v>3751708140</v>
      </c>
      <c r="B2103">
        <v>57240262</v>
      </c>
      <c r="C2103" s="36" t="s">
        <v>2400</v>
      </c>
      <c r="D2103" s="37">
        <v>42046.449861111112</v>
      </c>
      <c r="E2103" s="37">
        <v>42046.498923611114</v>
      </c>
      <c r="U2103">
        <v>16</v>
      </c>
      <c r="W2103" s="47"/>
    </row>
    <row r="2104" spans="1:23" hidden="1">
      <c r="A2104">
        <v>3752061607</v>
      </c>
      <c r="B2104">
        <v>57240262</v>
      </c>
      <c r="C2104" s="36" t="s">
        <v>2401</v>
      </c>
      <c r="D2104" s="37">
        <v>42046.560173611113</v>
      </c>
      <c r="E2104" s="37">
        <v>42046.566296296296</v>
      </c>
      <c r="U2104">
        <v>16</v>
      </c>
      <c r="W2104" s="47"/>
    </row>
    <row r="2105" spans="1:23" hidden="1">
      <c r="A2105">
        <v>3752114108</v>
      </c>
      <c r="B2105">
        <v>57240262</v>
      </c>
      <c r="C2105" s="36" t="s">
        <v>2402</v>
      </c>
      <c r="D2105" s="37">
        <v>42046.572951388887</v>
      </c>
      <c r="E2105" s="37">
        <v>42046.58222222222</v>
      </c>
      <c r="O2105">
        <v>10</v>
      </c>
      <c r="W2105" s="47"/>
    </row>
    <row r="2106" spans="1:23" hidden="1">
      <c r="A2106">
        <v>3752167383</v>
      </c>
      <c r="B2106">
        <v>57240262</v>
      </c>
      <c r="C2106" s="36" t="s">
        <v>2403</v>
      </c>
      <c r="D2106" s="37">
        <v>42046.585381944446</v>
      </c>
      <c r="E2106" s="37">
        <v>42046.595694444448</v>
      </c>
      <c r="I2106">
        <v>4</v>
      </c>
      <c r="W2106" s="47"/>
    </row>
    <row r="2107" spans="1:23" hidden="1">
      <c r="A2107">
        <v>3752209323</v>
      </c>
      <c r="B2107">
        <v>57240262</v>
      </c>
      <c r="C2107" s="36" t="s">
        <v>2404</v>
      </c>
      <c r="D2107" s="37">
        <v>42046.595011574071</v>
      </c>
      <c r="E2107" s="37">
        <v>42046.599930555552</v>
      </c>
      <c r="Q2107">
        <v>12</v>
      </c>
      <c r="W2107" s="47"/>
    </row>
    <row r="2108" spans="1:23" hidden="1">
      <c r="A2108">
        <v>3752539206</v>
      </c>
      <c r="B2108">
        <v>57240262</v>
      </c>
      <c r="C2108" s="36" t="s">
        <v>2405</v>
      </c>
      <c r="D2108" s="37">
        <v>42046.663263888891</v>
      </c>
      <c r="E2108" s="37">
        <v>42046.675324074073</v>
      </c>
      <c r="U2108">
        <v>16</v>
      </c>
      <c r="W2108" s="47"/>
    </row>
    <row r="2109" spans="1:23" hidden="1">
      <c r="A2109">
        <v>3752644735</v>
      </c>
      <c r="B2109">
        <v>57240262</v>
      </c>
      <c r="C2109" s="36" t="s">
        <v>2406</v>
      </c>
      <c r="D2109" s="37">
        <v>42046.682395833333</v>
      </c>
      <c r="E2109" s="37">
        <v>42046.687858796293</v>
      </c>
      <c r="K2109">
        <v>6</v>
      </c>
      <c r="O2109">
        <v>10</v>
      </c>
      <c r="W2109" s="47"/>
    </row>
    <row r="2110" spans="1:23" hidden="1">
      <c r="A2110">
        <v>3752849928</v>
      </c>
      <c r="B2110">
        <v>57240262</v>
      </c>
      <c r="C2110" s="36" t="s">
        <v>2407</v>
      </c>
      <c r="D2110" s="37">
        <v>42046.718680555554</v>
      </c>
      <c r="E2110" s="37">
        <v>42046.722824074073</v>
      </c>
      <c r="H2110">
        <v>3</v>
      </c>
      <c r="M2110">
        <v>8</v>
      </c>
      <c r="W2110" s="47"/>
    </row>
    <row r="2111" spans="1:23" hidden="1">
      <c r="A2111">
        <v>3752872195</v>
      </c>
      <c r="B2111">
        <v>57240262</v>
      </c>
      <c r="C2111" s="36" t="s">
        <v>2408</v>
      </c>
      <c r="D2111" s="37">
        <v>42046.723055555558</v>
      </c>
      <c r="E2111" s="37">
        <v>42046.733622685184</v>
      </c>
      <c r="M2111">
        <v>8</v>
      </c>
      <c r="Q2111">
        <v>12</v>
      </c>
      <c r="W2111" s="47"/>
    </row>
    <row r="2112" spans="1:23" hidden="1">
      <c r="A2112">
        <v>3753221923</v>
      </c>
      <c r="B2112">
        <v>57240262</v>
      </c>
      <c r="C2112" s="36" t="s">
        <v>2409</v>
      </c>
      <c r="D2112" s="37">
        <v>42046.79650462963</v>
      </c>
      <c r="E2112" s="37">
        <v>42046.804548611108</v>
      </c>
      <c r="L2112">
        <v>7</v>
      </c>
      <c r="W2112" s="47"/>
    </row>
    <row r="2113" spans="1:23" hidden="1">
      <c r="A2113">
        <v>3753467403</v>
      </c>
      <c r="B2113">
        <v>57240262</v>
      </c>
      <c r="C2113" s="36" t="s">
        <v>2410</v>
      </c>
      <c r="D2113" s="37">
        <v>42046.850868055553</v>
      </c>
      <c r="E2113" s="37">
        <v>42046.862245370372</v>
      </c>
      <c r="Q2113">
        <v>12</v>
      </c>
      <c r="W2113" s="47"/>
    </row>
    <row r="2114" spans="1:23">
      <c r="A2114">
        <v>3753774879</v>
      </c>
      <c r="B2114">
        <v>57240262</v>
      </c>
      <c r="C2114" s="36" t="s">
        <v>2411</v>
      </c>
      <c r="D2114" s="37">
        <v>42046.921354166669</v>
      </c>
      <c r="E2114" s="37">
        <v>42046.929872685185</v>
      </c>
      <c r="G2114">
        <v>2</v>
      </c>
      <c r="H2114">
        <v>3</v>
      </c>
      <c r="I2114">
        <v>4</v>
      </c>
      <c r="N2114">
        <v>9</v>
      </c>
      <c r="Q2114">
        <v>12</v>
      </c>
      <c r="V2114" s="42" t="s">
        <v>39</v>
      </c>
      <c r="W2114" s="47">
        <v>4</v>
      </c>
    </row>
    <row r="2115" spans="1:23">
      <c r="A2115">
        <v>3754052617</v>
      </c>
      <c r="B2115">
        <v>57240262</v>
      </c>
      <c r="C2115" s="36" t="s">
        <v>2412</v>
      </c>
      <c r="D2115" s="37">
        <v>42047.006550925929</v>
      </c>
      <c r="E2115" s="37">
        <v>42047.011736111112</v>
      </c>
      <c r="F2115">
        <v>1</v>
      </c>
      <c r="K2115">
        <v>6</v>
      </c>
      <c r="O2115">
        <v>10</v>
      </c>
      <c r="V2115" s="42" t="s">
        <v>3416</v>
      </c>
      <c r="W2115" s="47">
        <v>10</v>
      </c>
    </row>
    <row r="2116" spans="1:23" hidden="1">
      <c r="A2116">
        <v>3754057021</v>
      </c>
      <c r="B2116">
        <v>57240262</v>
      </c>
      <c r="C2116" s="36" t="s">
        <v>2413</v>
      </c>
      <c r="D2116" s="37">
        <v>42047.008113425924</v>
      </c>
      <c r="E2116" s="37">
        <v>42047.012638888889</v>
      </c>
      <c r="Q2116">
        <v>12</v>
      </c>
      <c r="W2116" s="47"/>
    </row>
    <row r="2117" spans="1:23" hidden="1">
      <c r="A2117">
        <v>3754067765</v>
      </c>
      <c r="B2117">
        <v>57240262</v>
      </c>
      <c r="C2117" s="36" t="s">
        <v>2414</v>
      </c>
      <c r="D2117" s="37">
        <v>42047.011944444443</v>
      </c>
      <c r="E2117" s="37">
        <v>42047.016111111108</v>
      </c>
      <c r="U2117">
        <v>16</v>
      </c>
      <c r="W2117" s="47"/>
    </row>
    <row r="2118" spans="1:23" hidden="1">
      <c r="A2118">
        <v>3754115629</v>
      </c>
      <c r="B2118">
        <v>57240262</v>
      </c>
      <c r="C2118" s="36" t="s">
        <v>2415</v>
      </c>
      <c r="D2118" s="37">
        <v>42047.028958333336</v>
      </c>
      <c r="E2118" s="37">
        <v>42047.030011574076</v>
      </c>
      <c r="G2118">
        <v>2</v>
      </c>
      <c r="W2118" s="47"/>
    </row>
    <row r="2119" spans="1:23">
      <c r="A2119">
        <v>3754067523</v>
      </c>
      <c r="B2119">
        <v>57240262</v>
      </c>
      <c r="C2119" s="36" t="s">
        <v>2416</v>
      </c>
      <c r="D2119" s="37">
        <v>42047.011388888888</v>
      </c>
      <c r="E2119" s="37">
        <v>42047.038541666669</v>
      </c>
      <c r="F2119">
        <v>1</v>
      </c>
      <c r="H2119">
        <v>3</v>
      </c>
      <c r="J2119">
        <v>5</v>
      </c>
      <c r="K2119">
        <v>6</v>
      </c>
      <c r="O2119">
        <v>10</v>
      </c>
      <c r="P2119">
        <v>11</v>
      </c>
      <c r="R2119">
        <v>13</v>
      </c>
      <c r="V2119" s="42" t="s">
        <v>3417</v>
      </c>
      <c r="W2119" s="47">
        <v>13</v>
      </c>
    </row>
    <row r="2120" spans="1:23" hidden="1">
      <c r="A2120">
        <v>3754094187</v>
      </c>
      <c r="B2120">
        <v>57240262</v>
      </c>
      <c r="C2120" s="36" t="s">
        <v>2417</v>
      </c>
      <c r="D2120" s="37">
        <v>42047.021134259259</v>
      </c>
      <c r="E2120" s="37">
        <v>42047.043530092589</v>
      </c>
      <c r="U2120">
        <v>16</v>
      </c>
      <c r="W2120" s="47"/>
    </row>
    <row r="2121" spans="1:23" hidden="1">
      <c r="A2121">
        <v>3754148928</v>
      </c>
      <c r="B2121">
        <v>57240262</v>
      </c>
      <c r="C2121" s="36" t="s">
        <v>2418</v>
      </c>
      <c r="D2121" s="37">
        <v>42047.040925925925</v>
      </c>
      <c r="E2121" s="37">
        <v>42047.04619212963</v>
      </c>
      <c r="F2121">
        <v>1</v>
      </c>
      <c r="W2121" s="47"/>
    </row>
    <row r="2122" spans="1:23" ht="24">
      <c r="A2122">
        <v>3754166940</v>
      </c>
      <c r="B2122">
        <v>57240262</v>
      </c>
      <c r="C2122" s="36" t="s">
        <v>2419</v>
      </c>
      <c r="D2122" s="37">
        <v>42047.04755787037</v>
      </c>
      <c r="E2122" s="37">
        <v>42047.05537037037</v>
      </c>
      <c r="F2122">
        <v>1</v>
      </c>
      <c r="K2122">
        <v>6</v>
      </c>
      <c r="P2122">
        <v>11</v>
      </c>
      <c r="V2122" s="42" t="s">
        <v>3418</v>
      </c>
      <c r="W2122" s="47">
        <v>11</v>
      </c>
    </row>
    <row r="2123" spans="1:23" ht="24">
      <c r="A2123">
        <v>3754521489</v>
      </c>
      <c r="B2123">
        <v>57240262</v>
      </c>
      <c r="C2123" s="36" t="s">
        <v>2420</v>
      </c>
      <c r="D2123" s="37">
        <v>42047.187465277777</v>
      </c>
      <c r="E2123" s="37">
        <v>42047.200069444443</v>
      </c>
      <c r="F2123">
        <v>1</v>
      </c>
      <c r="G2123">
        <v>2</v>
      </c>
      <c r="V2123" s="42" t="s">
        <v>3419</v>
      </c>
      <c r="W2123" s="47">
        <v>1</v>
      </c>
    </row>
    <row r="2124" spans="1:23" hidden="1">
      <c r="A2124">
        <v>3754649601</v>
      </c>
      <c r="B2124">
        <v>57240262</v>
      </c>
      <c r="C2124" s="36" t="s">
        <v>2421</v>
      </c>
      <c r="D2124" s="37">
        <v>42047.249745370369</v>
      </c>
      <c r="E2124" s="37">
        <v>42047.250625000001</v>
      </c>
      <c r="W2124" s="47"/>
    </row>
    <row r="2125" spans="1:23" hidden="1">
      <c r="A2125">
        <v>3754704823</v>
      </c>
      <c r="B2125">
        <v>57240262</v>
      </c>
      <c r="C2125" s="36" t="s">
        <v>2422</v>
      </c>
      <c r="D2125" s="37">
        <v>42047.275740740741</v>
      </c>
      <c r="E2125" s="37">
        <v>42047.277685185189</v>
      </c>
      <c r="K2125">
        <v>6</v>
      </c>
      <c r="S2125">
        <v>14</v>
      </c>
      <c r="W2125" s="47"/>
    </row>
    <row r="2126" spans="1:23" hidden="1">
      <c r="A2126">
        <v>3754711720</v>
      </c>
      <c r="B2126">
        <v>57240262</v>
      </c>
      <c r="C2126" s="36" t="s">
        <v>2423</v>
      </c>
      <c r="D2126" s="37">
        <v>42047.280081018522</v>
      </c>
      <c r="E2126" s="37">
        <v>42047.285138888888</v>
      </c>
      <c r="J2126">
        <v>5</v>
      </c>
      <c r="K2126">
        <v>6</v>
      </c>
      <c r="R2126">
        <v>13</v>
      </c>
      <c r="S2126">
        <v>14</v>
      </c>
      <c r="W2126" s="47"/>
    </row>
    <row r="2127" spans="1:23">
      <c r="A2127">
        <v>3754722996</v>
      </c>
      <c r="B2127">
        <v>57240262</v>
      </c>
      <c r="C2127" s="36" t="s">
        <v>2424</v>
      </c>
      <c r="D2127" s="37">
        <v>42047.285428240742</v>
      </c>
      <c r="E2127" s="37">
        <v>42047.290810185186</v>
      </c>
      <c r="G2127">
        <v>2</v>
      </c>
      <c r="H2127">
        <v>3</v>
      </c>
      <c r="I2127">
        <v>4</v>
      </c>
      <c r="K2127">
        <v>6</v>
      </c>
      <c r="N2127">
        <v>9</v>
      </c>
      <c r="O2127">
        <v>10</v>
      </c>
      <c r="Q2127">
        <v>12</v>
      </c>
      <c r="R2127">
        <v>13</v>
      </c>
      <c r="V2127" s="42" t="s">
        <v>132</v>
      </c>
      <c r="W2127" s="47">
        <v>3</v>
      </c>
    </row>
    <row r="2128" spans="1:23">
      <c r="A2128">
        <v>3754803584</v>
      </c>
      <c r="B2128">
        <v>57240262</v>
      </c>
      <c r="C2128" s="36" t="s">
        <v>2425</v>
      </c>
      <c r="D2128" s="37">
        <v>42047.319143518522</v>
      </c>
      <c r="E2128" s="37">
        <v>42047.327592592592</v>
      </c>
      <c r="F2128">
        <v>1</v>
      </c>
      <c r="G2128">
        <v>2</v>
      </c>
      <c r="H2128">
        <v>3</v>
      </c>
      <c r="I2128">
        <v>4</v>
      </c>
      <c r="V2128" s="42" t="s">
        <v>3420</v>
      </c>
      <c r="W2128" s="47">
        <v>2</v>
      </c>
    </row>
    <row r="2129" spans="1:23" hidden="1">
      <c r="A2129">
        <v>3754817902</v>
      </c>
      <c r="B2129">
        <v>57240262</v>
      </c>
      <c r="C2129" s="36" t="s">
        <v>2426</v>
      </c>
      <c r="D2129" s="37">
        <v>42047.330972222226</v>
      </c>
      <c r="E2129" s="37">
        <v>42047.334166666667</v>
      </c>
      <c r="U2129">
        <v>16</v>
      </c>
      <c r="W2129" s="47"/>
    </row>
    <row r="2130" spans="1:23" hidden="1">
      <c r="A2130">
        <v>3754821521</v>
      </c>
      <c r="B2130">
        <v>57240262</v>
      </c>
      <c r="C2130" s="36" t="s">
        <v>2427</v>
      </c>
      <c r="D2130" s="37">
        <v>42047.332638888889</v>
      </c>
      <c r="E2130" s="37">
        <v>42047.341238425928</v>
      </c>
      <c r="U2130">
        <v>16</v>
      </c>
      <c r="W2130" s="47"/>
    </row>
    <row r="2131" spans="1:23">
      <c r="A2131">
        <v>3754824431</v>
      </c>
      <c r="B2131">
        <v>57240262</v>
      </c>
      <c r="C2131" s="36" t="s">
        <v>2428</v>
      </c>
      <c r="D2131" s="37">
        <v>42047.334097222221</v>
      </c>
      <c r="E2131" s="37">
        <v>42047.354467592595</v>
      </c>
      <c r="F2131">
        <v>1</v>
      </c>
      <c r="G2131">
        <v>2</v>
      </c>
      <c r="K2131">
        <v>6</v>
      </c>
      <c r="V2131" s="42" t="s">
        <v>3421</v>
      </c>
      <c r="W2131" s="47">
        <v>2</v>
      </c>
    </row>
    <row r="2132" spans="1:23" hidden="1">
      <c r="A2132">
        <v>3754868411</v>
      </c>
      <c r="B2132">
        <v>57240262</v>
      </c>
      <c r="C2132" s="36" t="s">
        <v>2429</v>
      </c>
      <c r="D2132" s="37">
        <v>42047.355011574073</v>
      </c>
      <c r="E2132" s="37">
        <v>42047.358576388891</v>
      </c>
      <c r="U2132">
        <v>16</v>
      </c>
      <c r="W2132" s="47"/>
    </row>
    <row r="2133" spans="1:23" hidden="1">
      <c r="A2133">
        <v>3755014491</v>
      </c>
      <c r="B2133">
        <v>57240262</v>
      </c>
      <c r="C2133" s="36" t="s">
        <v>2430</v>
      </c>
      <c r="D2133" s="37">
        <v>42047.417291666665</v>
      </c>
      <c r="E2133" s="37">
        <v>42047.423587962963</v>
      </c>
      <c r="F2133">
        <v>1</v>
      </c>
      <c r="G2133">
        <v>2</v>
      </c>
      <c r="W2133" s="47"/>
    </row>
    <row r="2134" spans="1:23" hidden="1">
      <c r="A2134">
        <v>3755221804</v>
      </c>
      <c r="B2134">
        <v>57240262</v>
      </c>
      <c r="C2134" s="36" t="s">
        <v>2431</v>
      </c>
      <c r="D2134" s="37">
        <v>42047.494791666664</v>
      </c>
      <c r="E2134" s="37">
        <v>42047.499062499999</v>
      </c>
      <c r="F2134">
        <v>1</v>
      </c>
      <c r="W2134" s="47"/>
    </row>
    <row r="2135" spans="1:23">
      <c r="A2135">
        <v>3755193681</v>
      </c>
      <c r="B2135">
        <v>57240262</v>
      </c>
      <c r="C2135" s="36" t="s">
        <v>2432</v>
      </c>
      <c r="D2135" s="37">
        <v>42047.484849537039</v>
      </c>
      <c r="E2135" s="37">
        <v>42047.509780092594</v>
      </c>
      <c r="F2135">
        <v>1</v>
      </c>
      <c r="I2135">
        <v>4</v>
      </c>
      <c r="J2135">
        <v>5</v>
      </c>
      <c r="P2135">
        <v>11</v>
      </c>
      <c r="R2135">
        <v>13</v>
      </c>
      <c r="S2135">
        <v>14</v>
      </c>
      <c r="V2135" s="42" t="s">
        <v>3422</v>
      </c>
      <c r="W2135" s="47">
        <v>15</v>
      </c>
    </row>
    <row r="2136" spans="1:23" hidden="1">
      <c r="A2136">
        <v>3755512114</v>
      </c>
      <c r="B2136">
        <v>57240262</v>
      </c>
      <c r="C2136" s="36" t="s">
        <v>2433</v>
      </c>
      <c r="D2136" s="37">
        <v>42047.578113425923</v>
      </c>
      <c r="E2136" s="37">
        <v>42047.584965277776</v>
      </c>
      <c r="U2136">
        <v>16</v>
      </c>
      <c r="W2136" s="47"/>
    </row>
    <row r="2137" spans="1:23" hidden="1">
      <c r="A2137">
        <v>3755524166</v>
      </c>
      <c r="B2137">
        <v>57240262</v>
      </c>
      <c r="C2137" s="36" t="s">
        <v>2434</v>
      </c>
      <c r="D2137" s="37">
        <v>42047.58085648148</v>
      </c>
      <c r="E2137" s="37">
        <v>42047.587245370371</v>
      </c>
      <c r="R2137">
        <v>13</v>
      </c>
      <c r="W2137" s="47"/>
    </row>
    <row r="2138" spans="1:23" hidden="1">
      <c r="A2138">
        <v>3755680586</v>
      </c>
      <c r="B2138">
        <v>57240262</v>
      </c>
      <c r="C2138" s="36" t="s">
        <v>2435</v>
      </c>
      <c r="D2138" s="37">
        <v>42047.615428240744</v>
      </c>
      <c r="E2138" s="37">
        <v>42047.617129629631</v>
      </c>
      <c r="K2138">
        <v>6</v>
      </c>
      <c r="W2138" s="47"/>
    </row>
    <row r="2139" spans="1:23" hidden="1">
      <c r="A2139">
        <v>3756027992</v>
      </c>
      <c r="B2139">
        <v>57240262</v>
      </c>
      <c r="C2139" s="36" t="s">
        <v>2436</v>
      </c>
      <c r="D2139" s="37">
        <v>42047.686493055553</v>
      </c>
      <c r="E2139" s="37">
        <v>42047.69</v>
      </c>
      <c r="U2139">
        <v>16</v>
      </c>
      <c r="W2139" s="47"/>
    </row>
    <row r="2140" spans="1:23" hidden="1">
      <c r="A2140">
        <v>3756201830</v>
      </c>
      <c r="B2140">
        <v>57240262</v>
      </c>
      <c r="C2140" s="36" t="s">
        <v>2437</v>
      </c>
      <c r="D2140" s="37">
        <v>42047.720254629632</v>
      </c>
      <c r="E2140" s="37">
        <v>42047.725659722222</v>
      </c>
      <c r="F2140">
        <v>1</v>
      </c>
      <c r="K2140">
        <v>6</v>
      </c>
      <c r="W2140" s="47"/>
    </row>
    <row r="2141" spans="1:23" ht="24">
      <c r="A2141">
        <v>3756602647</v>
      </c>
      <c r="B2141">
        <v>57240262</v>
      </c>
      <c r="C2141" s="36" t="s">
        <v>2438</v>
      </c>
      <c r="D2141" s="37">
        <v>42047.805567129632</v>
      </c>
      <c r="E2141" s="37">
        <v>42047.81355324074</v>
      </c>
      <c r="F2141">
        <v>1</v>
      </c>
      <c r="G2141">
        <v>2</v>
      </c>
      <c r="K2141">
        <v>6</v>
      </c>
      <c r="N2141">
        <v>9</v>
      </c>
      <c r="O2141">
        <v>10</v>
      </c>
      <c r="V2141" s="42" t="s">
        <v>3423</v>
      </c>
      <c r="W2141" s="47">
        <v>10</v>
      </c>
    </row>
    <row r="2142" spans="1:23" hidden="1">
      <c r="A2142">
        <v>3756764173</v>
      </c>
      <c r="B2142">
        <v>57240262</v>
      </c>
      <c r="C2142" s="36" t="s">
        <v>2439</v>
      </c>
      <c r="D2142" s="37">
        <v>42047.841643518521</v>
      </c>
      <c r="E2142" s="37">
        <v>42047.84547453704</v>
      </c>
      <c r="G2142">
        <v>2</v>
      </c>
      <c r="P2142">
        <v>11</v>
      </c>
      <c r="W2142" s="47"/>
    </row>
    <row r="2143" spans="1:23" hidden="1">
      <c r="A2143">
        <v>3757002210</v>
      </c>
      <c r="B2143">
        <v>57240262</v>
      </c>
      <c r="C2143" s="36" t="s">
        <v>2440</v>
      </c>
      <c r="D2143" s="37">
        <v>42047.897280092591</v>
      </c>
      <c r="E2143" s="37">
        <v>42047.899872685186</v>
      </c>
      <c r="M2143">
        <v>8</v>
      </c>
      <c r="W2143" s="47"/>
    </row>
    <row r="2144" spans="1:23" hidden="1">
      <c r="A2144">
        <v>3757170213</v>
      </c>
      <c r="B2144">
        <v>57240262</v>
      </c>
      <c r="C2144" s="36" t="s">
        <v>2441</v>
      </c>
      <c r="D2144" s="37">
        <v>42047.938240740739</v>
      </c>
      <c r="E2144" s="37">
        <v>42047.942928240744</v>
      </c>
      <c r="G2144">
        <v>2</v>
      </c>
      <c r="K2144">
        <v>6</v>
      </c>
      <c r="O2144">
        <v>10</v>
      </c>
      <c r="Q2144">
        <v>12</v>
      </c>
      <c r="W2144" s="47"/>
    </row>
    <row r="2145" spans="1:23">
      <c r="A2145">
        <v>3757911947</v>
      </c>
      <c r="B2145">
        <v>57240262</v>
      </c>
      <c r="C2145" s="36" t="s">
        <v>2442</v>
      </c>
      <c r="D2145" s="37">
        <v>42048.234490740739</v>
      </c>
      <c r="E2145" s="37">
        <v>42048.239502314813</v>
      </c>
      <c r="F2145">
        <v>1</v>
      </c>
      <c r="G2145">
        <v>2</v>
      </c>
      <c r="H2145">
        <v>3</v>
      </c>
      <c r="K2145">
        <v>6</v>
      </c>
      <c r="V2145" s="42" t="s">
        <v>30</v>
      </c>
      <c r="W2145" s="47">
        <v>2</v>
      </c>
    </row>
    <row r="2146" spans="1:23" hidden="1">
      <c r="A2146">
        <v>3759239651</v>
      </c>
      <c r="B2146">
        <v>57240262</v>
      </c>
      <c r="C2146" s="36" t="s">
        <v>2443</v>
      </c>
      <c r="D2146" s="37">
        <v>42048.670254629629</v>
      </c>
      <c r="E2146" s="37">
        <v>42048.676446759258</v>
      </c>
      <c r="U2146">
        <v>16</v>
      </c>
      <c r="W2146" s="47"/>
    </row>
    <row r="2147" spans="1:23" hidden="1">
      <c r="A2147">
        <v>3760048713</v>
      </c>
      <c r="B2147">
        <v>57240262</v>
      </c>
      <c r="C2147" s="36" t="s">
        <v>2444</v>
      </c>
      <c r="D2147" s="37">
        <v>42048.844733796293</v>
      </c>
      <c r="E2147" s="37">
        <v>42048.853101851855</v>
      </c>
      <c r="I2147">
        <v>4</v>
      </c>
      <c r="R2147">
        <v>13</v>
      </c>
      <c r="W2147" s="47"/>
    </row>
    <row r="2148" spans="1:23" ht="24">
      <c r="A2148">
        <v>3760044636</v>
      </c>
      <c r="B2148">
        <v>57240262</v>
      </c>
      <c r="C2148" s="36" t="s">
        <v>2445</v>
      </c>
      <c r="D2148" s="37">
        <v>42048.843726851854</v>
      </c>
      <c r="E2148" s="37">
        <v>42048.85659722222</v>
      </c>
      <c r="G2148">
        <v>2</v>
      </c>
      <c r="R2148">
        <v>13</v>
      </c>
      <c r="V2148" s="42" t="s">
        <v>3424</v>
      </c>
      <c r="W2148" s="47">
        <v>2</v>
      </c>
    </row>
    <row r="2149" spans="1:23">
      <c r="A2149">
        <v>3760139263</v>
      </c>
      <c r="B2149">
        <v>57240262</v>
      </c>
      <c r="C2149" s="36" t="s">
        <v>2446</v>
      </c>
      <c r="D2149" s="37">
        <v>42048.866412037038</v>
      </c>
      <c r="E2149" s="37">
        <v>42048.879803240743</v>
      </c>
      <c r="H2149">
        <v>3</v>
      </c>
      <c r="O2149">
        <v>10</v>
      </c>
      <c r="V2149" s="42" t="s">
        <v>3425</v>
      </c>
      <c r="W2149" s="47">
        <v>10</v>
      </c>
    </row>
    <row r="2150" spans="1:23" hidden="1">
      <c r="A2150">
        <v>3760203209</v>
      </c>
      <c r="B2150">
        <v>57240262</v>
      </c>
      <c r="C2150" s="36" t="s">
        <v>2447</v>
      </c>
      <c r="D2150" s="37">
        <v>42048.882569444446</v>
      </c>
      <c r="E2150" s="37">
        <v>42048.885370370372</v>
      </c>
      <c r="U2150">
        <v>16</v>
      </c>
      <c r="W2150" s="47"/>
    </row>
    <row r="2151" spans="1:23" ht="24">
      <c r="A2151">
        <v>3760935869</v>
      </c>
      <c r="B2151">
        <v>57240262</v>
      </c>
      <c r="C2151" s="36" t="s">
        <v>2448</v>
      </c>
      <c r="D2151" s="37">
        <v>42049.172858796293</v>
      </c>
      <c r="E2151" s="37">
        <v>42049.180405092593</v>
      </c>
      <c r="H2151">
        <v>3</v>
      </c>
      <c r="K2151">
        <v>6</v>
      </c>
      <c r="V2151" s="42" t="s">
        <v>3426</v>
      </c>
      <c r="W2151" s="47">
        <v>2</v>
      </c>
    </row>
    <row r="2152" spans="1:23" hidden="1">
      <c r="A2152">
        <v>3761334031</v>
      </c>
      <c r="B2152">
        <v>57240262</v>
      </c>
      <c r="C2152" s="36" t="s">
        <v>2449</v>
      </c>
      <c r="D2152" s="37">
        <v>42049.418414351851</v>
      </c>
      <c r="E2152" s="37">
        <v>42049.422418981485</v>
      </c>
      <c r="J2152">
        <v>5</v>
      </c>
      <c r="W2152" s="47"/>
    </row>
    <row r="2153" spans="1:23" ht="24">
      <c r="A2153">
        <v>3761354127</v>
      </c>
      <c r="B2153">
        <v>57240262</v>
      </c>
      <c r="C2153" s="36" t="s">
        <v>2450</v>
      </c>
      <c r="D2153" s="37">
        <v>42049.432071759256</v>
      </c>
      <c r="E2153" s="37">
        <v>42049.439965277779</v>
      </c>
      <c r="F2153">
        <v>1</v>
      </c>
      <c r="G2153">
        <v>2</v>
      </c>
      <c r="O2153">
        <v>10</v>
      </c>
      <c r="Q2153">
        <v>12</v>
      </c>
      <c r="V2153" s="42" t="s">
        <v>13</v>
      </c>
      <c r="W2153" s="47">
        <v>10</v>
      </c>
    </row>
    <row r="2154" spans="1:23" hidden="1">
      <c r="A2154">
        <v>3761505873</v>
      </c>
      <c r="B2154">
        <v>57240262</v>
      </c>
      <c r="C2154" s="36" t="s">
        <v>2451</v>
      </c>
      <c r="D2154" s="37">
        <v>42049.532199074078</v>
      </c>
      <c r="E2154" s="37">
        <v>42049.535300925927</v>
      </c>
      <c r="U2154">
        <v>16</v>
      </c>
      <c r="W2154" s="47"/>
    </row>
    <row r="2155" spans="1:23">
      <c r="A2155">
        <v>3761616601</v>
      </c>
      <c r="B2155">
        <v>57240262</v>
      </c>
      <c r="C2155" s="36" t="s">
        <v>2452</v>
      </c>
      <c r="D2155" s="37">
        <v>42049.600173611114</v>
      </c>
      <c r="E2155" s="37">
        <v>42049.602395833332</v>
      </c>
      <c r="F2155">
        <v>1</v>
      </c>
      <c r="K2155">
        <v>6</v>
      </c>
      <c r="V2155" s="42" t="s">
        <v>4</v>
      </c>
      <c r="W2155" s="47">
        <v>1</v>
      </c>
    </row>
    <row r="2156" spans="1:23" hidden="1">
      <c r="A2156">
        <v>3761782984</v>
      </c>
      <c r="B2156">
        <v>57240262</v>
      </c>
      <c r="C2156" s="36" t="s">
        <v>2453</v>
      </c>
      <c r="D2156" s="37">
        <v>42049.685127314813</v>
      </c>
      <c r="E2156" s="37">
        <v>42049.693923611114</v>
      </c>
      <c r="G2156">
        <v>2</v>
      </c>
      <c r="P2156">
        <v>11</v>
      </c>
      <c r="R2156">
        <v>13</v>
      </c>
      <c r="S2156">
        <v>14</v>
      </c>
      <c r="W2156" s="47"/>
    </row>
    <row r="2157" spans="1:23" ht="24">
      <c r="A2157">
        <v>3761811456</v>
      </c>
      <c r="B2157">
        <v>57240262</v>
      </c>
      <c r="C2157" s="36" t="s">
        <v>2454</v>
      </c>
      <c r="D2157" s="37">
        <v>42049.699456018519</v>
      </c>
      <c r="E2157" s="37">
        <v>42049.707141203704</v>
      </c>
      <c r="I2157">
        <v>4</v>
      </c>
      <c r="R2157">
        <v>13</v>
      </c>
      <c r="V2157" s="42" t="s">
        <v>3427</v>
      </c>
      <c r="W2157" s="47">
        <v>4</v>
      </c>
    </row>
    <row r="2158" spans="1:23" hidden="1">
      <c r="A2158">
        <v>3762399097</v>
      </c>
      <c r="B2158">
        <v>57240262</v>
      </c>
      <c r="C2158" s="36" t="s">
        <v>2455</v>
      </c>
      <c r="D2158" s="37">
        <v>42050.083483796298</v>
      </c>
      <c r="E2158" s="37">
        <v>42050.089189814818</v>
      </c>
      <c r="F2158">
        <v>1</v>
      </c>
      <c r="R2158">
        <v>13</v>
      </c>
      <c r="W2158" s="47"/>
    </row>
    <row r="2159" spans="1:23" hidden="1">
      <c r="A2159">
        <v>3763139567</v>
      </c>
      <c r="B2159">
        <v>57240262</v>
      </c>
      <c r="C2159" s="36" t="s">
        <v>2456</v>
      </c>
      <c r="D2159" s="37">
        <v>42050.691851851851</v>
      </c>
      <c r="E2159" s="37">
        <v>42050.695023148146</v>
      </c>
      <c r="U2159">
        <v>16</v>
      </c>
      <c r="W2159" s="47"/>
    </row>
    <row r="2160" spans="1:23" hidden="1">
      <c r="A2160">
        <v>3764558665</v>
      </c>
      <c r="B2160">
        <v>57240262</v>
      </c>
      <c r="C2160" s="36" t="s">
        <v>2457</v>
      </c>
      <c r="D2160" s="37">
        <v>42051.471597222226</v>
      </c>
      <c r="E2160" s="37">
        <v>42051.472569444442</v>
      </c>
      <c r="W2160" s="47"/>
    </row>
    <row r="2161" spans="1:23" hidden="1">
      <c r="A2161">
        <v>3764740686</v>
      </c>
      <c r="B2161">
        <v>57240262</v>
      </c>
      <c r="C2161" s="36" t="s">
        <v>2458</v>
      </c>
      <c r="D2161" s="37">
        <v>42051.535208333335</v>
      </c>
      <c r="E2161" s="37">
        <v>42051.53570601852</v>
      </c>
      <c r="W2161" s="47"/>
    </row>
    <row r="2162" spans="1:23" hidden="1">
      <c r="A2162">
        <v>3765088468</v>
      </c>
      <c r="B2162">
        <v>57240262</v>
      </c>
      <c r="C2162" s="36" t="s">
        <v>2459</v>
      </c>
      <c r="D2162" s="37">
        <v>42051.627465277779</v>
      </c>
      <c r="E2162" s="37">
        <v>42051.628344907411</v>
      </c>
      <c r="W2162" s="47"/>
    </row>
    <row r="2163" spans="1:23" hidden="1">
      <c r="A2163">
        <v>3765081587</v>
      </c>
      <c r="B2163">
        <v>57240262</v>
      </c>
      <c r="C2163" s="36" t="s">
        <v>2460</v>
      </c>
      <c r="D2163" s="37">
        <v>42051.625821759262</v>
      </c>
      <c r="E2163" s="37">
        <v>42051.629849537036</v>
      </c>
      <c r="K2163">
        <v>6</v>
      </c>
      <c r="M2163">
        <v>8</v>
      </c>
      <c r="N2163">
        <v>9</v>
      </c>
      <c r="R2163">
        <v>13</v>
      </c>
      <c r="W2163" s="47"/>
    </row>
    <row r="2164" spans="1:23" hidden="1">
      <c r="A2164">
        <v>3765085940</v>
      </c>
      <c r="B2164">
        <v>57240262</v>
      </c>
      <c r="C2164" s="36" t="s">
        <v>2461</v>
      </c>
      <c r="D2164" s="37">
        <v>42051.626863425925</v>
      </c>
      <c r="E2164" s="37">
        <v>42051.634583333333</v>
      </c>
      <c r="G2164">
        <v>2</v>
      </c>
      <c r="W2164" s="47"/>
    </row>
    <row r="2165" spans="1:23" hidden="1">
      <c r="A2165">
        <v>3765110518</v>
      </c>
      <c r="B2165">
        <v>57240262</v>
      </c>
      <c r="C2165" s="36" t="s">
        <v>2462</v>
      </c>
      <c r="D2165" s="37">
        <v>42051.632708333331</v>
      </c>
      <c r="E2165" s="37">
        <v>42051.639525462961</v>
      </c>
      <c r="G2165">
        <v>2</v>
      </c>
      <c r="O2165">
        <v>10</v>
      </c>
      <c r="Q2165">
        <v>12</v>
      </c>
      <c r="W2165" s="47"/>
    </row>
    <row r="2166" spans="1:23" hidden="1">
      <c r="A2166">
        <v>3765453766</v>
      </c>
      <c r="B2166">
        <v>57240262</v>
      </c>
      <c r="C2166" s="36" t="s">
        <v>2463</v>
      </c>
      <c r="D2166" s="37">
        <v>42051.706388888888</v>
      </c>
      <c r="E2166" s="37">
        <v>42051.710451388892</v>
      </c>
      <c r="U2166">
        <v>16</v>
      </c>
      <c r="W2166" s="47"/>
    </row>
    <row r="2167" spans="1:23" hidden="1">
      <c r="A2167">
        <v>3765471122</v>
      </c>
      <c r="B2167">
        <v>57240262</v>
      </c>
      <c r="C2167" s="36" t="s">
        <v>2464</v>
      </c>
      <c r="D2167" s="37">
        <v>42051.709918981483</v>
      </c>
      <c r="E2167" s="37">
        <v>42051.713240740741</v>
      </c>
      <c r="G2167">
        <v>2</v>
      </c>
      <c r="M2167">
        <v>8</v>
      </c>
      <c r="O2167">
        <v>10</v>
      </c>
      <c r="W2167" s="47"/>
    </row>
    <row r="2168" spans="1:23" hidden="1">
      <c r="A2168">
        <v>3765940960</v>
      </c>
      <c r="B2168">
        <v>57240262</v>
      </c>
      <c r="C2168" s="36" t="s">
        <v>2465</v>
      </c>
      <c r="D2168" s="37">
        <v>42051.824224537035</v>
      </c>
      <c r="E2168" s="37">
        <v>42051.825011574074</v>
      </c>
      <c r="I2168">
        <v>4</v>
      </c>
      <c r="W2168" s="47"/>
    </row>
    <row r="2169" spans="1:23">
      <c r="A2169">
        <v>3766217547</v>
      </c>
      <c r="B2169">
        <v>57240262</v>
      </c>
      <c r="C2169" s="36" t="s">
        <v>2466</v>
      </c>
      <c r="D2169" s="37">
        <v>42051.893310185187</v>
      </c>
      <c r="E2169" s="37">
        <v>42051.904085648152</v>
      </c>
      <c r="F2169">
        <v>1</v>
      </c>
      <c r="G2169">
        <v>2</v>
      </c>
      <c r="V2169" s="42" t="s">
        <v>31</v>
      </c>
      <c r="W2169" s="47">
        <v>2</v>
      </c>
    </row>
    <row r="2170" spans="1:23" hidden="1">
      <c r="A2170">
        <v>3766255344</v>
      </c>
      <c r="B2170">
        <v>57240262</v>
      </c>
      <c r="C2170" s="36" t="s">
        <v>2467</v>
      </c>
      <c r="D2170" s="37">
        <v>42051.903321759259</v>
      </c>
      <c r="E2170" s="37">
        <v>42051.904432870368</v>
      </c>
      <c r="W2170" s="47"/>
    </row>
    <row r="2171" spans="1:23" hidden="1">
      <c r="A2171">
        <v>3766393185</v>
      </c>
      <c r="B2171">
        <v>57240262</v>
      </c>
      <c r="C2171" s="36" t="s">
        <v>2468</v>
      </c>
      <c r="D2171" s="37">
        <v>42051.943391203706</v>
      </c>
      <c r="E2171" s="37">
        <v>42051.951956018522</v>
      </c>
      <c r="F2171">
        <v>1</v>
      </c>
      <c r="K2171">
        <v>6</v>
      </c>
      <c r="O2171">
        <v>10</v>
      </c>
      <c r="W2171" s="47"/>
    </row>
    <row r="2172" spans="1:23">
      <c r="A2172">
        <v>3767625030</v>
      </c>
      <c r="B2172">
        <v>57240262</v>
      </c>
      <c r="C2172" s="36" t="s">
        <v>2469</v>
      </c>
      <c r="D2172" s="37">
        <v>42052.413518518515</v>
      </c>
      <c r="E2172" s="37">
        <v>42052.422685185185</v>
      </c>
      <c r="F2172">
        <v>1</v>
      </c>
      <c r="K2172">
        <v>6</v>
      </c>
      <c r="O2172">
        <v>10</v>
      </c>
      <c r="P2172">
        <v>11</v>
      </c>
      <c r="Q2172">
        <v>12</v>
      </c>
      <c r="V2172" s="42" t="s">
        <v>244</v>
      </c>
      <c r="W2172" s="47">
        <v>6</v>
      </c>
    </row>
    <row r="2173" spans="1:23" hidden="1">
      <c r="A2173">
        <v>3767671670</v>
      </c>
      <c r="B2173">
        <v>57240262</v>
      </c>
      <c r="C2173" s="36" t="s">
        <v>2470</v>
      </c>
      <c r="D2173" s="37">
        <v>42052.427303240744</v>
      </c>
      <c r="E2173" s="37">
        <v>42052.430810185186</v>
      </c>
      <c r="P2173">
        <v>11</v>
      </c>
      <c r="W2173" s="47"/>
    </row>
    <row r="2174" spans="1:23" hidden="1">
      <c r="A2174">
        <v>3767772820</v>
      </c>
      <c r="B2174">
        <v>57240262</v>
      </c>
      <c r="C2174" s="36" t="s">
        <v>2471</v>
      </c>
      <c r="D2174" s="37">
        <v>42052.455717592595</v>
      </c>
      <c r="E2174" s="37">
        <v>42052.458101851851</v>
      </c>
      <c r="U2174">
        <v>16</v>
      </c>
      <c r="W2174" s="47"/>
    </row>
    <row r="2175" spans="1:23" hidden="1">
      <c r="A2175">
        <v>3767760812</v>
      </c>
      <c r="B2175">
        <v>57240262</v>
      </c>
      <c r="C2175" s="36" t="s">
        <v>2472</v>
      </c>
      <c r="D2175" s="37">
        <v>42052.452013888891</v>
      </c>
      <c r="E2175" s="37">
        <v>42052.476145833331</v>
      </c>
      <c r="M2175">
        <v>8</v>
      </c>
      <c r="W2175" s="47"/>
    </row>
    <row r="2176" spans="1:23" hidden="1">
      <c r="A2176">
        <v>3767892532</v>
      </c>
      <c r="B2176">
        <v>57240262</v>
      </c>
      <c r="C2176" s="36" t="s">
        <v>2473</v>
      </c>
      <c r="D2176" s="37">
        <v>42052.489155092589</v>
      </c>
      <c r="E2176" s="37">
        <v>42052.492511574077</v>
      </c>
      <c r="U2176">
        <v>16</v>
      </c>
      <c r="W2176" s="47"/>
    </row>
    <row r="2177" spans="1:23" ht="24">
      <c r="A2177">
        <v>3767895783</v>
      </c>
      <c r="B2177">
        <v>57240262</v>
      </c>
      <c r="C2177" s="36" t="s">
        <v>2474</v>
      </c>
      <c r="D2177" s="37">
        <v>42052.489768518521</v>
      </c>
      <c r="E2177" s="37">
        <v>42052.494039351855</v>
      </c>
      <c r="F2177">
        <v>1</v>
      </c>
      <c r="G2177">
        <v>2</v>
      </c>
      <c r="K2177">
        <v>6</v>
      </c>
      <c r="Q2177">
        <v>12</v>
      </c>
      <c r="R2177">
        <v>13</v>
      </c>
      <c r="V2177" s="42" t="s">
        <v>3428</v>
      </c>
      <c r="W2177" s="47">
        <v>1</v>
      </c>
    </row>
    <row r="2178" spans="1:23" hidden="1">
      <c r="A2178">
        <v>3767901054</v>
      </c>
      <c r="B2178">
        <v>57240262</v>
      </c>
      <c r="C2178" s="36" t="s">
        <v>2475</v>
      </c>
      <c r="D2178" s="37">
        <v>42052.491863425923</v>
      </c>
      <c r="E2178" s="37">
        <v>42052.497013888889</v>
      </c>
      <c r="F2178">
        <v>1</v>
      </c>
      <c r="G2178">
        <v>2</v>
      </c>
      <c r="H2178">
        <v>3</v>
      </c>
      <c r="K2178">
        <v>6</v>
      </c>
      <c r="W2178" s="47"/>
    </row>
    <row r="2179" spans="1:23">
      <c r="A2179">
        <v>3767963714</v>
      </c>
      <c r="B2179">
        <v>57240262</v>
      </c>
      <c r="C2179" s="36" t="s">
        <v>2476</v>
      </c>
      <c r="D2179" s="37">
        <v>42052.510567129626</v>
      </c>
      <c r="E2179" s="37">
        <v>42052.518611111111</v>
      </c>
      <c r="F2179">
        <v>1</v>
      </c>
      <c r="G2179">
        <v>2</v>
      </c>
      <c r="H2179">
        <v>3</v>
      </c>
      <c r="O2179">
        <v>10</v>
      </c>
      <c r="V2179" s="42" t="s">
        <v>3429</v>
      </c>
      <c r="W2179" s="47">
        <v>2</v>
      </c>
    </row>
    <row r="2180" spans="1:23" hidden="1">
      <c r="A2180">
        <v>3768070699</v>
      </c>
      <c r="B2180">
        <v>57240262</v>
      </c>
      <c r="C2180" s="36" t="s">
        <v>2477</v>
      </c>
      <c r="D2180" s="37">
        <v>42052.545486111114</v>
      </c>
      <c r="E2180" s="37">
        <v>42052.550474537034</v>
      </c>
      <c r="H2180">
        <v>3</v>
      </c>
      <c r="K2180">
        <v>6</v>
      </c>
      <c r="Q2180">
        <v>12</v>
      </c>
      <c r="S2180">
        <v>14</v>
      </c>
      <c r="W2180" s="47"/>
    </row>
    <row r="2181" spans="1:23" hidden="1">
      <c r="A2181">
        <v>3768129319</v>
      </c>
      <c r="B2181">
        <v>57240262</v>
      </c>
      <c r="C2181" s="36" t="s">
        <v>2478</v>
      </c>
      <c r="D2181" s="37">
        <v>42052.56050925926</v>
      </c>
      <c r="E2181" s="37">
        <v>42052.563981481479</v>
      </c>
      <c r="U2181">
        <v>16</v>
      </c>
      <c r="W2181" s="47"/>
    </row>
    <row r="2182" spans="1:23" hidden="1">
      <c r="A2182">
        <v>3768143573</v>
      </c>
      <c r="B2182">
        <v>57240262</v>
      </c>
      <c r="C2182" s="36" t="s">
        <v>2479</v>
      </c>
      <c r="D2182" s="37">
        <v>42052.564108796294</v>
      </c>
      <c r="E2182" s="37">
        <v>42052.568449074075</v>
      </c>
      <c r="H2182">
        <v>3</v>
      </c>
      <c r="K2182">
        <v>6</v>
      </c>
      <c r="W2182" s="47"/>
    </row>
    <row r="2183" spans="1:23" hidden="1">
      <c r="A2183">
        <v>3768162015</v>
      </c>
      <c r="B2183">
        <v>57240262</v>
      </c>
      <c r="C2183" s="36" t="s">
        <v>2480</v>
      </c>
      <c r="D2183" s="37">
        <v>42052.568564814814</v>
      </c>
      <c r="E2183" s="37">
        <v>42052.573946759258</v>
      </c>
      <c r="R2183">
        <v>13</v>
      </c>
      <c r="W2183" s="47"/>
    </row>
    <row r="2184" spans="1:23" hidden="1">
      <c r="A2184">
        <v>3768183763</v>
      </c>
      <c r="B2184">
        <v>57240262</v>
      </c>
      <c r="C2184" s="36" t="s">
        <v>2481</v>
      </c>
      <c r="D2184" s="37">
        <v>42052.57402777778</v>
      </c>
      <c r="E2184" s="37">
        <v>42052.578773148147</v>
      </c>
      <c r="G2184">
        <v>2</v>
      </c>
      <c r="Q2184">
        <v>12</v>
      </c>
      <c r="S2184">
        <v>14</v>
      </c>
      <c r="W2184" s="47"/>
    </row>
    <row r="2185" spans="1:23" hidden="1">
      <c r="A2185">
        <v>3768395592</v>
      </c>
      <c r="B2185">
        <v>57240262</v>
      </c>
      <c r="C2185" s="36" t="s">
        <v>2482</v>
      </c>
      <c r="D2185" s="37">
        <v>42052.621747685182</v>
      </c>
      <c r="E2185" s="37">
        <v>42052.627928240741</v>
      </c>
      <c r="N2185">
        <v>9</v>
      </c>
      <c r="W2185" s="47"/>
    </row>
    <row r="2186" spans="1:23">
      <c r="A2186">
        <v>3769031561</v>
      </c>
      <c r="B2186">
        <v>57240262</v>
      </c>
      <c r="C2186" s="36" t="s">
        <v>2483</v>
      </c>
      <c r="D2186" s="37">
        <v>42052.74322916667</v>
      </c>
      <c r="E2186" s="37">
        <v>42052.751006944447</v>
      </c>
      <c r="M2186">
        <v>8</v>
      </c>
      <c r="Q2186">
        <v>12</v>
      </c>
      <c r="V2186" s="42" t="s">
        <v>233</v>
      </c>
      <c r="W2186" s="47">
        <v>12</v>
      </c>
    </row>
    <row r="2187" spans="1:23" hidden="1">
      <c r="A2187">
        <v>3769059924</v>
      </c>
      <c r="B2187">
        <v>57240262</v>
      </c>
      <c r="C2187" s="36" t="s">
        <v>2484</v>
      </c>
      <c r="D2187" s="37">
        <v>42052.749155092592</v>
      </c>
      <c r="E2187" s="37">
        <v>42052.751331018517</v>
      </c>
      <c r="G2187">
        <v>2</v>
      </c>
      <c r="H2187">
        <v>3</v>
      </c>
      <c r="N2187">
        <v>9</v>
      </c>
      <c r="W2187" s="47"/>
    </row>
    <row r="2188" spans="1:23">
      <c r="A2188">
        <v>3770593475</v>
      </c>
      <c r="B2188">
        <v>57240262</v>
      </c>
      <c r="C2188" s="36" t="s">
        <v>2485</v>
      </c>
      <c r="D2188" s="37">
        <v>42053.152939814812</v>
      </c>
      <c r="E2188" s="37">
        <v>42053.164872685185</v>
      </c>
      <c r="F2188">
        <v>1</v>
      </c>
      <c r="O2188">
        <v>10</v>
      </c>
      <c r="V2188" s="42" t="s">
        <v>3430</v>
      </c>
      <c r="W2188" s="47">
        <v>15</v>
      </c>
    </row>
    <row r="2189" spans="1:23" hidden="1">
      <c r="A2189">
        <v>3771461852</v>
      </c>
      <c r="B2189">
        <v>57240262</v>
      </c>
      <c r="C2189" s="36" t="s">
        <v>2486</v>
      </c>
      <c r="D2189" s="37">
        <v>42053.453530092593</v>
      </c>
      <c r="E2189" s="37">
        <v>42053.457905092589</v>
      </c>
      <c r="G2189">
        <v>2</v>
      </c>
      <c r="W2189" s="47"/>
    </row>
    <row r="2190" spans="1:23">
      <c r="A2190">
        <v>3771807514</v>
      </c>
      <c r="B2190">
        <v>57240262</v>
      </c>
      <c r="C2190" s="36" t="s">
        <v>2487</v>
      </c>
      <c r="D2190" s="37">
        <v>42053.541319444441</v>
      </c>
      <c r="E2190" s="37">
        <v>42053.554606481484</v>
      </c>
      <c r="K2190">
        <v>6</v>
      </c>
      <c r="M2190">
        <v>8</v>
      </c>
      <c r="S2190">
        <v>14</v>
      </c>
      <c r="V2190" s="42" t="s">
        <v>96</v>
      </c>
      <c r="W2190" s="47">
        <v>8</v>
      </c>
    </row>
    <row r="2191" spans="1:23" hidden="1">
      <c r="A2191">
        <v>3772276759</v>
      </c>
      <c r="B2191">
        <v>57240262</v>
      </c>
      <c r="C2191" s="36" t="s">
        <v>2488</v>
      </c>
      <c r="D2191" s="37">
        <v>42053.629745370374</v>
      </c>
      <c r="E2191" s="37">
        <v>42053.636886574073</v>
      </c>
      <c r="K2191">
        <v>6</v>
      </c>
      <c r="W2191" s="47"/>
    </row>
    <row r="2192" spans="1:23" hidden="1">
      <c r="A2192">
        <v>3772320494</v>
      </c>
      <c r="B2192">
        <v>57240262</v>
      </c>
      <c r="C2192" s="36" t="s">
        <v>2489</v>
      </c>
      <c r="D2192" s="37">
        <v>42053.637407407405</v>
      </c>
      <c r="E2192" s="37">
        <v>42053.646307870367</v>
      </c>
      <c r="F2192">
        <v>1</v>
      </c>
      <c r="K2192">
        <v>6</v>
      </c>
      <c r="W2192" s="47"/>
    </row>
    <row r="2193" spans="1:23" hidden="1">
      <c r="A2193">
        <v>3772614050</v>
      </c>
      <c r="B2193">
        <v>57240262</v>
      </c>
      <c r="C2193" s="36" t="s">
        <v>2490</v>
      </c>
      <c r="D2193" s="37">
        <v>42053.689363425925</v>
      </c>
      <c r="E2193" s="37">
        <v>42053.692071759258</v>
      </c>
      <c r="F2193">
        <v>1</v>
      </c>
      <c r="W2193" s="47"/>
    </row>
    <row r="2194" spans="1:23">
      <c r="A2194">
        <v>3772867384</v>
      </c>
      <c r="B2194">
        <v>57240262</v>
      </c>
      <c r="C2194" s="36" t="s">
        <v>2491</v>
      </c>
      <c r="D2194" s="37">
        <v>42053.730439814812</v>
      </c>
      <c r="E2194" s="37">
        <v>42053.737129629626</v>
      </c>
      <c r="K2194">
        <v>6</v>
      </c>
      <c r="Q2194">
        <v>12</v>
      </c>
      <c r="V2194" s="42" t="s">
        <v>3431</v>
      </c>
      <c r="W2194" s="47">
        <v>6</v>
      </c>
    </row>
    <row r="2195" spans="1:23" hidden="1">
      <c r="A2195">
        <v>3772946542</v>
      </c>
      <c r="B2195">
        <v>57240262</v>
      </c>
      <c r="C2195" s="36" t="s">
        <v>2492</v>
      </c>
      <c r="D2195" s="37">
        <v>42053.744363425925</v>
      </c>
      <c r="E2195" s="37">
        <v>42053.74627314815</v>
      </c>
      <c r="H2195">
        <v>3</v>
      </c>
      <c r="W2195" s="47"/>
    </row>
    <row r="2196" spans="1:23">
      <c r="A2196">
        <v>3772957615</v>
      </c>
      <c r="B2196">
        <v>57240262</v>
      </c>
      <c r="C2196" s="36" t="s">
        <v>2493</v>
      </c>
      <c r="D2196" s="37">
        <v>42053.744363425925</v>
      </c>
      <c r="E2196" s="37">
        <v>42053.7499537037</v>
      </c>
      <c r="H2196">
        <v>3</v>
      </c>
      <c r="P2196">
        <v>11</v>
      </c>
      <c r="S2196">
        <v>14</v>
      </c>
      <c r="V2196" s="42" t="s">
        <v>3432</v>
      </c>
      <c r="W2196" s="47">
        <v>11</v>
      </c>
    </row>
    <row r="2197" spans="1:23" hidden="1">
      <c r="A2197">
        <v>3773092498</v>
      </c>
      <c r="B2197">
        <v>57240262</v>
      </c>
      <c r="C2197" s="36" t="s">
        <v>2494</v>
      </c>
      <c r="D2197" s="37">
        <v>42053.771655092591</v>
      </c>
      <c r="E2197" s="37">
        <v>42053.778541666667</v>
      </c>
      <c r="I2197">
        <v>4</v>
      </c>
      <c r="M2197">
        <v>8</v>
      </c>
      <c r="W2197" s="47"/>
    </row>
    <row r="2198" spans="1:23" hidden="1">
      <c r="A2198">
        <v>3775101296</v>
      </c>
      <c r="B2198">
        <v>57240262</v>
      </c>
      <c r="C2198" s="36" t="s">
        <v>2495</v>
      </c>
      <c r="D2198" s="37">
        <v>42054.316817129627</v>
      </c>
      <c r="E2198" s="37">
        <v>42054.320601851854</v>
      </c>
      <c r="M2198">
        <v>8</v>
      </c>
      <c r="W2198" s="47"/>
    </row>
    <row r="2199" spans="1:23" hidden="1">
      <c r="A2199">
        <v>3775212770</v>
      </c>
      <c r="B2199">
        <v>57240262</v>
      </c>
      <c r="C2199" s="36" t="s">
        <v>2496</v>
      </c>
      <c r="D2199" s="37">
        <v>42054.350729166668</v>
      </c>
      <c r="E2199" s="37">
        <v>42054.353541666664</v>
      </c>
      <c r="P2199">
        <v>11</v>
      </c>
      <c r="W2199" s="47"/>
    </row>
    <row r="2200" spans="1:23" hidden="1">
      <c r="A2200">
        <v>3775318403</v>
      </c>
      <c r="B2200">
        <v>57240262</v>
      </c>
      <c r="C2200" s="36" t="s">
        <v>2497</v>
      </c>
      <c r="D2200" s="37">
        <v>42054.380509259259</v>
      </c>
      <c r="E2200" s="37">
        <v>42054.387141203704</v>
      </c>
      <c r="I2200">
        <v>4</v>
      </c>
      <c r="W2200" s="47"/>
    </row>
    <row r="2201" spans="1:23" hidden="1">
      <c r="A2201">
        <v>3775452602</v>
      </c>
      <c r="B2201">
        <v>57240262</v>
      </c>
      <c r="C2201" s="36" t="s">
        <v>2498</v>
      </c>
      <c r="D2201" s="37">
        <v>42054.416597222225</v>
      </c>
      <c r="E2201" s="37">
        <v>42054.421782407408</v>
      </c>
      <c r="M2201">
        <v>8</v>
      </c>
      <c r="W2201" s="47"/>
    </row>
    <row r="2202" spans="1:23" hidden="1">
      <c r="A2202">
        <v>3775566894</v>
      </c>
      <c r="B2202">
        <v>57240262</v>
      </c>
      <c r="C2202" s="36" t="s">
        <v>2499</v>
      </c>
      <c r="D2202" s="37">
        <v>42054.447627314818</v>
      </c>
      <c r="E2202" s="37">
        <v>42054.448784722219</v>
      </c>
      <c r="W2202" s="47"/>
    </row>
    <row r="2203" spans="1:23" hidden="1">
      <c r="A2203">
        <v>3775980321</v>
      </c>
      <c r="B2203">
        <v>57240262</v>
      </c>
      <c r="C2203" s="36" t="s">
        <v>2500</v>
      </c>
      <c r="D2203" s="37">
        <v>42054.545717592591</v>
      </c>
      <c r="E2203" s="37">
        <v>42054.554803240739</v>
      </c>
      <c r="G2203">
        <v>2</v>
      </c>
      <c r="W2203" s="47"/>
    </row>
    <row r="2204" spans="1:23" hidden="1">
      <c r="A2204">
        <v>3776081963</v>
      </c>
      <c r="B2204">
        <v>57240262</v>
      </c>
      <c r="C2204" s="36" t="s">
        <v>2501</v>
      </c>
      <c r="D2204" s="37">
        <v>42054.565381944441</v>
      </c>
      <c r="E2204" s="37">
        <v>42054.571145833332</v>
      </c>
      <c r="K2204">
        <v>6</v>
      </c>
      <c r="W2204" s="47"/>
    </row>
    <row r="2205" spans="1:23" hidden="1">
      <c r="A2205">
        <v>3776145848</v>
      </c>
      <c r="B2205">
        <v>57240262</v>
      </c>
      <c r="C2205" s="36" t="s">
        <v>2502</v>
      </c>
      <c r="D2205" s="37">
        <v>42054.57607638889</v>
      </c>
      <c r="E2205" s="37">
        <v>42054.581377314818</v>
      </c>
      <c r="F2205">
        <v>1</v>
      </c>
      <c r="H2205">
        <v>3</v>
      </c>
      <c r="L2205">
        <v>7</v>
      </c>
      <c r="W2205" s="47"/>
    </row>
    <row r="2206" spans="1:23" hidden="1">
      <c r="A2206">
        <v>3779634892</v>
      </c>
      <c r="B2206">
        <v>57240262</v>
      </c>
      <c r="C2206" s="36" t="s">
        <v>2503</v>
      </c>
      <c r="D2206" s="37">
        <v>42055.307199074072</v>
      </c>
      <c r="E2206" s="37">
        <v>42055.308622685188</v>
      </c>
      <c r="K2206">
        <v>6</v>
      </c>
      <c r="M2206">
        <v>8</v>
      </c>
      <c r="W2206" s="47"/>
    </row>
    <row r="2207" spans="1:23" hidden="1">
      <c r="A2207">
        <v>3779699509</v>
      </c>
      <c r="B2207">
        <v>57240262</v>
      </c>
      <c r="C2207" s="36" t="s">
        <v>2504</v>
      </c>
      <c r="D2207" s="37">
        <v>42055.325520833336</v>
      </c>
      <c r="E2207" s="37">
        <v>42055.328657407408</v>
      </c>
      <c r="U2207">
        <v>16</v>
      </c>
      <c r="W2207" s="47"/>
    </row>
    <row r="2208" spans="1:23" hidden="1">
      <c r="A2208">
        <v>3779765045</v>
      </c>
      <c r="B2208">
        <v>57240262</v>
      </c>
      <c r="C2208" s="36" t="s">
        <v>2505</v>
      </c>
      <c r="D2208" s="37">
        <v>42055.345023148147</v>
      </c>
      <c r="E2208" s="37">
        <v>42055.349050925928</v>
      </c>
      <c r="K2208">
        <v>6</v>
      </c>
      <c r="W2208" s="47"/>
    </row>
    <row r="2209" spans="1:23" hidden="1">
      <c r="A2209">
        <v>3779783113</v>
      </c>
      <c r="B2209">
        <v>57240262</v>
      </c>
      <c r="C2209" s="36" t="s">
        <v>2506</v>
      </c>
      <c r="D2209" s="37">
        <v>42055.350844907407</v>
      </c>
      <c r="E2209" s="37">
        <v>42055.356064814812</v>
      </c>
      <c r="U2209">
        <v>16</v>
      </c>
      <c r="W2209" s="47"/>
    </row>
    <row r="2210" spans="1:23" hidden="1">
      <c r="A2210">
        <v>3779966265</v>
      </c>
      <c r="B2210">
        <v>57240262</v>
      </c>
      <c r="C2210" s="36" t="s">
        <v>2507</v>
      </c>
      <c r="D2210" s="37">
        <v>42055.405127314814</v>
      </c>
      <c r="E2210" s="37">
        <v>42055.410937499997</v>
      </c>
      <c r="U2210">
        <v>16</v>
      </c>
      <c r="W2210" s="47"/>
    </row>
    <row r="2211" spans="1:23" hidden="1">
      <c r="A2211">
        <v>3780166303</v>
      </c>
      <c r="B2211">
        <v>57240262</v>
      </c>
      <c r="C2211" s="36" t="s">
        <v>2508</v>
      </c>
      <c r="D2211" s="37">
        <v>42055.452534722222</v>
      </c>
      <c r="E2211" s="37">
        <v>42055.456770833334</v>
      </c>
      <c r="K2211">
        <v>6</v>
      </c>
      <c r="W2211" s="47"/>
    </row>
    <row r="2212" spans="1:23" hidden="1">
      <c r="A2212">
        <v>3780209970</v>
      </c>
      <c r="B2212">
        <v>57240262</v>
      </c>
      <c r="C2212" s="36" t="s">
        <v>2509</v>
      </c>
      <c r="D2212" s="37">
        <v>42055.462407407409</v>
      </c>
      <c r="E2212" s="37">
        <v>42055.467743055553</v>
      </c>
      <c r="U2212">
        <v>16</v>
      </c>
      <c r="W2212" s="47"/>
    </row>
    <row r="2213" spans="1:23" hidden="1">
      <c r="A2213">
        <v>3780360066</v>
      </c>
      <c r="B2213">
        <v>57240262</v>
      </c>
      <c r="C2213" s="36" t="s">
        <v>2510</v>
      </c>
      <c r="D2213" s="37">
        <v>42055.494537037041</v>
      </c>
      <c r="E2213" s="37">
        <v>42055.502800925926</v>
      </c>
      <c r="Q2213">
        <v>12</v>
      </c>
      <c r="W2213" s="47"/>
    </row>
    <row r="2214" spans="1:23" hidden="1">
      <c r="A2214">
        <v>3780481014</v>
      </c>
      <c r="B2214">
        <v>57240262</v>
      </c>
      <c r="C2214" s="36" t="s">
        <v>2511</v>
      </c>
      <c r="D2214" s="37">
        <v>42055.518043981479</v>
      </c>
      <c r="E2214" s="37">
        <v>42055.522546296299</v>
      </c>
      <c r="F2214">
        <v>1</v>
      </c>
      <c r="I2214">
        <v>4</v>
      </c>
      <c r="O2214">
        <v>10</v>
      </c>
      <c r="W2214" s="47"/>
    </row>
    <row r="2215" spans="1:23" hidden="1">
      <c r="A2215">
        <v>3780529833</v>
      </c>
      <c r="B2215">
        <v>57240262</v>
      </c>
      <c r="C2215" s="36" t="s">
        <v>2512</v>
      </c>
      <c r="D2215" s="37">
        <v>42055.528148148151</v>
      </c>
      <c r="E2215" s="37">
        <v>42055.52925925926</v>
      </c>
      <c r="U2215">
        <v>16</v>
      </c>
      <c r="W2215" s="47"/>
    </row>
    <row r="2216" spans="1:23" hidden="1">
      <c r="A2216">
        <v>3780678611</v>
      </c>
      <c r="B2216">
        <v>57240262</v>
      </c>
      <c r="C2216" s="36" t="s">
        <v>2513</v>
      </c>
      <c r="D2216" s="37">
        <v>42055.550844907404</v>
      </c>
      <c r="E2216" s="37">
        <v>42055.554664351854</v>
      </c>
      <c r="K2216">
        <v>6</v>
      </c>
      <c r="O2216">
        <v>10</v>
      </c>
      <c r="W2216" s="47"/>
    </row>
    <row r="2217" spans="1:23">
      <c r="A2217">
        <v>3780995387</v>
      </c>
      <c r="B2217">
        <v>57240262</v>
      </c>
      <c r="C2217" s="36" t="s">
        <v>2514</v>
      </c>
      <c r="D2217" s="37">
        <v>42055.586550925924</v>
      </c>
      <c r="E2217" s="37">
        <v>42055.595046296294</v>
      </c>
      <c r="G2217">
        <v>2</v>
      </c>
      <c r="H2217">
        <v>3</v>
      </c>
      <c r="V2217" s="42" t="s">
        <v>3433</v>
      </c>
      <c r="W2217" s="47">
        <v>2</v>
      </c>
    </row>
    <row r="2218" spans="1:23" hidden="1">
      <c r="A2218">
        <v>3781753096</v>
      </c>
      <c r="B2218">
        <v>57240262</v>
      </c>
      <c r="C2218" s="36" t="s">
        <v>2515</v>
      </c>
      <c r="D2218" s="37">
        <v>42055.648576388892</v>
      </c>
      <c r="E2218" s="37">
        <v>42055.652870370373</v>
      </c>
      <c r="I2218">
        <v>4</v>
      </c>
      <c r="P2218">
        <v>11</v>
      </c>
      <c r="W2218" s="47"/>
    </row>
    <row r="2219" spans="1:23" hidden="1">
      <c r="A2219">
        <v>3783691900</v>
      </c>
      <c r="B2219">
        <v>57240262</v>
      </c>
      <c r="C2219" s="36" t="s">
        <v>2516</v>
      </c>
      <c r="D2219" s="37">
        <v>42055.851875</v>
      </c>
      <c r="E2219" s="37">
        <v>42055.853171296294</v>
      </c>
      <c r="M2219">
        <v>8</v>
      </c>
      <c r="Q2219">
        <v>12</v>
      </c>
      <c r="W2219" s="47"/>
    </row>
    <row r="2220" spans="1:23" hidden="1">
      <c r="A2220">
        <v>3783750679</v>
      </c>
      <c r="B2220">
        <v>57240262</v>
      </c>
      <c r="C2220" s="36" t="s">
        <v>2517</v>
      </c>
      <c r="D2220" s="37">
        <v>42055.872847222221</v>
      </c>
      <c r="E2220" s="37">
        <v>42055.8753125</v>
      </c>
      <c r="F2220">
        <v>1</v>
      </c>
      <c r="W2220" s="47"/>
    </row>
    <row r="2221" spans="1:23" hidden="1">
      <c r="A2221">
        <v>3783773273</v>
      </c>
      <c r="B2221">
        <v>57240262</v>
      </c>
      <c r="C2221" s="36" t="s">
        <v>2518</v>
      </c>
      <c r="D2221" s="37">
        <v>42055.88045138889</v>
      </c>
      <c r="E2221" s="37">
        <v>42055.884502314817</v>
      </c>
      <c r="S2221">
        <v>14</v>
      </c>
      <c r="W2221" s="47"/>
    </row>
    <row r="2222" spans="1:23">
      <c r="A2222">
        <v>3783774655</v>
      </c>
      <c r="B2222">
        <v>57240262</v>
      </c>
      <c r="C2222" s="36" t="s">
        <v>2519</v>
      </c>
      <c r="D2222" s="37">
        <v>42055.88082175926</v>
      </c>
      <c r="E2222" s="37">
        <v>42055.887789351851</v>
      </c>
      <c r="F2222">
        <v>1</v>
      </c>
      <c r="G2222">
        <v>2</v>
      </c>
      <c r="O2222">
        <v>10</v>
      </c>
      <c r="V2222" s="42" t="s">
        <v>95</v>
      </c>
      <c r="W2222" s="47">
        <v>2</v>
      </c>
    </row>
    <row r="2223" spans="1:23" ht="24">
      <c r="A2223">
        <v>3783776437</v>
      </c>
      <c r="B2223">
        <v>57240262</v>
      </c>
      <c r="C2223" s="36" t="s">
        <v>2520</v>
      </c>
      <c r="D2223" s="37">
        <v>42055.881365740737</v>
      </c>
      <c r="E2223" s="37">
        <v>42055.88789351852</v>
      </c>
      <c r="F2223">
        <v>1</v>
      </c>
      <c r="G2223">
        <v>2</v>
      </c>
      <c r="H2223">
        <v>3</v>
      </c>
      <c r="K2223">
        <v>6</v>
      </c>
      <c r="M2223">
        <v>8</v>
      </c>
      <c r="O2223">
        <v>10</v>
      </c>
      <c r="Q2223">
        <v>12</v>
      </c>
      <c r="V2223" s="42" t="s">
        <v>3434</v>
      </c>
      <c r="W2223" s="47">
        <v>12</v>
      </c>
    </row>
    <row r="2224" spans="1:23" ht="24">
      <c r="A2224">
        <v>3783777826</v>
      </c>
      <c r="B2224">
        <v>57240262</v>
      </c>
      <c r="C2224" s="36" t="s">
        <v>2521</v>
      </c>
      <c r="D2224" s="37">
        <v>42055.881655092591</v>
      </c>
      <c r="E2224" s="37">
        <v>42055.888368055559</v>
      </c>
      <c r="F2224">
        <v>1</v>
      </c>
      <c r="G2224">
        <v>2</v>
      </c>
      <c r="O2224">
        <v>10</v>
      </c>
      <c r="V2224" s="42" t="s">
        <v>3435</v>
      </c>
      <c r="W2224" s="47">
        <v>2</v>
      </c>
    </row>
    <row r="2225" spans="1:23">
      <c r="A2225">
        <v>3783779910</v>
      </c>
      <c r="B2225">
        <v>57240262</v>
      </c>
      <c r="C2225" s="36" t="s">
        <v>2522</v>
      </c>
      <c r="D2225" s="37">
        <v>42055.882557870369</v>
      </c>
      <c r="E2225" s="37">
        <v>42055.890914351854</v>
      </c>
      <c r="G2225">
        <v>2</v>
      </c>
      <c r="O2225">
        <v>10</v>
      </c>
      <c r="V2225" s="42" t="s">
        <v>128</v>
      </c>
      <c r="W2225" s="47">
        <v>10</v>
      </c>
    </row>
    <row r="2226" spans="1:23" hidden="1">
      <c r="A2226">
        <v>3783802439</v>
      </c>
      <c r="B2226">
        <v>57240262</v>
      </c>
      <c r="C2226" s="36" t="s">
        <v>2523</v>
      </c>
      <c r="D2226" s="37">
        <v>42055.890613425923</v>
      </c>
      <c r="E2226" s="37">
        <v>42055.893796296295</v>
      </c>
      <c r="U2226">
        <v>16</v>
      </c>
      <c r="W2226" s="47"/>
    </row>
    <row r="2227" spans="1:23" hidden="1">
      <c r="A2227">
        <v>3783821492</v>
      </c>
      <c r="B2227">
        <v>57240262</v>
      </c>
      <c r="C2227" s="36" t="s">
        <v>2524</v>
      </c>
      <c r="D2227" s="37">
        <v>42055.89744212963</v>
      </c>
      <c r="E2227" s="37">
        <v>42055.898020833331</v>
      </c>
      <c r="W2227" s="47"/>
    </row>
    <row r="2228" spans="1:23">
      <c r="A2228">
        <v>3783969138</v>
      </c>
      <c r="B2228">
        <v>57240262</v>
      </c>
      <c r="C2228" s="36" t="s">
        <v>2525</v>
      </c>
      <c r="D2228" s="37">
        <v>42055.958819444444</v>
      </c>
      <c r="E2228" s="37">
        <v>42055.978344907409</v>
      </c>
      <c r="G2228">
        <v>2</v>
      </c>
      <c r="I2228">
        <v>4</v>
      </c>
      <c r="K2228">
        <v>6</v>
      </c>
      <c r="O2228">
        <v>10</v>
      </c>
      <c r="V2228" s="42" t="s">
        <v>3436</v>
      </c>
      <c r="W2228" s="47">
        <v>10</v>
      </c>
    </row>
    <row r="2229" spans="1:23" ht="24">
      <c r="A2229">
        <v>3784111536</v>
      </c>
      <c r="B2229">
        <v>57240262</v>
      </c>
      <c r="C2229" s="36" t="s">
        <v>2526</v>
      </c>
      <c r="D2229" s="37">
        <v>42056.044930555552</v>
      </c>
      <c r="E2229" s="37">
        <v>42056.148680555554</v>
      </c>
      <c r="G2229">
        <v>2</v>
      </c>
      <c r="M2229">
        <v>8</v>
      </c>
      <c r="V2229" s="42" t="s">
        <v>3437</v>
      </c>
      <c r="W2229" s="47">
        <v>2</v>
      </c>
    </row>
    <row r="2230" spans="1:23" hidden="1">
      <c r="A2230">
        <v>3784158935</v>
      </c>
      <c r="B2230">
        <v>57240262</v>
      </c>
      <c r="C2230" s="36" t="s">
        <v>2527</v>
      </c>
      <c r="D2230" s="37">
        <v>42056.08253472222</v>
      </c>
      <c r="E2230" s="37">
        <v>42056.324317129627</v>
      </c>
      <c r="F2230">
        <v>1</v>
      </c>
      <c r="K2230">
        <v>6</v>
      </c>
      <c r="W2230" s="47"/>
    </row>
    <row r="2231" spans="1:23" hidden="1">
      <c r="A2231">
        <v>3784373806</v>
      </c>
      <c r="B2231">
        <v>57240262</v>
      </c>
      <c r="C2231" s="36" t="s">
        <v>2528</v>
      </c>
      <c r="D2231" s="37">
        <v>42056.343634259261</v>
      </c>
      <c r="E2231" s="37">
        <v>42056.34915509259</v>
      </c>
      <c r="F2231">
        <v>1</v>
      </c>
      <c r="G2231">
        <v>2</v>
      </c>
      <c r="W2231" s="47"/>
    </row>
    <row r="2232" spans="1:23" hidden="1">
      <c r="A2232">
        <v>3784379577</v>
      </c>
      <c r="B2232">
        <v>57240262</v>
      </c>
      <c r="C2232" s="36" t="s">
        <v>2529</v>
      </c>
      <c r="D2232" s="37">
        <v>42056.351504629631</v>
      </c>
      <c r="E2232" s="37">
        <v>42056.354641203703</v>
      </c>
      <c r="G2232">
        <v>2</v>
      </c>
      <c r="O2232">
        <v>10</v>
      </c>
      <c r="W2232" s="47"/>
    </row>
    <row r="2233" spans="1:23" ht="24">
      <c r="A2233">
        <v>3784374012</v>
      </c>
      <c r="B2233">
        <v>57240262</v>
      </c>
      <c r="C2233" s="36" t="s">
        <v>2530</v>
      </c>
      <c r="D2233" s="37">
        <v>42056.343935185185</v>
      </c>
      <c r="E2233" s="37">
        <v>42056.356585648151</v>
      </c>
      <c r="G2233">
        <v>2</v>
      </c>
      <c r="V2233" s="42" t="s">
        <v>3438</v>
      </c>
      <c r="W2233" s="47">
        <v>9</v>
      </c>
    </row>
    <row r="2234" spans="1:23">
      <c r="A2234">
        <v>3784380911</v>
      </c>
      <c r="B2234">
        <v>57240262</v>
      </c>
      <c r="C2234" s="36" t="s">
        <v>2531</v>
      </c>
      <c r="D2234" s="37">
        <v>42056.353368055556</v>
      </c>
      <c r="E2234" s="37">
        <v>42056.362256944441</v>
      </c>
      <c r="G2234">
        <v>2</v>
      </c>
      <c r="M2234">
        <v>8</v>
      </c>
      <c r="O2234">
        <v>10</v>
      </c>
      <c r="P2234">
        <v>11</v>
      </c>
      <c r="V2234" s="42" t="s">
        <v>30</v>
      </c>
      <c r="W2234" s="47">
        <v>2</v>
      </c>
    </row>
    <row r="2235" spans="1:23" hidden="1">
      <c r="A2235">
        <v>3784390309</v>
      </c>
      <c r="B2235">
        <v>57240262</v>
      </c>
      <c r="C2235" s="36" t="s">
        <v>2532</v>
      </c>
      <c r="D2235" s="37">
        <v>42056.365740740737</v>
      </c>
      <c r="E2235" s="37">
        <v>42056.369293981479</v>
      </c>
      <c r="U2235">
        <v>16</v>
      </c>
      <c r="W2235" s="47"/>
    </row>
    <row r="2236" spans="1:23" hidden="1">
      <c r="A2236">
        <v>3784424846</v>
      </c>
      <c r="B2236">
        <v>57240262</v>
      </c>
      <c r="C2236" s="36" t="s">
        <v>2533</v>
      </c>
      <c r="D2236" s="37">
        <v>42056.411539351851</v>
      </c>
      <c r="E2236" s="37">
        <v>42056.417303240742</v>
      </c>
      <c r="G2236">
        <v>2</v>
      </c>
      <c r="J2236">
        <v>5</v>
      </c>
      <c r="K2236">
        <v>6</v>
      </c>
      <c r="O2236">
        <v>10</v>
      </c>
      <c r="W2236" s="47"/>
    </row>
    <row r="2237" spans="1:23" hidden="1">
      <c r="A2237">
        <v>3784456214</v>
      </c>
      <c r="B2237">
        <v>57240262</v>
      </c>
      <c r="C2237" s="36" t="s">
        <v>2534</v>
      </c>
      <c r="D2237" s="37">
        <v>42056.450358796297</v>
      </c>
      <c r="E2237" s="37">
        <v>42056.454710648148</v>
      </c>
      <c r="N2237">
        <v>9</v>
      </c>
      <c r="W2237" s="47"/>
    </row>
    <row r="2238" spans="1:23" hidden="1">
      <c r="A2238">
        <v>3784505264</v>
      </c>
      <c r="B2238">
        <v>57240262</v>
      </c>
      <c r="C2238" s="36" t="s">
        <v>2535</v>
      </c>
      <c r="D2238" s="37">
        <v>42056.494583333333</v>
      </c>
      <c r="E2238" s="37">
        <v>42056.508796296293</v>
      </c>
      <c r="F2238">
        <v>1</v>
      </c>
      <c r="G2238">
        <v>2</v>
      </c>
      <c r="I2238">
        <v>4</v>
      </c>
      <c r="J2238">
        <v>5</v>
      </c>
      <c r="K2238">
        <v>6</v>
      </c>
      <c r="Q2238">
        <v>12</v>
      </c>
      <c r="W2238" s="47"/>
    </row>
    <row r="2239" spans="1:23" hidden="1">
      <c r="A2239">
        <v>3784611780</v>
      </c>
      <c r="B2239">
        <v>57240262</v>
      </c>
      <c r="C2239" s="36" t="s">
        <v>2536</v>
      </c>
      <c r="D2239" s="37">
        <v>42056.590127314812</v>
      </c>
      <c r="E2239" s="37">
        <v>42056.594594907408</v>
      </c>
      <c r="U2239">
        <v>16</v>
      </c>
      <c r="W2239" s="47"/>
    </row>
    <row r="2240" spans="1:23" hidden="1">
      <c r="A2240">
        <v>3784648873</v>
      </c>
      <c r="B2240">
        <v>57240262</v>
      </c>
      <c r="C2240" s="36" t="s">
        <v>2537</v>
      </c>
      <c r="D2240" s="37">
        <v>42056.618923611109</v>
      </c>
      <c r="E2240" s="37">
        <v>42056.623749999999</v>
      </c>
      <c r="U2240">
        <v>16</v>
      </c>
      <c r="W2240" s="47"/>
    </row>
    <row r="2241" spans="1:23" hidden="1">
      <c r="A2241">
        <v>3784664887</v>
      </c>
      <c r="B2241">
        <v>57240262</v>
      </c>
      <c r="C2241" s="36" t="s">
        <v>2538</v>
      </c>
      <c r="D2241" s="37">
        <v>42056.631469907406</v>
      </c>
      <c r="E2241" s="37">
        <v>42056.639178240737</v>
      </c>
      <c r="O2241">
        <v>10</v>
      </c>
      <c r="W2241" s="47"/>
    </row>
    <row r="2242" spans="1:23" hidden="1">
      <c r="A2242">
        <v>3784749579</v>
      </c>
      <c r="B2242">
        <v>57240262</v>
      </c>
      <c r="C2242" s="36" t="s">
        <v>2539</v>
      </c>
      <c r="D2242" s="37">
        <v>42056.691874999997</v>
      </c>
      <c r="E2242" s="37">
        <v>42056.69326388889</v>
      </c>
      <c r="F2242">
        <v>1</v>
      </c>
      <c r="G2242">
        <v>2</v>
      </c>
      <c r="W2242" s="47"/>
    </row>
    <row r="2243" spans="1:23" hidden="1">
      <c r="A2243">
        <v>3784913817</v>
      </c>
      <c r="B2243">
        <v>57240262</v>
      </c>
      <c r="C2243" s="36" t="s">
        <v>2540</v>
      </c>
      <c r="D2243" s="37">
        <v>42056.819363425922</v>
      </c>
      <c r="E2243" s="37">
        <v>42056.823171296295</v>
      </c>
      <c r="U2243">
        <v>16</v>
      </c>
      <c r="W2243" s="47"/>
    </row>
    <row r="2244" spans="1:23" hidden="1">
      <c r="A2244">
        <v>3784926190</v>
      </c>
      <c r="B2244">
        <v>57240262</v>
      </c>
      <c r="C2244" s="36" t="s">
        <v>2541</v>
      </c>
      <c r="D2244" s="37">
        <v>42056.829108796293</v>
      </c>
      <c r="E2244" s="37">
        <v>42056.833854166667</v>
      </c>
      <c r="G2244">
        <v>2</v>
      </c>
      <c r="W2244" s="47"/>
    </row>
    <row r="2245" spans="1:23" hidden="1">
      <c r="A2245">
        <v>3784933669</v>
      </c>
      <c r="B2245">
        <v>57240262</v>
      </c>
      <c r="C2245" s="36" t="s">
        <v>2542</v>
      </c>
      <c r="D2245" s="37">
        <v>42056.836412037039</v>
      </c>
      <c r="E2245" s="37">
        <v>42056.841423611113</v>
      </c>
      <c r="F2245">
        <v>1</v>
      </c>
      <c r="G2245">
        <v>2</v>
      </c>
      <c r="O2245">
        <v>10</v>
      </c>
      <c r="W2245" s="47"/>
    </row>
    <row r="2246" spans="1:23" hidden="1">
      <c r="A2246">
        <v>3784940257</v>
      </c>
      <c r="B2246">
        <v>57240262</v>
      </c>
      <c r="C2246" s="36" t="s">
        <v>2543</v>
      </c>
      <c r="D2246" s="37">
        <v>42056.841967592591</v>
      </c>
      <c r="E2246" s="37">
        <v>42056.848819444444</v>
      </c>
      <c r="F2246">
        <v>1</v>
      </c>
      <c r="N2246">
        <v>9</v>
      </c>
      <c r="W2246" s="47"/>
    </row>
    <row r="2247" spans="1:23" hidden="1">
      <c r="A2247">
        <v>3784950885</v>
      </c>
      <c r="B2247">
        <v>57240262</v>
      </c>
      <c r="C2247" s="36" t="s">
        <v>2544</v>
      </c>
      <c r="D2247" s="37">
        <v>42056.85119212963</v>
      </c>
      <c r="E2247" s="37">
        <v>42056.852314814816</v>
      </c>
      <c r="W2247" s="47"/>
    </row>
    <row r="2248" spans="1:23" ht="14">
      <c r="A2248">
        <v>3784941556</v>
      </c>
      <c r="B2248">
        <v>57240262</v>
      </c>
      <c r="C2248" s="36" t="s">
        <v>2545</v>
      </c>
      <c r="D2248" s="37">
        <v>42056.843368055554</v>
      </c>
      <c r="E2248" s="37">
        <v>42056.853726851848</v>
      </c>
      <c r="O2248">
        <v>10</v>
      </c>
      <c r="P2248">
        <v>11</v>
      </c>
      <c r="Q2248">
        <v>12</v>
      </c>
      <c r="S2248">
        <v>14</v>
      </c>
      <c r="V2248" s="73" t="s">
        <v>3563</v>
      </c>
      <c r="W2248" s="47">
        <v>14</v>
      </c>
    </row>
    <row r="2249" spans="1:23" hidden="1">
      <c r="A2249">
        <v>3784961233</v>
      </c>
      <c r="B2249">
        <v>57240262</v>
      </c>
      <c r="C2249" s="36" t="s">
        <v>2546</v>
      </c>
      <c r="D2249" s="37">
        <v>42056.860648148147</v>
      </c>
      <c r="E2249" s="37">
        <v>42056.87090277778</v>
      </c>
      <c r="I2249">
        <v>4</v>
      </c>
      <c r="W2249" s="47"/>
    </row>
    <row r="2250" spans="1:23" hidden="1">
      <c r="A2250">
        <v>3784977129</v>
      </c>
      <c r="B2250">
        <v>57240262</v>
      </c>
      <c r="C2250" s="36" t="s">
        <v>2547</v>
      </c>
      <c r="D2250" s="37">
        <v>42056.875057870369</v>
      </c>
      <c r="E2250" s="37">
        <v>42056.88</v>
      </c>
      <c r="U2250">
        <v>16</v>
      </c>
      <c r="W2250" s="47"/>
    </row>
    <row r="2251" spans="1:23" hidden="1">
      <c r="A2251">
        <v>3784985097</v>
      </c>
      <c r="B2251">
        <v>57240262</v>
      </c>
      <c r="C2251" s="36" t="s">
        <v>2548</v>
      </c>
      <c r="D2251" s="37">
        <v>42056.882013888891</v>
      </c>
      <c r="E2251" s="37">
        <v>42056.886307870373</v>
      </c>
      <c r="U2251">
        <v>16</v>
      </c>
      <c r="W2251" s="47"/>
    </row>
    <row r="2252" spans="1:23" ht="24">
      <c r="A2252">
        <v>3785078819</v>
      </c>
      <c r="B2252">
        <v>57240262</v>
      </c>
      <c r="C2252" s="36" t="s">
        <v>2549</v>
      </c>
      <c r="D2252" s="37">
        <v>42056.9768287037</v>
      </c>
      <c r="E2252" s="37">
        <v>42056.98883101852</v>
      </c>
      <c r="J2252">
        <v>5</v>
      </c>
      <c r="K2252">
        <v>6</v>
      </c>
      <c r="O2252">
        <v>10</v>
      </c>
      <c r="V2252" s="42" t="s">
        <v>3439</v>
      </c>
      <c r="W2252" s="47">
        <v>5</v>
      </c>
    </row>
    <row r="2253" spans="1:23">
      <c r="A2253">
        <v>3785138736</v>
      </c>
      <c r="B2253">
        <v>57240262</v>
      </c>
      <c r="C2253" s="36" t="s">
        <v>2550</v>
      </c>
      <c r="D2253" s="37">
        <v>42057.050474537034</v>
      </c>
      <c r="E2253" s="37">
        <v>42057.058553240742</v>
      </c>
      <c r="F2253">
        <v>1</v>
      </c>
      <c r="G2253">
        <v>2</v>
      </c>
      <c r="O2253">
        <v>10</v>
      </c>
      <c r="P2253">
        <v>11</v>
      </c>
      <c r="V2253" s="42" t="s">
        <v>3440</v>
      </c>
      <c r="W2253" s="47">
        <v>2</v>
      </c>
    </row>
    <row r="2254" spans="1:23" hidden="1">
      <c r="A2254">
        <v>3785166529</v>
      </c>
      <c r="B2254">
        <v>57240262</v>
      </c>
      <c r="C2254" s="36" t="s">
        <v>2551</v>
      </c>
      <c r="D2254" s="37">
        <v>42057.087627314817</v>
      </c>
      <c r="E2254" s="37">
        <v>42057.102465277778</v>
      </c>
      <c r="F2254">
        <v>1</v>
      </c>
      <c r="G2254">
        <v>2</v>
      </c>
      <c r="K2254">
        <v>6</v>
      </c>
      <c r="M2254">
        <v>8</v>
      </c>
      <c r="N2254">
        <v>9</v>
      </c>
      <c r="O2254">
        <v>10</v>
      </c>
      <c r="Q2254">
        <v>12</v>
      </c>
      <c r="R2254">
        <v>13</v>
      </c>
      <c r="W2254" s="47"/>
    </row>
    <row r="2255" spans="1:23">
      <c r="A2255">
        <v>3785316949</v>
      </c>
      <c r="B2255">
        <v>57240262</v>
      </c>
      <c r="C2255" s="36" t="s">
        <v>2552</v>
      </c>
      <c r="D2255" s="37">
        <v>42057.360937500001</v>
      </c>
      <c r="E2255" s="37">
        <v>42057.369872685187</v>
      </c>
      <c r="G2255">
        <v>2</v>
      </c>
      <c r="O2255">
        <v>10</v>
      </c>
      <c r="V2255" s="42" t="s">
        <v>31</v>
      </c>
      <c r="W2255" s="47">
        <v>2</v>
      </c>
    </row>
    <row r="2256" spans="1:23" hidden="1">
      <c r="A2256">
        <v>3785354665</v>
      </c>
      <c r="B2256">
        <v>57240262</v>
      </c>
      <c r="C2256" s="36" t="s">
        <v>2553</v>
      </c>
      <c r="D2256" s="37">
        <v>42057.418379629627</v>
      </c>
      <c r="E2256" s="37">
        <v>42057.421157407407</v>
      </c>
      <c r="U2256">
        <v>16</v>
      </c>
      <c r="W2256" s="47"/>
    </row>
    <row r="2257" spans="1:23" hidden="1">
      <c r="A2257">
        <v>3785357458</v>
      </c>
      <c r="B2257">
        <v>57240262</v>
      </c>
      <c r="C2257" s="36" t="s">
        <v>2554</v>
      </c>
      <c r="D2257" s="37">
        <v>42057.422303240739</v>
      </c>
      <c r="E2257" s="37">
        <v>42057.42597222222</v>
      </c>
      <c r="K2257">
        <v>6</v>
      </c>
      <c r="W2257" s="47"/>
    </row>
    <row r="2258" spans="1:23" hidden="1">
      <c r="A2258">
        <v>3785355210</v>
      </c>
      <c r="B2258">
        <v>57240262</v>
      </c>
      <c r="C2258" s="36" t="s">
        <v>2555</v>
      </c>
      <c r="D2258" s="37">
        <v>42057.418993055559</v>
      </c>
      <c r="E2258" s="37">
        <v>42057.427604166667</v>
      </c>
      <c r="G2258">
        <v>2</v>
      </c>
      <c r="W2258" s="47"/>
    </row>
    <row r="2259" spans="1:23" hidden="1">
      <c r="A2259">
        <v>3785396859</v>
      </c>
      <c r="B2259">
        <v>57240262</v>
      </c>
      <c r="C2259" s="36" t="s">
        <v>2556</v>
      </c>
      <c r="D2259" s="37">
        <v>42056.928148148145</v>
      </c>
      <c r="E2259" s="37">
        <v>42057.476701388892</v>
      </c>
      <c r="L2259">
        <v>7</v>
      </c>
      <c r="W2259" s="47"/>
    </row>
    <row r="2260" spans="1:23">
      <c r="A2260">
        <v>3785409355</v>
      </c>
      <c r="B2260">
        <v>57240262</v>
      </c>
      <c r="C2260" s="36" t="s">
        <v>2557</v>
      </c>
      <c r="D2260" s="37">
        <v>42057.487939814811</v>
      </c>
      <c r="E2260" s="37">
        <v>42057.491388888891</v>
      </c>
      <c r="K2260">
        <v>6</v>
      </c>
      <c r="N2260">
        <v>9</v>
      </c>
      <c r="V2260" s="42" t="s">
        <v>34</v>
      </c>
      <c r="W2260" s="47">
        <v>6</v>
      </c>
    </row>
    <row r="2261" spans="1:23" hidden="1">
      <c r="A2261">
        <v>3785419649</v>
      </c>
      <c r="B2261">
        <v>57240262</v>
      </c>
      <c r="C2261" s="36" t="s">
        <v>2558</v>
      </c>
      <c r="D2261" s="37">
        <v>42057.500486111108</v>
      </c>
      <c r="E2261" s="37">
        <v>42057.508668981478</v>
      </c>
      <c r="F2261">
        <v>1</v>
      </c>
      <c r="G2261">
        <v>2</v>
      </c>
      <c r="H2261">
        <v>3</v>
      </c>
      <c r="P2261">
        <v>11</v>
      </c>
      <c r="W2261" s="47"/>
    </row>
    <row r="2262" spans="1:23" hidden="1">
      <c r="A2262">
        <v>3785463562</v>
      </c>
      <c r="B2262">
        <v>57240262</v>
      </c>
      <c r="C2262" s="36" t="s">
        <v>2559</v>
      </c>
      <c r="D2262" s="37">
        <v>42057.546099537038</v>
      </c>
      <c r="E2262" s="37">
        <v>42057.551238425927</v>
      </c>
      <c r="G2262">
        <v>2</v>
      </c>
      <c r="O2262">
        <v>10</v>
      </c>
      <c r="W2262" s="47"/>
    </row>
    <row r="2263" spans="1:23" hidden="1">
      <c r="A2263">
        <v>3785564533</v>
      </c>
      <c r="B2263">
        <v>57240262</v>
      </c>
      <c r="C2263" s="36" t="s">
        <v>2560</v>
      </c>
      <c r="D2263" s="37">
        <v>42057.635277777779</v>
      </c>
      <c r="E2263" s="37">
        <v>42057.643009259256</v>
      </c>
      <c r="U2263">
        <v>16</v>
      </c>
      <c r="W2263" s="47"/>
    </row>
    <row r="2264" spans="1:23">
      <c r="A2264">
        <v>3785634760</v>
      </c>
      <c r="B2264">
        <v>57240262</v>
      </c>
      <c r="C2264" s="36" t="s">
        <v>2561</v>
      </c>
      <c r="D2264" s="37">
        <v>42057.693356481483</v>
      </c>
      <c r="E2264" s="37">
        <v>42057.700613425928</v>
      </c>
      <c r="F2264">
        <v>1</v>
      </c>
      <c r="G2264">
        <v>2</v>
      </c>
      <c r="Q2264">
        <v>12</v>
      </c>
      <c r="V2264" s="42" t="s">
        <v>30</v>
      </c>
      <c r="W2264" s="47">
        <v>2</v>
      </c>
    </row>
    <row r="2265" spans="1:23">
      <c r="A2265">
        <v>3785753067</v>
      </c>
      <c r="B2265">
        <v>57240262</v>
      </c>
      <c r="C2265" s="36" t="s">
        <v>2562</v>
      </c>
      <c r="D2265" s="37">
        <v>42057.790381944447</v>
      </c>
      <c r="E2265" s="37">
        <v>42057.801134259258</v>
      </c>
      <c r="F2265">
        <v>1</v>
      </c>
      <c r="G2265">
        <v>2</v>
      </c>
      <c r="H2265">
        <v>3</v>
      </c>
      <c r="K2265">
        <v>6</v>
      </c>
      <c r="M2265">
        <v>8</v>
      </c>
      <c r="O2265">
        <v>10</v>
      </c>
      <c r="Q2265">
        <v>12</v>
      </c>
      <c r="R2265">
        <v>13</v>
      </c>
      <c r="V2265" s="42" t="s">
        <v>3441</v>
      </c>
      <c r="W2265" s="47">
        <v>2</v>
      </c>
    </row>
    <row r="2266" spans="1:23">
      <c r="A2266">
        <v>3786044952</v>
      </c>
      <c r="B2266">
        <v>57240262</v>
      </c>
      <c r="C2266" s="36" t="s">
        <v>2563</v>
      </c>
      <c r="D2266" s="37">
        <v>42058.021493055552</v>
      </c>
      <c r="E2266" s="37">
        <v>42058.026261574072</v>
      </c>
      <c r="F2266">
        <v>1</v>
      </c>
      <c r="K2266">
        <v>6</v>
      </c>
      <c r="V2266" s="42" t="s">
        <v>51</v>
      </c>
      <c r="W2266" s="47">
        <v>6</v>
      </c>
    </row>
    <row r="2267" spans="1:23" hidden="1">
      <c r="A2267">
        <v>3786417488</v>
      </c>
      <c r="B2267">
        <v>57240262</v>
      </c>
      <c r="C2267" s="36" t="s">
        <v>2564</v>
      </c>
      <c r="D2267" s="37">
        <v>42058.353229166663</v>
      </c>
      <c r="E2267" s="37">
        <v>42058.354756944442</v>
      </c>
      <c r="U2267">
        <v>16</v>
      </c>
      <c r="W2267" s="47"/>
    </row>
    <row r="2268" spans="1:23" hidden="1">
      <c r="A2268">
        <v>3786417230</v>
      </c>
      <c r="B2268">
        <v>57240262</v>
      </c>
      <c r="C2268" s="36" t="s">
        <v>2565</v>
      </c>
      <c r="D2268" s="37">
        <v>42058.353043981479</v>
      </c>
      <c r="E2268" s="37">
        <v>42058.357812499999</v>
      </c>
      <c r="F2268">
        <v>1</v>
      </c>
      <c r="G2268">
        <v>2</v>
      </c>
      <c r="N2268">
        <v>9</v>
      </c>
      <c r="Q2268">
        <v>12</v>
      </c>
      <c r="W2268" s="47"/>
    </row>
    <row r="2269" spans="1:23" hidden="1">
      <c r="A2269">
        <v>3786426317</v>
      </c>
      <c r="B2269">
        <v>57240262</v>
      </c>
      <c r="C2269" s="36" t="s">
        <v>2566</v>
      </c>
      <c r="D2269" s="37">
        <v>42058.360381944447</v>
      </c>
      <c r="E2269" s="37">
        <v>42058.362812500003</v>
      </c>
      <c r="U2269">
        <v>16</v>
      </c>
      <c r="W2269" s="47"/>
    </row>
    <row r="2270" spans="1:23">
      <c r="A2270">
        <v>3786475918</v>
      </c>
      <c r="B2270">
        <v>57240262</v>
      </c>
      <c r="C2270" s="36" t="s">
        <v>2567</v>
      </c>
      <c r="D2270" s="37">
        <v>42058.393263888887</v>
      </c>
      <c r="E2270" s="37">
        <v>42058.400937500002</v>
      </c>
      <c r="I2270">
        <v>4</v>
      </c>
      <c r="Q2270">
        <v>12</v>
      </c>
      <c r="V2270" s="42" t="s">
        <v>3442</v>
      </c>
      <c r="W2270" s="47">
        <v>4</v>
      </c>
    </row>
    <row r="2271" spans="1:23" hidden="1">
      <c r="A2271">
        <v>3786479080</v>
      </c>
      <c r="B2271">
        <v>57240262</v>
      </c>
      <c r="C2271" s="36" t="s">
        <v>2568</v>
      </c>
      <c r="D2271" s="37">
        <v>42058.395277777781</v>
      </c>
      <c r="E2271" s="37">
        <v>42058.401712962965</v>
      </c>
      <c r="F2271">
        <v>1</v>
      </c>
      <c r="K2271">
        <v>6</v>
      </c>
      <c r="Q2271">
        <v>12</v>
      </c>
      <c r="W2271" s="47"/>
    </row>
    <row r="2272" spans="1:23" hidden="1">
      <c r="A2272">
        <v>3786480196</v>
      </c>
      <c r="B2272">
        <v>57240262</v>
      </c>
      <c r="C2272" s="36" t="s">
        <v>2569</v>
      </c>
      <c r="D2272" s="37">
        <v>42058.395972222221</v>
      </c>
      <c r="E2272" s="37">
        <v>42058.404710648145</v>
      </c>
      <c r="U2272">
        <v>16</v>
      </c>
      <c r="W2272" s="47"/>
    </row>
    <row r="2273" spans="1:23" hidden="1">
      <c r="A2273">
        <v>3786479325</v>
      </c>
      <c r="B2273">
        <v>57240262</v>
      </c>
      <c r="C2273" s="36" t="s">
        <v>2570</v>
      </c>
      <c r="D2273" s="37">
        <v>42058.395405092589</v>
      </c>
      <c r="E2273" s="37">
        <v>42058.409942129627</v>
      </c>
      <c r="F2273">
        <v>1</v>
      </c>
      <c r="G2273">
        <v>2</v>
      </c>
      <c r="H2273">
        <v>3</v>
      </c>
      <c r="J2273">
        <v>5</v>
      </c>
      <c r="K2273">
        <v>6</v>
      </c>
      <c r="W2273" s="47"/>
    </row>
    <row r="2274" spans="1:23" hidden="1">
      <c r="A2274">
        <v>3786530459</v>
      </c>
      <c r="B2274">
        <v>57240262</v>
      </c>
      <c r="C2274" s="36" t="s">
        <v>2571</v>
      </c>
      <c r="D2274" s="37">
        <v>42058.424849537034</v>
      </c>
      <c r="E2274" s="37">
        <v>42058.425694444442</v>
      </c>
      <c r="U2274">
        <v>16</v>
      </c>
      <c r="W2274" s="47"/>
    </row>
    <row r="2275" spans="1:23" hidden="1">
      <c r="A2275">
        <v>3786529845</v>
      </c>
      <c r="B2275">
        <v>57240262</v>
      </c>
      <c r="C2275" s="36" t="s">
        <v>2572</v>
      </c>
      <c r="D2275" s="37">
        <v>42058.42454861111</v>
      </c>
      <c r="E2275" s="37">
        <v>42058.43172453704</v>
      </c>
      <c r="K2275">
        <v>6</v>
      </c>
      <c r="W2275" s="47"/>
    </row>
    <row r="2276" spans="1:23" hidden="1">
      <c r="A2276">
        <v>3786537861</v>
      </c>
      <c r="B2276">
        <v>57240262</v>
      </c>
      <c r="C2276" s="36" t="s">
        <v>2573</v>
      </c>
      <c r="D2276" s="37">
        <v>42058.42900462963</v>
      </c>
      <c r="E2276" s="37">
        <v>42058.435520833336</v>
      </c>
      <c r="G2276">
        <v>2</v>
      </c>
      <c r="W2276" s="47"/>
    </row>
    <row r="2277" spans="1:23">
      <c r="A2277">
        <v>3786553307</v>
      </c>
      <c r="B2277">
        <v>57240262</v>
      </c>
      <c r="C2277" s="36" t="s">
        <v>2574</v>
      </c>
      <c r="D2277" s="37">
        <v>42058.438043981485</v>
      </c>
      <c r="E2277" s="37">
        <v>42058.444930555554</v>
      </c>
      <c r="F2277">
        <v>1</v>
      </c>
      <c r="K2277">
        <v>6</v>
      </c>
      <c r="S2277">
        <v>14</v>
      </c>
      <c r="V2277" s="42" t="s">
        <v>3443</v>
      </c>
      <c r="W2277" s="47">
        <v>3</v>
      </c>
    </row>
    <row r="2278" spans="1:23" hidden="1">
      <c r="A2278">
        <v>3786554797</v>
      </c>
      <c r="B2278">
        <v>57240262</v>
      </c>
      <c r="C2278" s="36" t="s">
        <v>2575</v>
      </c>
      <c r="D2278" s="37">
        <v>42058.438321759262</v>
      </c>
      <c r="E2278" s="37">
        <v>42058.445370370369</v>
      </c>
      <c r="U2278">
        <v>16</v>
      </c>
      <c r="W2278" s="47"/>
    </row>
    <row r="2279" spans="1:23" hidden="1">
      <c r="A2279">
        <v>3786558059</v>
      </c>
      <c r="B2279">
        <v>57240262</v>
      </c>
      <c r="C2279" s="36" t="s">
        <v>2576</v>
      </c>
      <c r="D2279" s="37">
        <v>42058.440740740742</v>
      </c>
      <c r="E2279" s="37">
        <v>42058.447696759256</v>
      </c>
      <c r="U2279">
        <v>16</v>
      </c>
      <c r="W2279" s="47"/>
    </row>
    <row r="2280" spans="1:23" hidden="1">
      <c r="A2280">
        <v>3786566876</v>
      </c>
      <c r="B2280">
        <v>57240262</v>
      </c>
      <c r="C2280" s="36" t="s">
        <v>2577</v>
      </c>
      <c r="D2280" s="37">
        <v>42058.445775462962</v>
      </c>
      <c r="E2280" s="37">
        <v>42058.450069444443</v>
      </c>
      <c r="Q2280">
        <v>12</v>
      </c>
      <c r="W2280" s="47"/>
    </row>
    <row r="2281" spans="1:23" hidden="1">
      <c r="A2281">
        <v>3786575993</v>
      </c>
      <c r="B2281">
        <v>57240262</v>
      </c>
      <c r="C2281" s="36" t="s">
        <v>2578</v>
      </c>
      <c r="D2281" s="37">
        <v>42058.451041666667</v>
      </c>
      <c r="E2281" s="37">
        <v>42058.458067129628</v>
      </c>
      <c r="K2281">
        <v>6</v>
      </c>
      <c r="W2281" s="47"/>
    </row>
    <row r="2282" spans="1:23">
      <c r="A2282">
        <v>3786575779</v>
      </c>
      <c r="B2282">
        <v>57240262</v>
      </c>
      <c r="C2282" s="36" t="s">
        <v>2579</v>
      </c>
      <c r="D2282" s="37">
        <v>42058.450590277775</v>
      </c>
      <c r="E2282" s="37">
        <v>42058.458414351851</v>
      </c>
      <c r="F2282">
        <v>1</v>
      </c>
      <c r="J2282">
        <v>5</v>
      </c>
      <c r="K2282">
        <v>6</v>
      </c>
      <c r="M2282">
        <v>8</v>
      </c>
      <c r="P2282">
        <v>11</v>
      </c>
      <c r="Q2282">
        <v>12</v>
      </c>
      <c r="V2282" s="42" t="s">
        <v>29</v>
      </c>
      <c r="W2282" s="47">
        <v>12</v>
      </c>
    </row>
    <row r="2283" spans="1:23" hidden="1">
      <c r="A2283">
        <v>3786594993</v>
      </c>
      <c r="B2283">
        <v>57240262</v>
      </c>
      <c r="C2283" s="36" t="s">
        <v>2580</v>
      </c>
      <c r="D2283" s="37">
        <v>42058.461481481485</v>
      </c>
      <c r="E2283" s="37">
        <v>42058.461944444447</v>
      </c>
      <c r="W2283" s="47"/>
    </row>
    <row r="2284" spans="1:23" hidden="1">
      <c r="A2284">
        <v>3786596385</v>
      </c>
      <c r="B2284">
        <v>57240262</v>
      </c>
      <c r="C2284" s="36" t="s">
        <v>2581</v>
      </c>
      <c r="D2284" s="37">
        <v>42058.462152777778</v>
      </c>
      <c r="E2284" s="37">
        <v>42058.464780092596</v>
      </c>
      <c r="N2284">
        <v>9</v>
      </c>
      <c r="W2284" s="47"/>
    </row>
    <row r="2285" spans="1:23" hidden="1">
      <c r="A2285">
        <v>3786600509</v>
      </c>
      <c r="B2285">
        <v>57240262</v>
      </c>
      <c r="C2285" s="36" t="s">
        <v>2582</v>
      </c>
      <c r="D2285" s="37">
        <v>42058.464537037034</v>
      </c>
      <c r="E2285" s="37">
        <v>42058.466805555552</v>
      </c>
      <c r="F2285">
        <v>1</v>
      </c>
      <c r="K2285">
        <v>6</v>
      </c>
      <c r="O2285">
        <v>10</v>
      </c>
      <c r="W2285" s="47"/>
    </row>
    <row r="2286" spans="1:23" hidden="1">
      <c r="A2286">
        <v>3786589144</v>
      </c>
      <c r="B2286">
        <v>57240262</v>
      </c>
      <c r="C2286" s="36" t="s">
        <v>2583</v>
      </c>
      <c r="D2286" s="37">
        <v>42058.458136574074</v>
      </c>
      <c r="E2286" s="37">
        <v>42058.469131944446</v>
      </c>
      <c r="F2286">
        <v>1</v>
      </c>
      <c r="G2286">
        <v>2</v>
      </c>
      <c r="H2286">
        <v>3</v>
      </c>
      <c r="W2286" s="47"/>
    </row>
    <row r="2287" spans="1:23" hidden="1">
      <c r="A2287">
        <v>3786608985</v>
      </c>
      <c r="B2287">
        <v>57240262</v>
      </c>
      <c r="C2287" s="36" t="s">
        <v>2584</v>
      </c>
      <c r="D2287" s="37">
        <v>42058.469074074077</v>
      </c>
      <c r="E2287" s="37">
        <v>42058.471215277779</v>
      </c>
      <c r="K2287">
        <v>6</v>
      </c>
      <c r="O2287">
        <v>10</v>
      </c>
      <c r="Q2287">
        <v>12</v>
      </c>
      <c r="W2287" s="47"/>
    </row>
    <row r="2288" spans="1:23" hidden="1">
      <c r="A2288">
        <v>3786615625</v>
      </c>
      <c r="B2288">
        <v>57240262</v>
      </c>
      <c r="C2288" s="36" t="s">
        <v>2585</v>
      </c>
      <c r="D2288" s="37">
        <v>42058.472638888888</v>
      </c>
      <c r="E2288" s="37">
        <v>42058.476041666669</v>
      </c>
      <c r="U2288">
        <v>16</v>
      </c>
      <c r="W2288" s="47"/>
    </row>
    <row r="2289" spans="1:23" hidden="1">
      <c r="A2289">
        <v>3786615356</v>
      </c>
      <c r="B2289">
        <v>57240262</v>
      </c>
      <c r="C2289" s="36" t="s">
        <v>2586</v>
      </c>
      <c r="D2289" s="37">
        <v>42058.472268518519</v>
      </c>
      <c r="E2289" s="37">
        <v>42058.476180555554</v>
      </c>
      <c r="F2289">
        <v>1</v>
      </c>
      <c r="G2289">
        <v>2</v>
      </c>
      <c r="H2289">
        <v>3</v>
      </c>
      <c r="O2289">
        <v>10</v>
      </c>
      <c r="Q2289">
        <v>12</v>
      </c>
      <c r="W2289" s="47"/>
    </row>
    <row r="2290" spans="1:23" hidden="1">
      <c r="A2290">
        <v>3786619719</v>
      </c>
      <c r="B2290">
        <v>57240262</v>
      </c>
      <c r="C2290" s="36" t="s">
        <v>2587</v>
      </c>
      <c r="D2290" s="37">
        <v>42058.474826388891</v>
      </c>
      <c r="E2290" s="37">
        <v>42058.481562499997</v>
      </c>
      <c r="F2290">
        <v>1</v>
      </c>
      <c r="G2290">
        <v>2</v>
      </c>
      <c r="H2290">
        <v>3</v>
      </c>
      <c r="K2290">
        <v>6</v>
      </c>
      <c r="O2290">
        <v>10</v>
      </c>
      <c r="W2290" s="47"/>
    </row>
    <row r="2291" spans="1:23" hidden="1">
      <c r="A2291">
        <v>3786598166</v>
      </c>
      <c r="B2291">
        <v>57240262</v>
      </c>
      <c r="C2291" s="36" t="s">
        <v>2588</v>
      </c>
      <c r="D2291" s="37">
        <v>42058.463263888887</v>
      </c>
      <c r="E2291" s="37">
        <v>42058.490208333336</v>
      </c>
      <c r="U2291">
        <v>16</v>
      </c>
      <c r="W2291" s="47"/>
    </row>
    <row r="2292" spans="1:23">
      <c r="A2292">
        <v>3786625565</v>
      </c>
      <c r="B2292">
        <v>57240262</v>
      </c>
      <c r="C2292" s="36" t="s">
        <v>2589</v>
      </c>
      <c r="D2292" s="37">
        <v>42058.477673611109</v>
      </c>
      <c r="E2292" s="37">
        <v>42058.495185185187</v>
      </c>
      <c r="F2292">
        <v>1</v>
      </c>
      <c r="G2292">
        <v>2</v>
      </c>
      <c r="K2292">
        <v>6</v>
      </c>
      <c r="V2292" s="42" t="s">
        <v>269</v>
      </c>
      <c r="W2292" s="47">
        <v>2</v>
      </c>
    </row>
    <row r="2293" spans="1:23" hidden="1">
      <c r="A2293">
        <v>3786633586</v>
      </c>
      <c r="B2293">
        <v>57240262</v>
      </c>
      <c r="C2293" s="36" t="s">
        <v>2590</v>
      </c>
      <c r="D2293" s="37">
        <v>42058.481747685182</v>
      </c>
      <c r="E2293" s="37">
        <v>42058.499085648145</v>
      </c>
      <c r="F2293">
        <v>1</v>
      </c>
      <c r="G2293">
        <v>2</v>
      </c>
      <c r="H2293">
        <v>3</v>
      </c>
      <c r="K2293">
        <v>6</v>
      </c>
      <c r="R2293">
        <v>13</v>
      </c>
      <c r="W2293" s="47"/>
    </row>
    <row r="2294" spans="1:23" hidden="1">
      <c r="A2294">
        <v>3786629731</v>
      </c>
      <c r="B2294">
        <v>57240262</v>
      </c>
      <c r="C2294" s="36" t="s">
        <v>2591</v>
      </c>
      <c r="D2294" s="37">
        <v>42058.480069444442</v>
      </c>
      <c r="E2294" s="37">
        <v>42058.499305555553</v>
      </c>
      <c r="N2294">
        <v>9</v>
      </c>
      <c r="W2294" s="47"/>
    </row>
    <row r="2295" spans="1:23">
      <c r="A2295">
        <v>3786638578</v>
      </c>
      <c r="B2295">
        <v>57240262</v>
      </c>
      <c r="C2295" s="36" t="s">
        <v>2592</v>
      </c>
      <c r="D2295" s="37">
        <v>42058.484548611108</v>
      </c>
      <c r="E2295" s="37">
        <v>42058.499525462961</v>
      </c>
      <c r="F2295">
        <v>1</v>
      </c>
      <c r="K2295">
        <v>6</v>
      </c>
      <c r="M2295">
        <v>8</v>
      </c>
      <c r="Q2295">
        <v>12</v>
      </c>
      <c r="V2295" s="42" t="s">
        <v>3444</v>
      </c>
      <c r="W2295" s="47">
        <v>1</v>
      </c>
    </row>
    <row r="2296" spans="1:23" hidden="1">
      <c r="A2296">
        <v>3786691325</v>
      </c>
      <c r="B2296">
        <v>57240262</v>
      </c>
      <c r="C2296" s="36" t="s">
        <v>2593</v>
      </c>
      <c r="D2296" s="37">
        <v>42058.511053240742</v>
      </c>
      <c r="E2296" s="37">
        <v>42058.516215277778</v>
      </c>
      <c r="U2296">
        <v>16</v>
      </c>
      <c r="W2296" s="47"/>
    </row>
    <row r="2297" spans="1:23" hidden="1">
      <c r="A2297">
        <v>3786700892</v>
      </c>
      <c r="B2297">
        <v>57240262</v>
      </c>
      <c r="C2297" s="36" t="s">
        <v>2594</v>
      </c>
      <c r="D2297" s="37">
        <v>42058.515659722223</v>
      </c>
      <c r="E2297" s="37">
        <v>42058.517199074071</v>
      </c>
      <c r="F2297">
        <v>1</v>
      </c>
      <c r="H2297">
        <v>3</v>
      </c>
      <c r="W2297" s="47"/>
    </row>
    <row r="2298" spans="1:23" hidden="1">
      <c r="A2298">
        <v>3786699947</v>
      </c>
      <c r="B2298">
        <v>57240262</v>
      </c>
      <c r="C2298" s="36" t="s">
        <v>2595</v>
      </c>
      <c r="D2298" s="37">
        <v>42058.515208333331</v>
      </c>
      <c r="E2298" s="37">
        <v>42058.519548611112</v>
      </c>
      <c r="U2298">
        <v>16</v>
      </c>
      <c r="W2298" s="47"/>
    </row>
    <row r="2299" spans="1:23" ht="24">
      <c r="A2299">
        <v>3786697049</v>
      </c>
      <c r="B2299">
        <v>57240262</v>
      </c>
      <c r="C2299" s="36" t="s">
        <v>2596</v>
      </c>
      <c r="D2299" s="37">
        <v>42058.513703703706</v>
      </c>
      <c r="E2299" s="37">
        <v>42058.522152777776</v>
      </c>
      <c r="F2299">
        <v>1</v>
      </c>
      <c r="I2299">
        <v>4</v>
      </c>
      <c r="M2299">
        <v>8</v>
      </c>
      <c r="Q2299">
        <v>12</v>
      </c>
      <c r="V2299" s="42" t="s">
        <v>3445</v>
      </c>
      <c r="W2299" s="47">
        <v>4</v>
      </c>
    </row>
    <row r="2300" spans="1:23" hidden="1">
      <c r="A2300">
        <v>3786722054</v>
      </c>
      <c r="B2300">
        <v>57240262</v>
      </c>
      <c r="C2300" s="36" t="s">
        <v>2597</v>
      </c>
      <c r="D2300" s="37">
        <v>42058.525601851848</v>
      </c>
      <c r="E2300" s="37">
        <v>42058.526620370372</v>
      </c>
      <c r="K2300">
        <v>6</v>
      </c>
      <c r="W2300" s="47"/>
    </row>
    <row r="2301" spans="1:23">
      <c r="A2301">
        <v>3786732439</v>
      </c>
      <c r="B2301">
        <v>57240262</v>
      </c>
      <c r="C2301" s="36" t="s">
        <v>2598</v>
      </c>
      <c r="D2301" s="37">
        <v>42058.530335648145</v>
      </c>
      <c r="E2301" s="37">
        <v>42058.538888888892</v>
      </c>
      <c r="F2301">
        <v>1</v>
      </c>
      <c r="G2301">
        <v>2</v>
      </c>
      <c r="R2301">
        <v>13</v>
      </c>
      <c r="V2301" s="42" t="s">
        <v>3446</v>
      </c>
      <c r="W2301" s="47">
        <v>1</v>
      </c>
    </row>
    <row r="2302" spans="1:23">
      <c r="A2302">
        <v>3786739147</v>
      </c>
      <c r="B2302">
        <v>57240262</v>
      </c>
      <c r="C2302" s="36" t="s">
        <v>2599</v>
      </c>
      <c r="D2302" s="37">
        <v>42058.533541666664</v>
      </c>
      <c r="E2302" s="37">
        <v>42058.553564814814</v>
      </c>
      <c r="F2302">
        <v>1</v>
      </c>
      <c r="G2302">
        <v>2</v>
      </c>
      <c r="H2302">
        <v>3</v>
      </c>
      <c r="M2302">
        <v>8</v>
      </c>
      <c r="N2302">
        <v>9</v>
      </c>
      <c r="R2302">
        <v>13</v>
      </c>
      <c r="V2302" s="42" t="s">
        <v>3447</v>
      </c>
      <c r="W2302" s="47">
        <v>2</v>
      </c>
    </row>
    <row r="2303" spans="1:23" hidden="1">
      <c r="A2303">
        <v>3786809109</v>
      </c>
      <c r="B2303">
        <v>57240262</v>
      </c>
      <c r="C2303" s="36" t="s">
        <v>2600</v>
      </c>
      <c r="D2303" s="37">
        <v>42058.561111111114</v>
      </c>
      <c r="E2303" s="37">
        <v>42058.567453703705</v>
      </c>
      <c r="U2303">
        <v>16</v>
      </c>
      <c r="W2303" s="47"/>
    </row>
    <row r="2304" spans="1:23" hidden="1">
      <c r="A2304">
        <v>3786838288</v>
      </c>
      <c r="B2304">
        <v>57240262</v>
      </c>
      <c r="C2304" s="36" t="s">
        <v>2601</v>
      </c>
      <c r="D2304" s="37">
        <v>42058.571712962963</v>
      </c>
      <c r="E2304" s="37">
        <v>42058.575787037036</v>
      </c>
      <c r="U2304">
        <v>16</v>
      </c>
      <c r="W2304" s="47"/>
    </row>
    <row r="2305" spans="1:23" hidden="1">
      <c r="A2305">
        <v>3786731664</v>
      </c>
      <c r="B2305">
        <v>57240262</v>
      </c>
      <c r="C2305" s="36" t="s">
        <v>2602</v>
      </c>
      <c r="D2305" s="37">
        <v>42058.53019675926</v>
      </c>
      <c r="E2305" s="37">
        <v>42058.576354166667</v>
      </c>
      <c r="U2305">
        <v>16</v>
      </c>
      <c r="W2305" s="47"/>
    </row>
    <row r="2306" spans="1:23" hidden="1">
      <c r="A2306">
        <v>3786845694</v>
      </c>
      <c r="B2306">
        <v>57240262</v>
      </c>
      <c r="C2306" s="36" t="s">
        <v>2603</v>
      </c>
      <c r="D2306" s="37">
        <v>42058.574212962965</v>
      </c>
      <c r="E2306" s="37">
        <v>42058.576504629629</v>
      </c>
      <c r="U2306">
        <v>16</v>
      </c>
      <c r="W2306" s="47"/>
    </row>
    <row r="2307" spans="1:23" hidden="1">
      <c r="A2307">
        <v>3786825169</v>
      </c>
      <c r="B2307">
        <v>57240262</v>
      </c>
      <c r="C2307" s="36" t="s">
        <v>2604</v>
      </c>
      <c r="D2307" s="37">
        <v>42058.567037037035</v>
      </c>
      <c r="E2307" s="37">
        <v>42058.578865740739</v>
      </c>
      <c r="H2307">
        <v>3</v>
      </c>
      <c r="O2307">
        <v>10</v>
      </c>
      <c r="W2307" s="47"/>
    </row>
    <row r="2308" spans="1:23" hidden="1">
      <c r="A2308">
        <v>3786872209</v>
      </c>
      <c r="B2308">
        <v>57240262</v>
      </c>
      <c r="C2308" s="36" t="s">
        <v>2605</v>
      </c>
      <c r="D2308" s="37">
        <v>42058.583009259259</v>
      </c>
      <c r="E2308" s="37">
        <v>42058.585960648146</v>
      </c>
      <c r="U2308">
        <v>16</v>
      </c>
      <c r="W2308" s="47"/>
    </row>
    <row r="2309" spans="1:23">
      <c r="A2309">
        <v>3786861518</v>
      </c>
      <c r="B2309">
        <v>57240262</v>
      </c>
      <c r="C2309" s="36" t="s">
        <v>2606</v>
      </c>
      <c r="D2309" s="37">
        <v>42058.576342592591</v>
      </c>
      <c r="E2309" s="37">
        <v>42058.586435185185</v>
      </c>
      <c r="F2309">
        <v>1</v>
      </c>
      <c r="G2309">
        <v>2</v>
      </c>
      <c r="N2309">
        <v>9</v>
      </c>
      <c r="V2309" s="42" t="s">
        <v>266</v>
      </c>
      <c r="W2309" s="47">
        <v>9</v>
      </c>
    </row>
    <row r="2310" spans="1:23" hidden="1">
      <c r="A2310">
        <v>3786906812</v>
      </c>
      <c r="B2310">
        <v>57240262</v>
      </c>
      <c r="C2310" s="36" t="s">
        <v>2607</v>
      </c>
      <c r="D2310" s="37">
        <v>42058.593518518515</v>
      </c>
      <c r="E2310" s="37">
        <v>42058.599918981483</v>
      </c>
      <c r="U2310">
        <v>16</v>
      </c>
      <c r="W2310" s="47"/>
    </row>
    <row r="2311" spans="1:23" hidden="1">
      <c r="A2311">
        <v>3786894752</v>
      </c>
      <c r="B2311">
        <v>57240262</v>
      </c>
      <c r="C2311" s="36" t="s">
        <v>2608</v>
      </c>
      <c r="D2311" s="37">
        <v>42058.589629629627</v>
      </c>
      <c r="E2311" s="37">
        <v>42058.600763888891</v>
      </c>
      <c r="U2311">
        <v>16</v>
      </c>
      <c r="W2311" s="47"/>
    </row>
    <row r="2312" spans="1:23" hidden="1">
      <c r="A2312">
        <v>3786920569</v>
      </c>
      <c r="B2312">
        <v>57240262</v>
      </c>
      <c r="C2312" s="36" t="s">
        <v>2609</v>
      </c>
      <c r="D2312" s="37">
        <v>42058.597349537034</v>
      </c>
      <c r="E2312" s="37">
        <v>42058.602870370371</v>
      </c>
      <c r="M2312">
        <v>8</v>
      </c>
      <c r="W2312" s="47"/>
    </row>
    <row r="2313" spans="1:23" hidden="1">
      <c r="A2313">
        <v>3786836092</v>
      </c>
      <c r="B2313">
        <v>57240262</v>
      </c>
      <c r="C2313" s="36" t="s">
        <v>2610</v>
      </c>
      <c r="D2313" s="37">
        <v>42058.570717592593</v>
      </c>
      <c r="E2313" s="37">
        <v>42058.603148148148</v>
      </c>
      <c r="F2313">
        <v>1</v>
      </c>
      <c r="G2313">
        <v>2</v>
      </c>
      <c r="I2313">
        <v>4</v>
      </c>
      <c r="O2313">
        <v>10</v>
      </c>
      <c r="W2313" s="47"/>
    </row>
    <row r="2314" spans="1:23" hidden="1">
      <c r="A2314">
        <v>3786974121</v>
      </c>
      <c r="B2314">
        <v>57240262</v>
      </c>
      <c r="C2314" s="36" t="s">
        <v>2611</v>
      </c>
      <c r="D2314" s="37">
        <v>42058.612488425926</v>
      </c>
      <c r="E2314" s="37">
        <v>42058.618692129632</v>
      </c>
      <c r="F2314">
        <v>1</v>
      </c>
      <c r="G2314">
        <v>2</v>
      </c>
      <c r="H2314">
        <v>3</v>
      </c>
      <c r="W2314" s="47"/>
    </row>
    <row r="2315" spans="1:23" hidden="1">
      <c r="A2315">
        <v>3786898445</v>
      </c>
      <c r="B2315">
        <v>57240262</v>
      </c>
      <c r="C2315" s="36" t="s">
        <v>2612</v>
      </c>
      <c r="D2315" s="37">
        <v>42058.591168981482</v>
      </c>
      <c r="E2315" s="37">
        <v>42058.620879629627</v>
      </c>
      <c r="H2315">
        <v>3</v>
      </c>
      <c r="I2315">
        <v>4</v>
      </c>
      <c r="R2315">
        <v>13</v>
      </c>
      <c r="W2315" s="47"/>
    </row>
    <row r="2316" spans="1:23" hidden="1">
      <c r="A2316">
        <v>3786991338</v>
      </c>
      <c r="B2316">
        <v>57240262</v>
      </c>
      <c r="C2316" s="36" t="s">
        <v>2613</v>
      </c>
      <c r="D2316" s="37">
        <v>42058.617418981485</v>
      </c>
      <c r="E2316" s="37">
        <v>42058.621620370373</v>
      </c>
      <c r="O2316">
        <v>10</v>
      </c>
      <c r="W2316" s="47"/>
    </row>
    <row r="2317" spans="1:23">
      <c r="A2317">
        <v>3786952355</v>
      </c>
      <c r="B2317">
        <v>57240262</v>
      </c>
      <c r="C2317" s="36" t="s">
        <v>2614</v>
      </c>
      <c r="D2317" s="37">
        <v>42058.60633101852</v>
      </c>
      <c r="E2317" s="37">
        <v>42058.621736111112</v>
      </c>
      <c r="F2317">
        <v>1</v>
      </c>
      <c r="G2317">
        <v>2</v>
      </c>
      <c r="V2317" s="42" t="s">
        <v>3448</v>
      </c>
      <c r="W2317" s="47">
        <v>2</v>
      </c>
    </row>
    <row r="2318" spans="1:23" hidden="1">
      <c r="A2318">
        <v>3787019339</v>
      </c>
      <c r="B2318">
        <v>57240262</v>
      </c>
      <c r="C2318" s="36" t="s">
        <v>2615</v>
      </c>
      <c r="D2318" s="37">
        <v>42058.624976851854</v>
      </c>
      <c r="E2318" s="37">
        <v>42058.62641203704</v>
      </c>
      <c r="F2318">
        <v>1</v>
      </c>
      <c r="M2318">
        <v>8</v>
      </c>
      <c r="W2318" s="47"/>
    </row>
    <row r="2319" spans="1:23" hidden="1">
      <c r="A2319">
        <v>3787032247</v>
      </c>
      <c r="B2319">
        <v>57240262</v>
      </c>
      <c r="C2319" s="36" t="s">
        <v>2616</v>
      </c>
      <c r="D2319" s="37">
        <v>42058.627962962964</v>
      </c>
      <c r="E2319" s="37">
        <v>42058.636689814812</v>
      </c>
      <c r="U2319">
        <v>16</v>
      </c>
      <c r="W2319" s="47"/>
    </row>
    <row r="2320" spans="1:23" hidden="1">
      <c r="A2320">
        <v>3787050729</v>
      </c>
      <c r="B2320">
        <v>57240262</v>
      </c>
      <c r="C2320" s="36" t="s">
        <v>2617</v>
      </c>
      <c r="D2320" s="37">
        <v>42058.633333333331</v>
      </c>
      <c r="E2320" s="37">
        <v>42058.638356481482</v>
      </c>
      <c r="J2320">
        <v>5</v>
      </c>
      <c r="K2320">
        <v>6</v>
      </c>
      <c r="N2320">
        <v>9</v>
      </c>
      <c r="W2320" s="47"/>
    </row>
    <row r="2321" spans="1:23" hidden="1">
      <c r="A2321">
        <v>3787063237</v>
      </c>
      <c r="B2321">
        <v>57240262</v>
      </c>
      <c r="C2321" s="36" t="s">
        <v>2618</v>
      </c>
      <c r="D2321" s="37">
        <v>42058.636736111112</v>
      </c>
      <c r="E2321" s="37">
        <v>42058.638553240744</v>
      </c>
      <c r="U2321">
        <v>16</v>
      </c>
      <c r="W2321" s="47"/>
    </row>
    <row r="2322" spans="1:23">
      <c r="A2322">
        <v>3786974460</v>
      </c>
      <c r="B2322">
        <v>57240262</v>
      </c>
      <c r="C2322" s="36" t="s">
        <v>2619</v>
      </c>
      <c r="D2322" s="37">
        <v>42058.612546296295</v>
      </c>
      <c r="E2322" s="37">
        <v>42058.64435185185</v>
      </c>
      <c r="F2322">
        <v>1</v>
      </c>
      <c r="K2322">
        <v>6</v>
      </c>
      <c r="M2322">
        <v>8</v>
      </c>
      <c r="V2322" s="42" t="s">
        <v>3449</v>
      </c>
      <c r="W2322" s="47">
        <v>8</v>
      </c>
    </row>
    <row r="2323" spans="1:23" hidden="1">
      <c r="A2323">
        <v>3787077016</v>
      </c>
      <c r="B2323">
        <v>57240262</v>
      </c>
      <c r="C2323" s="36" t="s">
        <v>2620</v>
      </c>
      <c r="D2323" s="37">
        <v>42058.640335648146</v>
      </c>
      <c r="E2323" s="37">
        <v>42058.644548611112</v>
      </c>
      <c r="U2323">
        <v>16</v>
      </c>
      <c r="W2323" s="47"/>
    </row>
    <row r="2324" spans="1:23">
      <c r="A2324">
        <v>3787098732</v>
      </c>
      <c r="B2324">
        <v>57240262</v>
      </c>
      <c r="C2324" s="36" t="s">
        <v>2621</v>
      </c>
      <c r="D2324" s="37">
        <v>42058.646203703705</v>
      </c>
      <c r="E2324" s="37">
        <v>42058.650034722225</v>
      </c>
      <c r="F2324">
        <v>1</v>
      </c>
      <c r="G2324">
        <v>2</v>
      </c>
      <c r="H2324">
        <v>3</v>
      </c>
      <c r="I2324">
        <v>4</v>
      </c>
      <c r="J2324">
        <v>5</v>
      </c>
      <c r="K2324">
        <v>6</v>
      </c>
      <c r="V2324" s="42" t="s">
        <v>30</v>
      </c>
      <c r="W2324" s="47">
        <v>2</v>
      </c>
    </row>
    <row r="2325" spans="1:23" hidden="1">
      <c r="A2325">
        <v>3786464221</v>
      </c>
      <c r="B2325">
        <v>57240262</v>
      </c>
      <c r="C2325" s="36" t="s">
        <v>2622</v>
      </c>
      <c r="D2325" s="37">
        <v>42058.386412037034</v>
      </c>
      <c r="E2325" s="37">
        <v>42058.700590277775</v>
      </c>
      <c r="U2325">
        <v>16</v>
      </c>
      <c r="W2325" s="47"/>
    </row>
    <row r="2326" spans="1:23" hidden="1">
      <c r="A2326">
        <v>3787310384</v>
      </c>
      <c r="B2326">
        <v>57240262</v>
      </c>
      <c r="C2326" s="36" t="s">
        <v>2623</v>
      </c>
      <c r="D2326" s="37">
        <v>42058.698425925926</v>
      </c>
      <c r="E2326" s="37">
        <v>42058.700983796298</v>
      </c>
      <c r="U2326">
        <v>16</v>
      </c>
      <c r="W2326" s="47"/>
    </row>
    <row r="2327" spans="1:23" hidden="1">
      <c r="A2327">
        <v>3787338923</v>
      </c>
      <c r="B2327">
        <v>57240262</v>
      </c>
      <c r="C2327" s="36" t="s">
        <v>2624</v>
      </c>
      <c r="D2327" s="37">
        <v>42058.704837962963</v>
      </c>
      <c r="E2327" s="37">
        <v>42058.711539351854</v>
      </c>
      <c r="U2327">
        <v>16</v>
      </c>
      <c r="W2327" s="47"/>
    </row>
    <row r="2328" spans="1:23" hidden="1">
      <c r="A2328">
        <v>3787442934</v>
      </c>
      <c r="B2328">
        <v>57240262</v>
      </c>
      <c r="C2328" s="36" t="s">
        <v>2625</v>
      </c>
      <c r="D2328" s="37">
        <v>42058.732199074075</v>
      </c>
      <c r="E2328" s="37">
        <v>42058.746018518519</v>
      </c>
      <c r="U2328">
        <v>16</v>
      </c>
      <c r="W2328" s="47"/>
    </row>
    <row r="2329" spans="1:23" hidden="1">
      <c r="A2329">
        <v>3787468241</v>
      </c>
      <c r="B2329">
        <v>57240262</v>
      </c>
      <c r="C2329" s="36" t="s">
        <v>2626</v>
      </c>
      <c r="D2329" s="37">
        <v>42058.739074074074</v>
      </c>
      <c r="E2329" s="37">
        <v>42058.746886574074</v>
      </c>
      <c r="F2329">
        <v>1</v>
      </c>
      <c r="G2329">
        <v>2</v>
      </c>
      <c r="W2329" s="47"/>
    </row>
    <row r="2330" spans="1:23" hidden="1">
      <c r="A2330">
        <v>3787492107</v>
      </c>
      <c r="B2330">
        <v>57240262</v>
      </c>
      <c r="C2330" s="36" t="s">
        <v>2627</v>
      </c>
      <c r="D2330" s="37">
        <v>42058.745439814818</v>
      </c>
      <c r="E2330" s="37">
        <v>42058.746967592589</v>
      </c>
      <c r="U2330">
        <v>16</v>
      </c>
      <c r="W2330" s="47"/>
    </row>
    <row r="2331" spans="1:23" hidden="1">
      <c r="A2331">
        <v>3787487562</v>
      </c>
      <c r="B2331">
        <v>57240262</v>
      </c>
      <c r="C2331" s="36" t="s">
        <v>2628</v>
      </c>
      <c r="D2331" s="37">
        <v>42058.743217592593</v>
      </c>
      <c r="E2331" s="37">
        <v>42058.749282407407</v>
      </c>
      <c r="U2331">
        <v>16</v>
      </c>
      <c r="W2331" s="47"/>
    </row>
    <row r="2332" spans="1:23" hidden="1">
      <c r="A2332">
        <v>3788066581</v>
      </c>
      <c r="B2332">
        <v>57240262</v>
      </c>
      <c r="C2332" s="36" t="s">
        <v>2629</v>
      </c>
      <c r="D2332" s="37">
        <v>42058.899317129632</v>
      </c>
      <c r="E2332" s="37">
        <v>42058.904780092591</v>
      </c>
      <c r="F2332">
        <v>1</v>
      </c>
      <c r="W2332" s="47"/>
    </row>
    <row r="2333" spans="1:23" hidden="1">
      <c r="A2333">
        <v>3788051725</v>
      </c>
      <c r="B2333">
        <v>57240262</v>
      </c>
      <c r="C2333" s="36" t="s">
        <v>2630</v>
      </c>
      <c r="D2333" s="37">
        <v>42058.894560185188</v>
      </c>
      <c r="E2333" s="37">
        <v>42058.906215277777</v>
      </c>
      <c r="F2333">
        <v>1</v>
      </c>
      <c r="W2333" s="47"/>
    </row>
    <row r="2334" spans="1:23" hidden="1">
      <c r="A2334">
        <v>3788199417</v>
      </c>
      <c r="B2334">
        <v>57240262</v>
      </c>
      <c r="C2334" s="36" t="s">
        <v>2631</v>
      </c>
      <c r="D2334" s="37">
        <v>42058.941203703704</v>
      </c>
      <c r="E2334" s="37">
        <v>42058.947743055556</v>
      </c>
      <c r="Q2334">
        <v>12</v>
      </c>
      <c r="W2334" s="47"/>
    </row>
    <row r="2335" spans="1:23" hidden="1">
      <c r="A2335">
        <v>3788910654</v>
      </c>
      <c r="B2335">
        <v>57240262</v>
      </c>
      <c r="C2335" s="36" t="s">
        <v>2632</v>
      </c>
      <c r="D2335" s="37">
        <v>42059.347002314818</v>
      </c>
      <c r="E2335" s="37">
        <v>42059.348090277781</v>
      </c>
      <c r="W2335" s="47"/>
    </row>
    <row r="2336" spans="1:23" hidden="1">
      <c r="A2336">
        <v>3788942245</v>
      </c>
      <c r="B2336">
        <v>57240262</v>
      </c>
      <c r="C2336" s="36" t="s">
        <v>2633</v>
      </c>
      <c r="D2336" s="37">
        <v>42059.367754629631</v>
      </c>
      <c r="E2336" s="37">
        <v>42059.373240740744</v>
      </c>
      <c r="I2336">
        <v>4</v>
      </c>
      <c r="K2336">
        <v>6</v>
      </c>
      <c r="O2336">
        <v>10</v>
      </c>
      <c r="W2336" s="47"/>
    </row>
    <row r="2337" spans="1:23" hidden="1">
      <c r="A2337">
        <v>3788940004</v>
      </c>
      <c r="B2337">
        <v>57240262</v>
      </c>
      <c r="C2337" s="36" t="s">
        <v>2634</v>
      </c>
      <c r="D2337" s="37">
        <v>42059.366354166668</v>
      </c>
      <c r="E2337" s="37">
        <v>42059.386597222219</v>
      </c>
      <c r="M2337">
        <v>8</v>
      </c>
      <c r="W2337" s="47"/>
    </row>
    <row r="2338" spans="1:23" hidden="1">
      <c r="A2338">
        <v>3789033768</v>
      </c>
      <c r="B2338">
        <v>57240262</v>
      </c>
      <c r="C2338" s="36" t="s">
        <v>2635</v>
      </c>
      <c r="D2338" s="37">
        <v>42059.420324074075</v>
      </c>
      <c r="E2338" s="37">
        <v>42059.432141203702</v>
      </c>
      <c r="F2338">
        <v>1</v>
      </c>
      <c r="G2338">
        <v>2</v>
      </c>
      <c r="H2338">
        <v>3</v>
      </c>
      <c r="I2338">
        <v>4</v>
      </c>
      <c r="O2338">
        <v>10</v>
      </c>
      <c r="P2338">
        <v>11</v>
      </c>
      <c r="W2338" s="47"/>
    </row>
    <row r="2339" spans="1:23" hidden="1">
      <c r="A2339">
        <v>3789050587</v>
      </c>
      <c r="B2339">
        <v>57240262</v>
      </c>
      <c r="C2339" s="36" t="s">
        <v>2636</v>
      </c>
      <c r="D2339" s="37">
        <v>42059.429340277777</v>
      </c>
      <c r="E2339" s="37">
        <v>42059.432835648149</v>
      </c>
      <c r="F2339">
        <v>1</v>
      </c>
      <c r="W2339" s="47"/>
    </row>
    <row r="2340" spans="1:23" hidden="1">
      <c r="A2340">
        <v>3789055574</v>
      </c>
      <c r="B2340">
        <v>57240262</v>
      </c>
      <c r="C2340" s="36" t="s">
        <v>2637</v>
      </c>
      <c r="D2340" s="37">
        <v>42059.431944444441</v>
      </c>
      <c r="E2340" s="37">
        <v>42059.439687500002</v>
      </c>
      <c r="G2340">
        <v>2</v>
      </c>
      <c r="H2340">
        <v>3</v>
      </c>
      <c r="O2340">
        <v>10</v>
      </c>
      <c r="W2340" s="47"/>
    </row>
    <row r="2341" spans="1:23">
      <c r="A2341">
        <v>3789125132</v>
      </c>
      <c r="B2341">
        <v>57240262</v>
      </c>
      <c r="C2341" s="36" t="s">
        <v>2638</v>
      </c>
      <c r="D2341" s="37">
        <v>42059.46974537037</v>
      </c>
      <c r="E2341" s="37">
        <v>42059.474247685182</v>
      </c>
      <c r="F2341">
        <v>1</v>
      </c>
      <c r="G2341">
        <v>2</v>
      </c>
      <c r="H2341">
        <v>3</v>
      </c>
      <c r="K2341">
        <v>6</v>
      </c>
      <c r="O2341">
        <v>10</v>
      </c>
      <c r="V2341" s="42" t="s">
        <v>3450</v>
      </c>
      <c r="W2341" s="47">
        <v>6</v>
      </c>
    </row>
    <row r="2342" spans="1:23" hidden="1">
      <c r="A2342">
        <v>3789124729</v>
      </c>
      <c r="B2342">
        <v>57240262</v>
      </c>
      <c r="C2342" s="36" t="s">
        <v>2639</v>
      </c>
      <c r="D2342" s="37">
        <v>42059.469594907408</v>
      </c>
      <c r="E2342" s="37">
        <v>42059.475231481483</v>
      </c>
      <c r="K2342">
        <v>6</v>
      </c>
      <c r="W2342" s="47"/>
    </row>
    <row r="2343" spans="1:23" hidden="1">
      <c r="A2343">
        <v>3789135305</v>
      </c>
      <c r="B2343">
        <v>57240262</v>
      </c>
      <c r="C2343" s="36" t="s">
        <v>2640</v>
      </c>
      <c r="D2343" s="37">
        <v>42059.475532407407</v>
      </c>
      <c r="E2343" s="37">
        <v>42059.478414351855</v>
      </c>
      <c r="F2343">
        <v>1</v>
      </c>
      <c r="W2343" s="47"/>
    </row>
    <row r="2344" spans="1:23" hidden="1">
      <c r="A2344">
        <v>3789135262</v>
      </c>
      <c r="B2344">
        <v>57240262</v>
      </c>
      <c r="C2344" s="36" t="s">
        <v>2641</v>
      </c>
      <c r="D2344" s="37">
        <v>42059.474444444444</v>
      </c>
      <c r="E2344" s="37">
        <v>42059.480775462966</v>
      </c>
      <c r="U2344">
        <v>16</v>
      </c>
      <c r="W2344" s="47"/>
    </row>
    <row r="2345" spans="1:23" hidden="1">
      <c r="A2345">
        <v>3789159048</v>
      </c>
      <c r="B2345">
        <v>57240262</v>
      </c>
      <c r="C2345" s="36" t="s">
        <v>2642</v>
      </c>
      <c r="D2345" s="37">
        <v>42059.487557870372</v>
      </c>
      <c r="E2345" s="37">
        <v>42059.491527777776</v>
      </c>
      <c r="I2345">
        <v>4</v>
      </c>
      <c r="W2345" s="47"/>
    </row>
    <row r="2346" spans="1:23" hidden="1">
      <c r="A2346">
        <v>3789180689</v>
      </c>
      <c r="B2346">
        <v>57240262</v>
      </c>
      <c r="C2346" s="36" t="s">
        <v>2643</v>
      </c>
      <c r="D2346" s="37">
        <v>42059.498622685183</v>
      </c>
      <c r="E2346" s="37">
        <v>42059.503761574073</v>
      </c>
      <c r="U2346">
        <v>16</v>
      </c>
      <c r="W2346" s="47"/>
    </row>
    <row r="2347" spans="1:23" hidden="1">
      <c r="A2347">
        <v>3789192664</v>
      </c>
      <c r="B2347">
        <v>57240262</v>
      </c>
      <c r="C2347" s="36" t="s">
        <v>2644</v>
      </c>
      <c r="D2347" s="37">
        <v>42059.504641203705</v>
      </c>
      <c r="E2347" s="37">
        <v>42059.508888888886</v>
      </c>
      <c r="G2347">
        <v>2</v>
      </c>
      <c r="W2347" s="47"/>
    </row>
    <row r="2348" spans="1:23" hidden="1">
      <c r="A2348">
        <v>3789168149</v>
      </c>
      <c r="B2348">
        <v>57240262</v>
      </c>
      <c r="C2348" s="36" t="s">
        <v>2645</v>
      </c>
      <c r="D2348" s="37">
        <v>42059.492361111108</v>
      </c>
      <c r="E2348" s="37">
        <v>42059.509131944447</v>
      </c>
      <c r="G2348">
        <v>2</v>
      </c>
      <c r="Q2348">
        <v>12</v>
      </c>
      <c r="W2348" s="47"/>
    </row>
    <row r="2349" spans="1:23" hidden="1">
      <c r="A2349">
        <v>3789231660</v>
      </c>
      <c r="B2349">
        <v>57240262</v>
      </c>
      <c r="C2349" s="36" t="s">
        <v>2646</v>
      </c>
      <c r="D2349" s="37">
        <v>42059.522777777776</v>
      </c>
      <c r="E2349" s="37">
        <v>42059.523275462961</v>
      </c>
      <c r="W2349" s="47"/>
    </row>
    <row r="2350" spans="1:23" hidden="1">
      <c r="A2350">
        <v>3789214425</v>
      </c>
      <c r="B2350">
        <v>57240262</v>
      </c>
      <c r="C2350" s="36" t="s">
        <v>2647</v>
      </c>
      <c r="D2350" s="37">
        <v>42059.515115740738</v>
      </c>
      <c r="E2350" s="37">
        <v>42059.52957175926</v>
      </c>
      <c r="U2350">
        <v>16</v>
      </c>
      <c r="W2350" s="47"/>
    </row>
    <row r="2351" spans="1:23">
      <c r="A2351">
        <v>3789251484</v>
      </c>
      <c r="B2351">
        <v>57240262</v>
      </c>
      <c r="C2351" s="36" t="s">
        <v>2648</v>
      </c>
      <c r="D2351" s="37">
        <v>42059.531157407408</v>
      </c>
      <c r="E2351" s="37">
        <v>42059.538310185184</v>
      </c>
      <c r="G2351">
        <v>2</v>
      </c>
      <c r="H2351">
        <v>3</v>
      </c>
      <c r="K2351">
        <v>6</v>
      </c>
      <c r="L2351">
        <v>7</v>
      </c>
      <c r="N2351">
        <v>9</v>
      </c>
      <c r="V2351" s="42" t="s">
        <v>60</v>
      </c>
      <c r="W2351" s="47">
        <v>9</v>
      </c>
    </row>
    <row r="2352" spans="1:23">
      <c r="A2352">
        <v>3789259664</v>
      </c>
      <c r="B2352">
        <v>57240262</v>
      </c>
      <c r="C2352" s="36" t="s">
        <v>2649</v>
      </c>
      <c r="D2352" s="37">
        <v>42059.534803240742</v>
      </c>
      <c r="E2352" s="37">
        <v>42059.538460648146</v>
      </c>
      <c r="H2352">
        <v>3</v>
      </c>
      <c r="I2352">
        <v>4</v>
      </c>
      <c r="V2352" s="42" t="s">
        <v>26</v>
      </c>
      <c r="W2352" s="47">
        <v>4</v>
      </c>
    </row>
    <row r="2353" spans="1:23" hidden="1">
      <c r="A2353">
        <v>3789271626</v>
      </c>
      <c r="B2353">
        <v>57240262</v>
      </c>
      <c r="C2353" s="36" t="s">
        <v>2650</v>
      </c>
      <c r="D2353" s="37">
        <v>42059.539664351854</v>
      </c>
      <c r="E2353" s="37">
        <v>42059.542453703703</v>
      </c>
      <c r="U2353">
        <v>16</v>
      </c>
      <c r="W2353" s="47"/>
    </row>
    <row r="2354" spans="1:23" hidden="1">
      <c r="A2354">
        <v>3789276735</v>
      </c>
      <c r="B2354">
        <v>57240262</v>
      </c>
      <c r="C2354" s="36" t="s">
        <v>2651</v>
      </c>
      <c r="D2354" s="37">
        <v>42059.541817129626</v>
      </c>
      <c r="E2354" s="37">
        <v>42059.546122685184</v>
      </c>
      <c r="U2354">
        <v>16</v>
      </c>
      <c r="W2354" s="47"/>
    </row>
    <row r="2355" spans="1:23" hidden="1">
      <c r="A2355">
        <v>3789281142</v>
      </c>
      <c r="B2355">
        <v>57240262</v>
      </c>
      <c r="C2355" s="36" t="s">
        <v>2652</v>
      </c>
      <c r="D2355" s="37">
        <v>42059.543425925927</v>
      </c>
      <c r="E2355" s="37">
        <v>42059.550856481481</v>
      </c>
      <c r="K2355">
        <v>6</v>
      </c>
      <c r="W2355" s="47"/>
    </row>
    <row r="2356" spans="1:23" hidden="1">
      <c r="A2356">
        <v>3789334268</v>
      </c>
      <c r="B2356">
        <v>57240262</v>
      </c>
      <c r="C2356" s="36" t="s">
        <v>2653</v>
      </c>
      <c r="D2356" s="37">
        <v>42059.562939814816</v>
      </c>
      <c r="E2356" s="37">
        <v>42059.563680555555</v>
      </c>
      <c r="W2356" s="47"/>
    </row>
    <row r="2357" spans="1:23">
      <c r="A2357">
        <v>3789328773</v>
      </c>
      <c r="B2357">
        <v>57240262</v>
      </c>
      <c r="C2357" s="36" t="s">
        <v>2654</v>
      </c>
      <c r="D2357" s="37">
        <v>42059.561053240737</v>
      </c>
      <c r="E2357" s="37">
        <v>42059.564525462964</v>
      </c>
      <c r="K2357">
        <v>6</v>
      </c>
      <c r="M2357">
        <v>8</v>
      </c>
      <c r="O2357">
        <v>10</v>
      </c>
      <c r="V2357" s="42" t="s">
        <v>3451</v>
      </c>
      <c r="W2357" s="47">
        <v>10</v>
      </c>
    </row>
    <row r="2358" spans="1:23">
      <c r="A2358">
        <v>3789293681</v>
      </c>
      <c r="B2358">
        <v>57240262</v>
      </c>
      <c r="C2358" s="36" t="s">
        <v>2655</v>
      </c>
      <c r="D2358" s="37">
        <v>42059.548460648148</v>
      </c>
      <c r="E2358" s="37">
        <v>42059.564768518518</v>
      </c>
      <c r="G2358">
        <v>2</v>
      </c>
      <c r="I2358">
        <v>4</v>
      </c>
      <c r="N2358">
        <v>9</v>
      </c>
      <c r="V2358" s="42" t="s">
        <v>30</v>
      </c>
      <c r="W2358" s="47">
        <v>2</v>
      </c>
    </row>
    <row r="2359" spans="1:23" hidden="1">
      <c r="A2359">
        <v>3789336970</v>
      </c>
      <c r="B2359">
        <v>57240262</v>
      </c>
      <c r="C2359" s="36" t="s">
        <v>2656</v>
      </c>
      <c r="D2359" s="37">
        <v>42059.563796296294</v>
      </c>
      <c r="E2359" s="37">
        <v>42059.568668981483</v>
      </c>
      <c r="U2359">
        <v>16</v>
      </c>
      <c r="W2359" s="47"/>
    </row>
    <row r="2360" spans="1:23" hidden="1">
      <c r="A2360">
        <v>3789305714</v>
      </c>
      <c r="B2360">
        <v>57240262</v>
      </c>
      <c r="C2360" s="36" t="s">
        <v>2657</v>
      </c>
      <c r="D2360" s="37">
        <v>42059.552893518521</v>
      </c>
      <c r="E2360" s="37">
        <v>42059.568761574075</v>
      </c>
      <c r="U2360">
        <v>16</v>
      </c>
      <c r="W2360" s="47"/>
    </row>
    <row r="2361" spans="1:23" hidden="1">
      <c r="A2361">
        <v>3789347875</v>
      </c>
      <c r="B2361">
        <v>57240262</v>
      </c>
      <c r="C2361" s="36" t="s">
        <v>2658</v>
      </c>
      <c r="D2361" s="37">
        <v>42059.567546296297</v>
      </c>
      <c r="E2361" s="37">
        <v>42059.571180555555</v>
      </c>
      <c r="K2361">
        <v>6</v>
      </c>
      <c r="W2361" s="47"/>
    </row>
    <row r="2362" spans="1:23" hidden="1">
      <c r="A2362">
        <v>3789347362</v>
      </c>
      <c r="B2362">
        <v>57240262</v>
      </c>
      <c r="C2362" s="36" t="s">
        <v>2659</v>
      </c>
      <c r="D2362" s="37">
        <v>42059.567337962966</v>
      </c>
      <c r="E2362" s="37">
        <v>42059.573530092595</v>
      </c>
      <c r="U2362">
        <v>16</v>
      </c>
      <c r="W2362" s="47"/>
    </row>
    <row r="2363" spans="1:23">
      <c r="A2363">
        <v>3789350286</v>
      </c>
      <c r="B2363">
        <v>57240262</v>
      </c>
      <c r="C2363" s="36" t="s">
        <v>2660</v>
      </c>
      <c r="D2363" s="37">
        <v>42059.568229166667</v>
      </c>
      <c r="E2363" s="37">
        <v>42059.581516203703</v>
      </c>
      <c r="M2363">
        <v>8</v>
      </c>
      <c r="O2363">
        <v>10</v>
      </c>
      <c r="V2363" s="42" t="s">
        <v>3452</v>
      </c>
      <c r="W2363" s="47">
        <v>8</v>
      </c>
    </row>
    <row r="2364" spans="1:23" hidden="1">
      <c r="A2364">
        <v>3789395858</v>
      </c>
      <c r="B2364">
        <v>57240262</v>
      </c>
      <c r="C2364" s="36" t="s">
        <v>2661</v>
      </c>
      <c r="D2364" s="37">
        <v>42059.583333333336</v>
      </c>
      <c r="E2364" s="37">
        <v>42059.583657407406</v>
      </c>
      <c r="W2364" s="47"/>
    </row>
    <row r="2365" spans="1:23">
      <c r="A2365">
        <v>3789516890</v>
      </c>
      <c r="B2365">
        <v>57240262</v>
      </c>
      <c r="C2365" s="36" t="s">
        <v>2662</v>
      </c>
      <c r="D2365" s="37">
        <v>42059.617638888885</v>
      </c>
      <c r="E2365" s="37">
        <v>42059.632615740738</v>
      </c>
      <c r="G2365">
        <v>2</v>
      </c>
      <c r="V2365" s="42" t="s">
        <v>3453</v>
      </c>
      <c r="W2365" s="47">
        <v>2</v>
      </c>
    </row>
    <row r="2366" spans="1:23" hidden="1">
      <c r="A2366">
        <v>3789595836</v>
      </c>
      <c r="B2366">
        <v>57240262</v>
      </c>
      <c r="C2366" s="36" t="s">
        <v>2663</v>
      </c>
      <c r="D2366" s="37">
        <v>42059.639004629629</v>
      </c>
      <c r="E2366" s="37">
        <v>42059.64099537037</v>
      </c>
      <c r="U2366">
        <v>16</v>
      </c>
      <c r="W2366" s="47"/>
    </row>
    <row r="2367" spans="1:23" hidden="1">
      <c r="A2367">
        <v>3789633656</v>
      </c>
      <c r="B2367">
        <v>57240262</v>
      </c>
      <c r="C2367" s="36" t="s">
        <v>2664</v>
      </c>
      <c r="D2367" s="37">
        <v>42059.648680555554</v>
      </c>
      <c r="E2367" s="37">
        <v>42059.649259259262</v>
      </c>
      <c r="W2367" s="47"/>
    </row>
    <row r="2368" spans="1:23" hidden="1">
      <c r="A2368">
        <v>3789663812</v>
      </c>
      <c r="B2368">
        <v>57240262</v>
      </c>
      <c r="C2368" s="36" t="s">
        <v>2665</v>
      </c>
      <c r="D2368" s="37">
        <v>42059.6565162037</v>
      </c>
      <c r="E2368" s="37">
        <v>42059.662187499998</v>
      </c>
      <c r="U2368">
        <v>16</v>
      </c>
      <c r="W2368" s="47"/>
    </row>
    <row r="2369" spans="1:23" hidden="1">
      <c r="A2369">
        <v>3789657042</v>
      </c>
      <c r="B2369">
        <v>57240262</v>
      </c>
      <c r="C2369" s="36" t="s">
        <v>2666</v>
      </c>
      <c r="D2369" s="37">
        <v>42059.654178240744</v>
      </c>
      <c r="E2369" s="37">
        <v>42059.663136574076</v>
      </c>
      <c r="U2369">
        <v>16</v>
      </c>
      <c r="W2369" s="47"/>
    </row>
    <row r="2370" spans="1:23" hidden="1">
      <c r="A2370">
        <v>3789758983</v>
      </c>
      <c r="B2370">
        <v>57240262</v>
      </c>
      <c r="C2370" s="36" t="s">
        <v>2667</v>
      </c>
      <c r="D2370" s="37">
        <v>42059.679340277777</v>
      </c>
      <c r="E2370" s="37">
        <v>42059.683900462966</v>
      </c>
      <c r="F2370">
        <v>1</v>
      </c>
      <c r="O2370">
        <v>10</v>
      </c>
      <c r="W2370" s="47"/>
    </row>
    <row r="2371" spans="1:23" hidden="1">
      <c r="A2371">
        <v>3789836601</v>
      </c>
      <c r="B2371">
        <v>57240262</v>
      </c>
      <c r="C2371" s="36" t="s">
        <v>2668</v>
      </c>
      <c r="D2371" s="37">
        <v>42059.698298611111</v>
      </c>
      <c r="E2371" s="37">
        <v>42059.701805555553</v>
      </c>
      <c r="F2371">
        <v>1</v>
      </c>
      <c r="W2371" s="47"/>
    </row>
    <row r="2372" spans="1:23" hidden="1">
      <c r="A2372">
        <v>3789844554</v>
      </c>
      <c r="B2372">
        <v>57240262</v>
      </c>
      <c r="C2372" s="36" t="s">
        <v>2669</v>
      </c>
      <c r="D2372" s="37">
        <v>42059.700300925928</v>
      </c>
      <c r="E2372" s="37">
        <v>42059.7033912037</v>
      </c>
      <c r="F2372">
        <v>1</v>
      </c>
      <c r="I2372">
        <v>4</v>
      </c>
      <c r="Q2372">
        <v>12</v>
      </c>
      <c r="W2372" s="47"/>
    </row>
    <row r="2373" spans="1:23" hidden="1">
      <c r="A2373">
        <v>3789848115</v>
      </c>
      <c r="B2373">
        <v>57240262</v>
      </c>
      <c r="C2373" s="36" t="s">
        <v>2670</v>
      </c>
      <c r="D2373" s="37">
        <v>42059.701203703706</v>
      </c>
      <c r="E2373" s="37">
        <v>42059.706377314818</v>
      </c>
      <c r="M2373">
        <v>8</v>
      </c>
      <c r="W2373" s="47"/>
    </row>
    <row r="2374" spans="1:23" hidden="1">
      <c r="A2374">
        <v>3789916810</v>
      </c>
      <c r="B2374">
        <v>57240262</v>
      </c>
      <c r="C2374" s="36" t="s">
        <v>2671</v>
      </c>
      <c r="D2374" s="37">
        <v>42059.718634259261</v>
      </c>
      <c r="E2374" s="37">
        <v>42059.720150462963</v>
      </c>
      <c r="G2374">
        <v>2</v>
      </c>
      <c r="H2374">
        <v>3</v>
      </c>
      <c r="W2374" s="47"/>
    </row>
    <row r="2375" spans="1:23">
      <c r="A2375">
        <v>3789908494</v>
      </c>
      <c r="B2375">
        <v>57240262</v>
      </c>
      <c r="C2375" s="36" t="s">
        <v>2672</v>
      </c>
      <c r="D2375" s="37">
        <v>42059.716689814813</v>
      </c>
      <c r="E2375" s="37">
        <v>42059.721238425926</v>
      </c>
      <c r="F2375">
        <v>1</v>
      </c>
      <c r="I2375">
        <v>4</v>
      </c>
      <c r="K2375">
        <v>6</v>
      </c>
      <c r="V2375" s="42" t="s">
        <v>49</v>
      </c>
      <c r="W2375" s="47">
        <v>6</v>
      </c>
    </row>
    <row r="2376" spans="1:23" hidden="1">
      <c r="A2376">
        <v>3789914912</v>
      </c>
      <c r="B2376">
        <v>57240262</v>
      </c>
      <c r="C2376" s="36" t="s">
        <v>2673</v>
      </c>
      <c r="D2376" s="37">
        <v>42059.718287037038</v>
      </c>
      <c r="E2376" s="37">
        <v>42059.723738425928</v>
      </c>
      <c r="O2376">
        <v>10</v>
      </c>
      <c r="W2376" s="47"/>
    </row>
    <row r="2377" spans="1:23" hidden="1">
      <c r="A2377">
        <v>3789966685</v>
      </c>
      <c r="B2377">
        <v>57240262</v>
      </c>
      <c r="C2377" s="36" t="s">
        <v>2674</v>
      </c>
      <c r="D2377" s="37">
        <v>42059.731805555559</v>
      </c>
      <c r="E2377" s="37">
        <v>42059.733229166668</v>
      </c>
      <c r="G2377">
        <v>2</v>
      </c>
      <c r="W2377" s="47"/>
    </row>
    <row r="2378" spans="1:23" hidden="1">
      <c r="A2378">
        <v>3789936282</v>
      </c>
      <c r="B2378">
        <v>57240262</v>
      </c>
      <c r="C2378" s="36" t="s">
        <v>2675</v>
      </c>
      <c r="D2378" s="37">
        <v>42059.72384259259</v>
      </c>
      <c r="E2378" s="37">
        <v>42059.737627314818</v>
      </c>
      <c r="G2378">
        <v>2</v>
      </c>
      <c r="W2378" s="47"/>
    </row>
    <row r="2379" spans="1:23">
      <c r="A2379">
        <v>3790017488</v>
      </c>
      <c r="B2379">
        <v>57240262</v>
      </c>
      <c r="C2379" s="36" t="s">
        <v>2676</v>
      </c>
      <c r="D2379" s="37">
        <v>42059.745729166665</v>
      </c>
      <c r="E2379" s="37">
        <v>42059.7503125</v>
      </c>
      <c r="F2379">
        <v>1</v>
      </c>
      <c r="G2379">
        <v>2</v>
      </c>
      <c r="H2379">
        <v>3</v>
      </c>
      <c r="K2379">
        <v>6</v>
      </c>
      <c r="V2379" s="42" t="s">
        <v>109</v>
      </c>
      <c r="W2379" s="47">
        <v>3</v>
      </c>
    </row>
    <row r="2380" spans="1:23" hidden="1">
      <c r="A2380">
        <v>3790082844</v>
      </c>
      <c r="B2380">
        <v>57240262</v>
      </c>
      <c r="C2380" s="36" t="s">
        <v>2677</v>
      </c>
      <c r="D2380" s="37">
        <v>42059.763391203705</v>
      </c>
      <c r="E2380" s="37">
        <v>42059.763680555552</v>
      </c>
      <c r="H2380">
        <v>3</v>
      </c>
      <c r="W2380" s="47"/>
    </row>
    <row r="2381" spans="1:23">
      <c r="A2381">
        <v>3790067726</v>
      </c>
      <c r="B2381">
        <v>57240262</v>
      </c>
      <c r="C2381" s="36" t="s">
        <v>2678</v>
      </c>
      <c r="D2381" s="37">
        <v>42059.759166666663</v>
      </c>
      <c r="E2381" s="37">
        <v>42059.765486111108</v>
      </c>
      <c r="G2381">
        <v>2</v>
      </c>
      <c r="M2381">
        <v>8</v>
      </c>
      <c r="O2381">
        <v>10</v>
      </c>
      <c r="P2381">
        <v>11</v>
      </c>
      <c r="R2381">
        <v>13</v>
      </c>
      <c r="V2381" s="42" t="s">
        <v>198</v>
      </c>
      <c r="W2381" s="47">
        <v>11</v>
      </c>
    </row>
    <row r="2382" spans="1:23">
      <c r="A2382">
        <v>3790110721</v>
      </c>
      <c r="B2382">
        <v>57240262</v>
      </c>
      <c r="C2382" s="36" t="s">
        <v>2679</v>
      </c>
      <c r="D2382" s="37">
        <v>42059.770740740743</v>
      </c>
      <c r="E2382" s="37">
        <v>42059.776076388887</v>
      </c>
      <c r="G2382">
        <v>2</v>
      </c>
      <c r="O2382">
        <v>10</v>
      </c>
      <c r="Q2382">
        <v>12</v>
      </c>
      <c r="V2382" s="42" t="s">
        <v>3454</v>
      </c>
      <c r="W2382" s="47">
        <v>12</v>
      </c>
    </row>
    <row r="2383" spans="1:23" hidden="1">
      <c r="A2383">
        <v>3790124868</v>
      </c>
      <c r="B2383">
        <v>57240262</v>
      </c>
      <c r="C2383" s="36" t="s">
        <v>2680</v>
      </c>
      <c r="D2383" s="37">
        <v>42059.77443287037</v>
      </c>
      <c r="E2383" s="37">
        <v>42059.791319444441</v>
      </c>
      <c r="M2383">
        <v>8</v>
      </c>
      <c r="W2383" s="47"/>
    </row>
    <row r="2384" spans="1:23" hidden="1">
      <c r="A2384">
        <v>3790379441</v>
      </c>
      <c r="B2384">
        <v>57240262</v>
      </c>
      <c r="C2384" s="36" t="s">
        <v>2681</v>
      </c>
      <c r="D2384" s="37">
        <v>42059.839363425926</v>
      </c>
      <c r="E2384" s="37">
        <v>42059.842893518522</v>
      </c>
      <c r="U2384">
        <v>16</v>
      </c>
      <c r="W2384" s="47"/>
    </row>
    <row r="2385" spans="1:23">
      <c r="A2385">
        <v>3790394065</v>
      </c>
      <c r="B2385">
        <v>57240262</v>
      </c>
      <c r="C2385" s="36" t="s">
        <v>2682</v>
      </c>
      <c r="D2385" s="37">
        <v>42059.843287037038</v>
      </c>
      <c r="E2385" s="37">
        <v>42059.847604166665</v>
      </c>
      <c r="F2385">
        <v>1</v>
      </c>
      <c r="G2385">
        <v>2</v>
      </c>
      <c r="O2385">
        <v>10</v>
      </c>
      <c r="V2385" s="42" t="s">
        <v>3455</v>
      </c>
      <c r="W2385" s="47">
        <v>10</v>
      </c>
    </row>
    <row r="2386" spans="1:23" hidden="1">
      <c r="A2386">
        <v>3790709311</v>
      </c>
      <c r="B2386">
        <v>57240262</v>
      </c>
      <c r="C2386" s="36" t="s">
        <v>2683</v>
      </c>
      <c r="D2386" s="37">
        <v>42059.934942129628</v>
      </c>
      <c r="E2386" s="37">
        <v>42059.94122685185</v>
      </c>
      <c r="U2386">
        <v>16</v>
      </c>
      <c r="W2386" s="47"/>
    </row>
    <row r="2387" spans="1:23">
      <c r="A2387">
        <v>3790782830</v>
      </c>
      <c r="B2387">
        <v>57240262</v>
      </c>
      <c r="C2387" s="36" t="s">
        <v>2684</v>
      </c>
      <c r="D2387" s="37">
        <v>42059.958680555559</v>
      </c>
      <c r="E2387" s="37">
        <v>42059.972268518519</v>
      </c>
      <c r="F2387">
        <v>1</v>
      </c>
      <c r="G2387">
        <v>2</v>
      </c>
      <c r="J2387">
        <v>5</v>
      </c>
      <c r="V2387" s="42" t="s">
        <v>28</v>
      </c>
      <c r="W2387" s="47">
        <v>1</v>
      </c>
    </row>
    <row r="2388" spans="1:23" hidden="1">
      <c r="A2388">
        <v>3791514971</v>
      </c>
      <c r="B2388">
        <v>57240262</v>
      </c>
      <c r="C2388" s="36" t="s">
        <v>2685</v>
      </c>
      <c r="D2388" s="37">
        <v>42060.389178240737</v>
      </c>
      <c r="E2388" s="37">
        <v>42060.398645833331</v>
      </c>
      <c r="K2388">
        <v>6</v>
      </c>
      <c r="M2388">
        <v>8</v>
      </c>
      <c r="O2388">
        <v>10</v>
      </c>
      <c r="W2388" s="47"/>
    </row>
    <row r="2389" spans="1:23" hidden="1">
      <c r="A2389">
        <v>3791525829</v>
      </c>
      <c r="B2389">
        <v>57240262</v>
      </c>
      <c r="C2389" s="36" t="s">
        <v>2686</v>
      </c>
      <c r="D2389" s="37">
        <v>42060.395636574074</v>
      </c>
      <c r="E2389" s="37">
        <v>42060.399317129632</v>
      </c>
      <c r="R2389">
        <v>13</v>
      </c>
      <c r="W2389" s="47"/>
    </row>
    <row r="2390" spans="1:23" hidden="1">
      <c r="A2390">
        <v>3791543915</v>
      </c>
      <c r="B2390">
        <v>57240262</v>
      </c>
      <c r="C2390" s="36" t="s">
        <v>2687</v>
      </c>
      <c r="D2390" s="37">
        <v>42060.406331018516</v>
      </c>
      <c r="E2390" s="37">
        <v>42060.409467592595</v>
      </c>
      <c r="G2390">
        <v>2</v>
      </c>
      <c r="W2390" s="47"/>
    </row>
    <row r="2391" spans="1:23" hidden="1">
      <c r="A2391">
        <v>3791551336</v>
      </c>
      <c r="B2391">
        <v>57240262</v>
      </c>
      <c r="C2391" s="36" t="s">
        <v>2688</v>
      </c>
      <c r="D2391" s="37">
        <v>42060.410555555558</v>
      </c>
      <c r="E2391" s="37">
        <v>42060.414849537039</v>
      </c>
      <c r="K2391">
        <v>6</v>
      </c>
      <c r="U2391">
        <v>16</v>
      </c>
      <c r="W2391" s="47"/>
    </row>
    <row r="2392" spans="1:23" hidden="1">
      <c r="A2392">
        <v>3791559692</v>
      </c>
      <c r="B2392">
        <v>57240262</v>
      </c>
      <c r="C2392" s="36" t="s">
        <v>2689</v>
      </c>
      <c r="D2392" s="37">
        <v>42060.415648148148</v>
      </c>
      <c r="E2392" s="37">
        <v>42060.418090277781</v>
      </c>
      <c r="U2392">
        <v>16</v>
      </c>
      <c r="W2392" s="47"/>
    </row>
    <row r="2393" spans="1:23" hidden="1">
      <c r="A2393">
        <v>3791597731</v>
      </c>
      <c r="B2393">
        <v>57240262</v>
      </c>
      <c r="C2393" s="36" t="s">
        <v>2690</v>
      </c>
      <c r="D2393" s="37">
        <v>42060.437719907408</v>
      </c>
      <c r="E2393" s="37">
        <v>42060.438634259262</v>
      </c>
      <c r="U2393">
        <v>16</v>
      </c>
      <c r="W2393" s="47"/>
    </row>
    <row r="2394" spans="1:23" hidden="1">
      <c r="A2394">
        <v>3791616965</v>
      </c>
      <c r="B2394">
        <v>57240262</v>
      </c>
      <c r="C2394" s="36" t="s">
        <v>2691</v>
      </c>
      <c r="D2394" s="37">
        <v>42060.44903935185</v>
      </c>
      <c r="E2394" s="37">
        <v>42060.454502314817</v>
      </c>
      <c r="U2394">
        <v>16</v>
      </c>
      <c r="W2394" s="47"/>
    </row>
    <row r="2395" spans="1:23" hidden="1">
      <c r="A2395">
        <v>3791655732</v>
      </c>
      <c r="B2395">
        <v>57240262</v>
      </c>
      <c r="C2395" s="36" t="s">
        <v>2692</v>
      </c>
      <c r="D2395" s="37">
        <v>42060.470520833333</v>
      </c>
      <c r="E2395" s="37">
        <v>42060.475937499999</v>
      </c>
      <c r="F2395">
        <v>1</v>
      </c>
      <c r="W2395" s="47"/>
    </row>
    <row r="2396" spans="1:23" hidden="1">
      <c r="A2396">
        <v>3791663171</v>
      </c>
      <c r="B2396">
        <v>57240262</v>
      </c>
      <c r="C2396" s="36" t="s">
        <v>2693</v>
      </c>
      <c r="D2396" s="37">
        <v>42060.474432870367</v>
      </c>
      <c r="E2396" s="37">
        <v>42060.482789351852</v>
      </c>
      <c r="Q2396">
        <v>12</v>
      </c>
      <c r="W2396" s="47"/>
    </row>
    <row r="2397" spans="1:23" ht="24">
      <c r="A2397">
        <v>3791675010</v>
      </c>
      <c r="B2397">
        <v>57240262</v>
      </c>
      <c r="C2397" s="36" t="s">
        <v>2694</v>
      </c>
      <c r="D2397" s="37">
        <v>42060.480567129627</v>
      </c>
      <c r="E2397" s="37">
        <v>42060.489062499997</v>
      </c>
      <c r="U2397">
        <v>16</v>
      </c>
      <c r="V2397" s="42" t="s">
        <v>3456</v>
      </c>
      <c r="W2397" s="47">
        <v>16</v>
      </c>
    </row>
    <row r="2398" spans="1:23" hidden="1">
      <c r="A2398">
        <v>3791693830</v>
      </c>
      <c r="B2398">
        <v>57240262</v>
      </c>
      <c r="C2398" s="36" t="s">
        <v>2695</v>
      </c>
      <c r="D2398" s="37">
        <v>42060.490023148152</v>
      </c>
      <c r="E2398" s="37">
        <v>42060.490856481483</v>
      </c>
      <c r="F2398">
        <v>1</v>
      </c>
      <c r="W2398" s="47"/>
    </row>
    <row r="2399" spans="1:23" hidden="1">
      <c r="A2399">
        <v>3791690229</v>
      </c>
      <c r="B2399">
        <v>57240262</v>
      </c>
      <c r="C2399" s="36" t="s">
        <v>2696</v>
      </c>
      <c r="D2399" s="37">
        <v>42060.486574074072</v>
      </c>
      <c r="E2399" s="37">
        <v>42060.490868055553</v>
      </c>
      <c r="U2399">
        <v>16</v>
      </c>
      <c r="W2399" s="47"/>
    </row>
    <row r="2400" spans="1:23" hidden="1">
      <c r="A2400">
        <v>3791678675</v>
      </c>
      <c r="B2400">
        <v>57240262</v>
      </c>
      <c r="C2400" s="36" t="s">
        <v>2697</v>
      </c>
      <c r="D2400" s="37">
        <v>42060.482453703706</v>
      </c>
      <c r="E2400" s="37">
        <v>42060.492812500001</v>
      </c>
      <c r="K2400">
        <v>6</v>
      </c>
      <c r="W2400" s="47"/>
    </row>
    <row r="2401" spans="1:23">
      <c r="A2401">
        <v>3791689868</v>
      </c>
      <c r="B2401">
        <v>57240262</v>
      </c>
      <c r="C2401" s="36" t="s">
        <v>2698</v>
      </c>
      <c r="D2401" s="37">
        <v>42060.487835648149</v>
      </c>
      <c r="E2401" s="37">
        <v>42060.49523148148</v>
      </c>
      <c r="F2401">
        <v>1</v>
      </c>
      <c r="G2401">
        <v>2</v>
      </c>
      <c r="O2401">
        <v>10</v>
      </c>
      <c r="Q2401">
        <v>12</v>
      </c>
      <c r="V2401" s="42" t="s">
        <v>30</v>
      </c>
      <c r="W2401" s="47">
        <v>2</v>
      </c>
    </row>
    <row r="2402" spans="1:23" hidden="1">
      <c r="A2402">
        <v>3791712817</v>
      </c>
      <c r="B2402">
        <v>57240262</v>
      </c>
      <c r="C2402" s="36" t="s">
        <v>2699</v>
      </c>
      <c r="D2402" s="37">
        <v>42060.499479166669</v>
      </c>
      <c r="E2402" s="37">
        <v>42060.503055555557</v>
      </c>
      <c r="U2402">
        <v>16</v>
      </c>
      <c r="W2402" s="47"/>
    </row>
    <row r="2403" spans="1:23" hidden="1">
      <c r="A2403">
        <v>3791763778</v>
      </c>
      <c r="B2403">
        <v>57240262</v>
      </c>
      <c r="C2403" s="36" t="s">
        <v>2700</v>
      </c>
      <c r="D2403" s="37">
        <v>42060.522222222222</v>
      </c>
      <c r="E2403" s="37">
        <v>42060.525914351849</v>
      </c>
      <c r="G2403">
        <v>2</v>
      </c>
      <c r="I2403">
        <v>4</v>
      </c>
      <c r="W2403" s="47"/>
    </row>
    <row r="2404" spans="1:23" hidden="1">
      <c r="A2404">
        <v>3791763732</v>
      </c>
      <c r="B2404">
        <v>57240262</v>
      </c>
      <c r="C2404" s="36" t="s">
        <v>2701</v>
      </c>
      <c r="D2404" s="37">
        <v>42060.522210648145</v>
      </c>
      <c r="E2404" s="37">
        <v>42060.526631944442</v>
      </c>
      <c r="N2404">
        <v>9</v>
      </c>
      <c r="W2404" s="47"/>
    </row>
    <row r="2405" spans="1:23" hidden="1">
      <c r="A2405">
        <v>3791878573</v>
      </c>
      <c r="B2405">
        <v>57240262</v>
      </c>
      <c r="C2405" s="36" t="s">
        <v>2702</v>
      </c>
      <c r="D2405" s="37">
        <v>42060.564814814818</v>
      </c>
      <c r="E2405" s="37">
        <v>42060.57298611111</v>
      </c>
      <c r="G2405">
        <v>2</v>
      </c>
      <c r="J2405">
        <v>5</v>
      </c>
      <c r="O2405">
        <v>10</v>
      </c>
      <c r="R2405">
        <v>13</v>
      </c>
      <c r="W2405" s="47"/>
    </row>
    <row r="2406" spans="1:23" hidden="1">
      <c r="A2406">
        <v>3791918387</v>
      </c>
      <c r="B2406">
        <v>57240262</v>
      </c>
      <c r="C2406" s="36" t="s">
        <v>2703</v>
      </c>
      <c r="D2406" s="37">
        <v>42060.577407407407</v>
      </c>
      <c r="E2406" s="37">
        <v>42060.588460648149</v>
      </c>
      <c r="F2406">
        <v>1</v>
      </c>
      <c r="L2406">
        <v>7</v>
      </c>
      <c r="W2406" s="47"/>
    </row>
    <row r="2407" spans="1:23" hidden="1">
      <c r="A2407">
        <v>3791961241</v>
      </c>
      <c r="B2407">
        <v>57240262</v>
      </c>
      <c r="C2407" s="36" t="s">
        <v>2704</v>
      </c>
      <c r="D2407" s="37">
        <v>42060.590300925927</v>
      </c>
      <c r="E2407" s="37">
        <v>42060.594733796293</v>
      </c>
      <c r="U2407">
        <v>16</v>
      </c>
      <c r="W2407" s="47"/>
    </row>
    <row r="2408" spans="1:23" hidden="1">
      <c r="A2408">
        <v>3791972824</v>
      </c>
      <c r="B2408">
        <v>57240262</v>
      </c>
      <c r="C2408" s="36" t="s">
        <v>2705</v>
      </c>
      <c r="D2408" s="37">
        <v>42060.593298611115</v>
      </c>
      <c r="E2408" s="37">
        <v>42060.596145833333</v>
      </c>
      <c r="U2408">
        <v>16</v>
      </c>
      <c r="W2408" s="47"/>
    </row>
    <row r="2409" spans="1:23" hidden="1">
      <c r="A2409">
        <v>3792044312</v>
      </c>
      <c r="B2409">
        <v>57240262</v>
      </c>
      <c r="C2409" s="36" t="s">
        <v>2706</v>
      </c>
      <c r="D2409" s="37">
        <v>42060.613206018519</v>
      </c>
      <c r="E2409" s="37">
        <v>42060.615706018521</v>
      </c>
      <c r="F2409">
        <v>1</v>
      </c>
      <c r="G2409">
        <v>2</v>
      </c>
      <c r="H2409">
        <v>3</v>
      </c>
      <c r="K2409">
        <v>6</v>
      </c>
      <c r="M2409">
        <v>8</v>
      </c>
      <c r="N2409">
        <v>9</v>
      </c>
      <c r="O2409">
        <v>10</v>
      </c>
      <c r="Q2409">
        <v>12</v>
      </c>
      <c r="W2409" s="47"/>
    </row>
    <row r="2410" spans="1:23">
      <c r="A2410">
        <v>3791696772</v>
      </c>
      <c r="B2410">
        <v>57240262</v>
      </c>
      <c r="C2410" s="36" t="s">
        <v>2707</v>
      </c>
      <c r="D2410" s="37">
        <v>42060.490972222222</v>
      </c>
      <c r="E2410" s="37">
        <v>42060.616030092591</v>
      </c>
      <c r="K2410">
        <v>6</v>
      </c>
      <c r="M2410">
        <v>8</v>
      </c>
      <c r="O2410">
        <v>10</v>
      </c>
      <c r="V2410" s="42" t="s">
        <v>3457</v>
      </c>
      <c r="W2410" s="47">
        <v>8</v>
      </c>
    </row>
    <row r="2411" spans="1:23">
      <c r="A2411">
        <v>3792427273</v>
      </c>
      <c r="B2411">
        <v>57240262</v>
      </c>
      <c r="C2411" s="36" t="s">
        <v>2708</v>
      </c>
      <c r="D2411" s="37">
        <v>42060.709432870368</v>
      </c>
      <c r="E2411" s="37">
        <v>42060.717037037037</v>
      </c>
      <c r="K2411">
        <v>6</v>
      </c>
      <c r="N2411">
        <v>9</v>
      </c>
      <c r="V2411" s="42" t="s">
        <v>3458</v>
      </c>
      <c r="W2411" s="47">
        <v>6</v>
      </c>
    </row>
    <row r="2412" spans="1:23" hidden="1">
      <c r="A2412">
        <v>3792544411</v>
      </c>
      <c r="B2412">
        <v>57240262</v>
      </c>
      <c r="C2412" s="36" t="s">
        <v>2709</v>
      </c>
      <c r="D2412" s="37">
        <v>42060.739444444444</v>
      </c>
      <c r="E2412" s="37">
        <v>42060.744201388887</v>
      </c>
      <c r="I2412">
        <v>4</v>
      </c>
      <c r="P2412">
        <v>11</v>
      </c>
      <c r="Q2412">
        <v>12</v>
      </c>
      <c r="W2412" s="47"/>
    </row>
    <row r="2413" spans="1:23" hidden="1">
      <c r="A2413">
        <v>3792570591</v>
      </c>
      <c r="B2413">
        <v>57240262</v>
      </c>
      <c r="C2413" s="36" t="s">
        <v>2710</v>
      </c>
      <c r="D2413" s="37">
        <v>42060.74622685185</v>
      </c>
      <c r="E2413" s="37">
        <v>42060.747013888889</v>
      </c>
      <c r="F2413">
        <v>1</v>
      </c>
      <c r="W2413" s="47"/>
    </row>
    <row r="2414" spans="1:23">
      <c r="A2414">
        <v>3792849924</v>
      </c>
      <c r="B2414">
        <v>57240262</v>
      </c>
      <c r="C2414" s="36" t="s">
        <v>2711</v>
      </c>
      <c r="D2414" s="37">
        <v>42060.818645833337</v>
      </c>
      <c r="E2414" s="37">
        <v>42060.823368055557</v>
      </c>
      <c r="I2414">
        <v>4</v>
      </c>
      <c r="K2414">
        <v>6</v>
      </c>
      <c r="S2414">
        <v>14</v>
      </c>
      <c r="V2414" s="42" t="s">
        <v>149</v>
      </c>
      <c r="W2414" s="47">
        <v>14</v>
      </c>
    </row>
    <row r="2415" spans="1:23" hidden="1">
      <c r="A2415">
        <v>3792936577</v>
      </c>
      <c r="B2415">
        <v>57240262</v>
      </c>
      <c r="C2415" s="36" t="s">
        <v>2712</v>
      </c>
      <c r="D2415" s="37">
        <v>42060.840486111112</v>
      </c>
      <c r="E2415" s="37">
        <v>42060.846342592595</v>
      </c>
      <c r="J2415">
        <v>5</v>
      </c>
      <c r="W2415" s="47"/>
    </row>
    <row r="2416" spans="1:23" hidden="1">
      <c r="A2416">
        <v>3793027303</v>
      </c>
      <c r="B2416">
        <v>57240262</v>
      </c>
      <c r="C2416" s="36" t="s">
        <v>2713</v>
      </c>
      <c r="D2416" s="37">
        <v>42060.864756944444</v>
      </c>
      <c r="E2416" s="37">
        <v>42060.873831018522</v>
      </c>
      <c r="U2416">
        <v>16</v>
      </c>
      <c r="W2416" s="47"/>
    </row>
    <row r="2417" spans="1:23" hidden="1">
      <c r="A2417">
        <v>3793071456</v>
      </c>
      <c r="B2417">
        <v>57240262</v>
      </c>
      <c r="C2417" s="36" t="s">
        <v>2714</v>
      </c>
      <c r="D2417" s="37">
        <v>42060.87704861111</v>
      </c>
      <c r="E2417" s="37">
        <v>42060.877847222226</v>
      </c>
      <c r="W2417" s="47"/>
    </row>
    <row r="2418" spans="1:23" hidden="1">
      <c r="A2418">
        <v>3793049184</v>
      </c>
      <c r="B2418">
        <v>57240262</v>
      </c>
      <c r="C2418" s="36" t="s">
        <v>2715</v>
      </c>
      <c r="D2418" s="37">
        <v>42060.870648148149</v>
      </c>
      <c r="E2418" s="37">
        <v>42060.878055555557</v>
      </c>
      <c r="F2418">
        <v>1</v>
      </c>
      <c r="K2418">
        <v>6</v>
      </c>
      <c r="W2418" s="47"/>
    </row>
    <row r="2419" spans="1:23">
      <c r="A2419">
        <v>3793015999</v>
      </c>
      <c r="B2419">
        <v>57240262</v>
      </c>
      <c r="C2419" s="36" t="s">
        <v>2716</v>
      </c>
      <c r="D2419" s="37">
        <v>42060.861701388887</v>
      </c>
      <c r="E2419" s="37">
        <v>42060.881168981483</v>
      </c>
      <c r="F2419">
        <v>1</v>
      </c>
      <c r="G2419">
        <v>2</v>
      </c>
      <c r="H2419">
        <v>3</v>
      </c>
      <c r="O2419">
        <v>10</v>
      </c>
      <c r="V2419" s="42" t="s">
        <v>25</v>
      </c>
      <c r="W2419" s="47">
        <v>1</v>
      </c>
    </row>
    <row r="2420" spans="1:23" hidden="1">
      <c r="A2420">
        <v>3793220140</v>
      </c>
      <c r="B2420">
        <v>57240262</v>
      </c>
      <c r="C2420" s="36" t="s">
        <v>2717</v>
      </c>
      <c r="D2420" s="37">
        <v>42060.920034722221</v>
      </c>
      <c r="E2420" s="37">
        <v>42060.928020833337</v>
      </c>
      <c r="U2420">
        <v>16</v>
      </c>
      <c r="W2420" s="47"/>
    </row>
    <row r="2421" spans="1:23" hidden="1">
      <c r="A2421">
        <v>3793290566</v>
      </c>
      <c r="B2421">
        <v>57240262</v>
      </c>
      <c r="C2421" s="36" t="s">
        <v>2718</v>
      </c>
      <c r="D2421" s="37">
        <v>42060.942974537036</v>
      </c>
      <c r="E2421" s="37">
        <v>42060.94804398148</v>
      </c>
      <c r="F2421">
        <v>1</v>
      </c>
      <c r="G2421">
        <v>2</v>
      </c>
      <c r="H2421">
        <v>3</v>
      </c>
      <c r="K2421">
        <v>6</v>
      </c>
      <c r="P2421">
        <v>11</v>
      </c>
      <c r="Q2421">
        <v>12</v>
      </c>
      <c r="W2421" s="47"/>
    </row>
    <row r="2422" spans="1:23">
      <c r="A2422">
        <v>3794007356</v>
      </c>
      <c r="B2422">
        <v>57240262</v>
      </c>
      <c r="C2422" s="36" t="s">
        <v>2719</v>
      </c>
      <c r="D2422" s="37">
        <v>42061.343935185185</v>
      </c>
      <c r="E2422" s="37">
        <v>42061.354270833333</v>
      </c>
      <c r="F2422">
        <v>1</v>
      </c>
      <c r="G2422">
        <v>2</v>
      </c>
      <c r="K2422">
        <v>6</v>
      </c>
      <c r="O2422">
        <v>10</v>
      </c>
      <c r="Q2422">
        <v>12</v>
      </c>
      <c r="V2422" s="42" t="s">
        <v>171</v>
      </c>
      <c r="W2422" s="47">
        <v>12</v>
      </c>
    </row>
    <row r="2423" spans="1:23" hidden="1">
      <c r="A2423">
        <v>3794137500</v>
      </c>
      <c r="B2423">
        <v>57240262</v>
      </c>
      <c r="C2423" s="36" t="s">
        <v>2720</v>
      </c>
      <c r="D2423" s="37">
        <v>42061.427210648151</v>
      </c>
      <c r="E2423" s="37">
        <v>42061.432291666664</v>
      </c>
      <c r="F2423">
        <v>1</v>
      </c>
      <c r="W2423" s="47"/>
    </row>
    <row r="2424" spans="1:23" hidden="1">
      <c r="A2424">
        <v>3794189561</v>
      </c>
      <c r="B2424">
        <v>57240262</v>
      </c>
      <c r="C2424" s="36" t="s">
        <v>2721</v>
      </c>
      <c r="D2424" s="37">
        <v>42061.457291666666</v>
      </c>
      <c r="E2424" s="37">
        <v>42061.462245370371</v>
      </c>
      <c r="I2424">
        <v>4</v>
      </c>
      <c r="W2424" s="47"/>
    </row>
    <row r="2425" spans="1:23" ht="24">
      <c r="A2425">
        <v>3794494133</v>
      </c>
      <c r="B2425">
        <v>57240262</v>
      </c>
      <c r="C2425" s="36" t="s">
        <v>2722</v>
      </c>
      <c r="D2425" s="37">
        <v>42061.592233796298</v>
      </c>
      <c r="E2425" s="37">
        <v>42061.603391203702</v>
      </c>
      <c r="F2425">
        <v>1</v>
      </c>
      <c r="K2425">
        <v>6</v>
      </c>
      <c r="M2425">
        <v>8</v>
      </c>
      <c r="O2425">
        <v>10</v>
      </c>
      <c r="V2425" s="42" t="s">
        <v>3459</v>
      </c>
      <c r="W2425" s="47">
        <v>10</v>
      </c>
    </row>
    <row r="2426" spans="1:23" hidden="1">
      <c r="A2426">
        <v>3794525436</v>
      </c>
      <c r="B2426">
        <v>57240262</v>
      </c>
      <c r="C2426" s="36" t="s">
        <v>2723</v>
      </c>
      <c r="D2426" s="37">
        <v>42061.601886574077</v>
      </c>
      <c r="E2426" s="37">
        <v>42061.607094907406</v>
      </c>
      <c r="H2426">
        <v>3</v>
      </c>
      <c r="O2426">
        <v>10</v>
      </c>
      <c r="W2426" s="47"/>
    </row>
    <row r="2427" spans="1:23" hidden="1">
      <c r="A2427">
        <v>3794574886</v>
      </c>
      <c r="B2427">
        <v>57240262</v>
      </c>
      <c r="C2427" s="36" t="s">
        <v>2724</v>
      </c>
      <c r="D2427" s="37">
        <v>42061.616099537037</v>
      </c>
      <c r="E2427" s="37">
        <v>42061.620671296296</v>
      </c>
      <c r="Q2427">
        <v>12</v>
      </c>
      <c r="W2427" s="47"/>
    </row>
    <row r="2428" spans="1:23" hidden="1">
      <c r="A2428">
        <v>3794653362</v>
      </c>
      <c r="B2428">
        <v>57240262</v>
      </c>
      <c r="C2428" s="36" t="s">
        <v>2725</v>
      </c>
      <c r="D2428" s="37">
        <v>42061.638194444444</v>
      </c>
      <c r="E2428" s="37">
        <v>42061.655069444445</v>
      </c>
      <c r="U2428">
        <v>16</v>
      </c>
      <c r="W2428" s="47"/>
    </row>
    <row r="2429" spans="1:23" hidden="1">
      <c r="A2429">
        <v>3794586591</v>
      </c>
      <c r="B2429">
        <v>57240262</v>
      </c>
      <c r="C2429" s="36" t="s">
        <v>2726</v>
      </c>
      <c r="D2429" s="37">
        <v>42061.618194444447</v>
      </c>
      <c r="E2429" s="37">
        <v>42061.657893518517</v>
      </c>
      <c r="U2429">
        <v>16</v>
      </c>
      <c r="W2429" s="47"/>
    </row>
    <row r="2430" spans="1:23" hidden="1">
      <c r="A2430">
        <v>3794685575</v>
      </c>
      <c r="B2430">
        <v>57240262</v>
      </c>
      <c r="C2430" s="36" t="s">
        <v>2727</v>
      </c>
      <c r="D2430" s="37">
        <v>42061.646770833337</v>
      </c>
      <c r="E2430" s="37">
        <v>42061.658495370371</v>
      </c>
      <c r="F2430">
        <v>1</v>
      </c>
      <c r="G2430">
        <v>2</v>
      </c>
      <c r="W2430" s="47"/>
    </row>
    <row r="2431" spans="1:23" hidden="1">
      <c r="A2431">
        <v>3794778452</v>
      </c>
      <c r="B2431">
        <v>57240262</v>
      </c>
      <c r="C2431" s="36" t="s">
        <v>2728</v>
      </c>
      <c r="D2431" s="37">
        <v>42061.672326388885</v>
      </c>
      <c r="E2431" s="37">
        <v>42061.675312500003</v>
      </c>
      <c r="G2431">
        <v>2</v>
      </c>
      <c r="W2431" s="47"/>
    </row>
    <row r="2432" spans="1:23" hidden="1">
      <c r="A2432">
        <v>3794817971</v>
      </c>
      <c r="B2432">
        <v>57240262</v>
      </c>
      <c r="C2432" s="36" t="s">
        <v>2729</v>
      </c>
      <c r="D2432" s="37">
        <v>42061.682303240741</v>
      </c>
      <c r="E2432" s="37">
        <v>42061.68478009259</v>
      </c>
      <c r="H2432">
        <v>3</v>
      </c>
      <c r="W2432" s="47"/>
    </row>
    <row r="2433" spans="1:23" hidden="1">
      <c r="A2433">
        <v>3795187770</v>
      </c>
      <c r="B2433">
        <v>57240262</v>
      </c>
      <c r="C2433" s="36" t="s">
        <v>2730</v>
      </c>
      <c r="D2433" s="37">
        <v>42061.781435185185</v>
      </c>
      <c r="E2433" s="37">
        <v>42061.786747685182</v>
      </c>
      <c r="F2433">
        <v>1</v>
      </c>
      <c r="Q2433">
        <v>12</v>
      </c>
      <c r="W2433" s="47"/>
    </row>
    <row r="2434" spans="1:23">
      <c r="A2434">
        <v>3795576313</v>
      </c>
      <c r="B2434">
        <v>57240262</v>
      </c>
      <c r="C2434" s="36" t="s">
        <v>2731</v>
      </c>
      <c r="D2434" s="37">
        <v>42061.886678240742</v>
      </c>
      <c r="E2434" s="37">
        <v>42061.889733796299</v>
      </c>
      <c r="F2434">
        <v>1</v>
      </c>
      <c r="G2434">
        <v>2</v>
      </c>
      <c r="O2434">
        <v>10</v>
      </c>
      <c r="V2434" s="42" t="s">
        <v>77</v>
      </c>
      <c r="W2434" s="47">
        <v>2</v>
      </c>
    </row>
    <row r="2435" spans="1:23" hidden="1">
      <c r="A2435">
        <v>3795583260</v>
      </c>
      <c r="B2435">
        <v>57240262</v>
      </c>
      <c r="C2435" s="36" t="s">
        <v>2732</v>
      </c>
      <c r="D2435" s="37">
        <v>42061.888773148145</v>
      </c>
      <c r="E2435" s="37">
        <v>42061.890266203707</v>
      </c>
      <c r="U2435">
        <v>16</v>
      </c>
      <c r="W2435" s="47"/>
    </row>
    <row r="2436" spans="1:23" hidden="1">
      <c r="A2436">
        <v>3795570840</v>
      </c>
      <c r="B2436">
        <v>57240262</v>
      </c>
      <c r="C2436" s="36" t="s">
        <v>2733</v>
      </c>
      <c r="D2436" s="37">
        <v>42061.88521990741</v>
      </c>
      <c r="E2436" s="37">
        <v>42061.890856481485</v>
      </c>
      <c r="G2436">
        <v>2</v>
      </c>
      <c r="W2436" s="47"/>
    </row>
    <row r="2437" spans="1:23" hidden="1">
      <c r="A2437">
        <v>3795574870</v>
      </c>
      <c r="B2437">
        <v>57240262</v>
      </c>
      <c r="C2437" s="36" t="s">
        <v>2734</v>
      </c>
      <c r="D2437" s="37">
        <v>42061.886307870373</v>
      </c>
      <c r="E2437" s="37">
        <v>42061.894050925926</v>
      </c>
      <c r="I2437">
        <v>4</v>
      </c>
      <c r="K2437">
        <v>6</v>
      </c>
      <c r="P2437">
        <v>11</v>
      </c>
      <c r="W2437" s="47"/>
    </row>
    <row r="2438" spans="1:23">
      <c r="A2438">
        <v>3795577823</v>
      </c>
      <c r="B2438">
        <v>57240262</v>
      </c>
      <c r="C2438" s="36" t="s">
        <v>2735</v>
      </c>
      <c r="D2438" s="37">
        <v>42061.88722222222</v>
      </c>
      <c r="E2438" s="37">
        <v>42061.894201388888</v>
      </c>
      <c r="F2438">
        <v>1</v>
      </c>
      <c r="G2438">
        <v>2</v>
      </c>
      <c r="K2438">
        <v>6</v>
      </c>
      <c r="O2438">
        <v>10</v>
      </c>
      <c r="R2438">
        <v>13</v>
      </c>
      <c r="V2438" s="42" t="s">
        <v>3460</v>
      </c>
      <c r="W2438" s="47">
        <v>13</v>
      </c>
    </row>
    <row r="2439" spans="1:23" ht="24">
      <c r="A2439">
        <v>3795578853</v>
      </c>
      <c r="B2439">
        <v>57240262</v>
      </c>
      <c r="C2439" s="36" t="s">
        <v>2736</v>
      </c>
      <c r="D2439" s="37">
        <v>42061.887557870374</v>
      </c>
      <c r="E2439" s="37">
        <v>42061.896423611113</v>
      </c>
      <c r="F2439">
        <v>1</v>
      </c>
      <c r="G2439">
        <v>2</v>
      </c>
      <c r="H2439">
        <v>3</v>
      </c>
      <c r="O2439">
        <v>10</v>
      </c>
      <c r="Q2439">
        <v>12</v>
      </c>
      <c r="V2439" s="42" t="s">
        <v>3461</v>
      </c>
      <c r="W2439" s="47">
        <v>10</v>
      </c>
    </row>
    <row r="2440" spans="1:23" hidden="1">
      <c r="A2440">
        <v>3795587656</v>
      </c>
      <c r="B2440">
        <v>57240262</v>
      </c>
      <c r="C2440" s="36" t="s">
        <v>2737</v>
      </c>
      <c r="D2440" s="37">
        <v>42061.889976851853</v>
      </c>
      <c r="E2440" s="37">
        <v>42061.899861111109</v>
      </c>
      <c r="F2440">
        <v>1</v>
      </c>
      <c r="W2440" s="47"/>
    </row>
    <row r="2441" spans="1:23" hidden="1">
      <c r="A2441">
        <v>3795606607</v>
      </c>
      <c r="B2441">
        <v>57240262</v>
      </c>
      <c r="C2441" s="36" t="s">
        <v>2738</v>
      </c>
      <c r="D2441" s="37">
        <v>42061.895648148151</v>
      </c>
      <c r="E2441" s="37">
        <v>42061.90421296296</v>
      </c>
      <c r="O2441">
        <v>10</v>
      </c>
      <c r="W2441" s="47"/>
    </row>
    <row r="2442" spans="1:23" hidden="1">
      <c r="A2442">
        <v>3795708786</v>
      </c>
      <c r="B2442">
        <v>57240262</v>
      </c>
      <c r="C2442" s="36" t="s">
        <v>2739</v>
      </c>
      <c r="D2442" s="37">
        <v>42061.926851851851</v>
      </c>
      <c r="E2442" s="37">
        <v>42061.937928240739</v>
      </c>
      <c r="F2442">
        <v>1</v>
      </c>
      <c r="G2442">
        <v>2</v>
      </c>
      <c r="W2442" s="47"/>
    </row>
    <row r="2443" spans="1:23">
      <c r="A2443">
        <v>3795780261</v>
      </c>
      <c r="B2443">
        <v>57240262</v>
      </c>
      <c r="C2443" s="36" t="s">
        <v>2740</v>
      </c>
      <c r="D2443" s="37">
        <v>42061.951006944444</v>
      </c>
      <c r="E2443" s="37">
        <v>42061.957233796296</v>
      </c>
      <c r="F2443">
        <v>1</v>
      </c>
      <c r="G2443">
        <v>2</v>
      </c>
      <c r="K2443">
        <v>6</v>
      </c>
      <c r="O2443">
        <v>10</v>
      </c>
      <c r="V2443" s="42" t="s">
        <v>177</v>
      </c>
      <c r="W2443" s="47">
        <v>10</v>
      </c>
    </row>
    <row r="2444" spans="1:23" hidden="1">
      <c r="A2444">
        <v>3795811778</v>
      </c>
      <c r="B2444">
        <v>57240262</v>
      </c>
      <c r="C2444" s="36" t="s">
        <v>2741</v>
      </c>
      <c r="D2444" s="37">
        <v>42061.962430555555</v>
      </c>
      <c r="E2444" s="37">
        <v>42061.967268518521</v>
      </c>
      <c r="O2444">
        <v>10</v>
      </c>
      <c r="W2444" s="47"/>
    </row>
    <row r="2445" spans="1:23" hidden="1">
      <c r="A2445">
        <v>3795907905</v>
      </c>
      <c r="B2445">
        <v>57240262</v>
      </c>
      <c r="C2445" s="36" t="s">
        <v>2742</v>
      </c>
      <c r="D2445" s="37">
        <v>42062.001550925925</v>
      </c>
      <c r="E2445" s="37">
        <v>42062.002199074072</v>
      </c>
      <c r="W2445" s="47"/>
    </row>
    <row r="2446" spans="1:23" hidden="1">
      <c r="A2446">
        <v>3795906235</v>
      </c>
      <c r="B2446">
        <v>57240262</v>
      </c>
      <c r="C2446" s="36" t="s">
        <v>2743</v>
      </c>
      <c r="D2446" s="37">
        <v>42062.000868055555</v>
      </c>
      <c r="E2446" s="37">
        <v>42062.007141203707</v>
      </c>
      <c r="F2446">
        <v>1</v>
      </c>
      <c r="W2446" s="47"/>
    </row>
    <row r="2447" spans="1:23" hidden="1">
      <c r="A2447">
        <v>3795918280</v>
      </c>
      <c r="B2447">
        <v>57240262</v>
      </c>
      <c r="C2447" s="36" t="s">
        <v>2744</v>
      </c>
      <c r="D2447" s="37">
        <v>42062.006157407406</v>
      </c>
      <c r="E2447" s="37">
        <v>42062.013090277775</v>
      </c>
      <c r="F2447">
        <v>1</v>
      </c>
      <c r="G2447">
        <v>2</v>
      </c>
      <c r="I2447">
        <v>4</v>
      </c>
      <c r="O2447">
        <v>10</v>
      </c>
      <c r="P2447">
        <v>11</v>
      </c>
      <c r="R2447">
        <v>13</v>
      </c>
      <c r="W2447" s="47"/>
    </row>
    <row r="2448" spans="1:23" hidden="1">
      <c r="A2448">
        <v>3795926611</v>
      </c>
      <c r="B2448">
        <v>57240262</v>
      </c>
      <c r="C2448" s="36" t="s">
        <v>2745</v>
      </c>
      <c r="D2448" s="37">
        <v>42062.009745370371</v>
      </c>
      <c r="E2448" s="37">
        <v>42062.01835648148</v>
      </c>
      <c r="U2448">
        <v>16</v>
      </c>
      <c r="W2448" s="47"/>
    </row>
    <row r="2449" spans="1:23" hidden="1">
      <c r="A2449">
        <v>3795963263</v>
      </c>
      <c r="B2449">
        <v>57240262</v>
      </c>
      <c r="C2449" s="36" t="s">
        <v>2746</v>
      </c>
      <c r="D2449" s="37">
        <v>42062.027048611111</v>
      </c>
      <c r="E2449" s="37">
        <v>42062.030624999999</v>
      </c>
      <c r="G2449">
        <v>2</v>
      </c>
      <c r="O2449">
        <v>10</v>
      </c>
      <c r="R2449">
        <v>13</v>
      </c>
      <c r="W2449" s="47"/>
    </row>
    <row r="2450" spans="1:23" hidden="1">
      <c r="A2450">
        <v>3796078177</v>
      </c>
      <c r="B2450">
        <v>57240262</v>
      </c>
      <c r="C2450" s="36" t="s">
        <v>2747</v>
      </c>
      <c r="D2450" s="37">
        <v>42062.08625</v>
      </c>
      <c r="E2450" s="37">
        <v>42062.09003472222</v>
      </c>
      <c r="F2450">
        <v>1</v>
      </c>
      <c r="G2450">
        <v>2</v>
      </c>
      <c r="O2450">
        <v>10</v>
      </c>
      <c r="W2450" s="47"/>
    </row>
    <row r="2451" spans="1:23" hidden="1">
      <c r="A2451">
        <v>3796361344</v>
      </c>
      <c r="B2451">
        <v>57240262</v>
      </c>
      <c r="C2451" s="36" t="s">
        <v>2748</v>
      </c>
      <c r="D2451" s="37">
        <v>42062.305925925924</v>
      </c>
      <c r="E2451" s="37">
        <v>42062.311736111114</v>
      </c>
      <c r="N2451">
        <v>9</v>
      </c>
      <c r="W2451" s="47"/>
    </row>
    <row r="2452" spans="1:23" hidden="1">
      <c r="A2452">
        <v>3796380532</v>
      </c>
      <c r="B2452">
        <v>57240262</v>
      </c>
      <c r="C2452" s="36" t="s">
        <v>2749</v>
      </c>
      <c r="D2452" s="37">
        <v>42062.323935185188</v>
      </c>
      <c r="E2452" s="37">
        <v>42062.328182870369</v>
      </c>
      <c r="I2452">
        <v>4</v>
      </c>
      <c r="J2452">
        <v>5</v>
      </c>
      <c r="W2452" s="47"/>
    </row>
    <row r="2453" spans="1:23" hidden="1">
      <c r="A2453">
        <v>3796540492</v>
      </c>
      <c r="B2453">
        <v>57240262</v>
      </c>
      <c r="C2453" s="36" t="s">
        <v>2750</v>
      </c>
      <c r="D2453" s="37">
        <v>42062.439085648148</v>
      </c>
      <c r="E2453" s="37">
        <v>42062.450162037036</v>
      </c>
      <c r="U2453">
        <v>16</v>
      </c>
      <c r="W2453" s="47"/>
    </row>
    <row r="2454" spans="1:23" hidden="1">
      <c r="A2454">
        <v>3796588714</v>
      </c>
      <c r="B2454">
        <v>57240262</v>
      </c>
      <c r="C2454" s="36" t="s">
        <v>2751</v>
      </c>
      <c r="D2454" s="37">
        <v>42062.469467592593</v>
      </c>
      <c r="E2454" s="37">
        <v>42062.472488425927</v>
      </c>
      <c r="U2454">
        <v>16</v>
      </c>
      <c r="W2454" s="47"/>
    </row>
    <row r="2455" spans="1:23" hidden="1">
      <c r="A2455">
        <v>3796612031</v>
      </c>
      <c r="B2455">
        <v>57240262</v>
      </c>
      <c r="C2455" s="36" t="s">
        <v>2752</v>
      </c>
      <c r="D2455" s="37">
        <v>42062.48296296296</v>
      </c>
      <c r="E2455" s="37">
        <v>42062.484166666669</v>
      </c>
      <c r="W2455" s="47"/>
    </row>
    <row r="2456" spans="1:23" hidden="1">
      <c r="A2456">
        <v>3796652558</v>
      </c>
      <c r="B2456">
        <v>57240262</v>
      </c>
      <c r="C2456" s="36" t="s">
        <v>2753</v>
      </c>
      <c r="D2456" s="37">
        <v>42062.505706018521</v>
      </c>
      <c r="E2456" s="37">
        <v>42062.508240740739</v>
      </c>
      <c r="F2456">
        <v>1</v>
      </c>
      <c r="J2456">
        <v>5</v>
      </c>
      <c r="W2456" s="47"/>
    </row>
    <row r="2457" spans="1:23" hidden="1">
      <c r="A2457">
        <v>3796697862</v>
      </c>
      <c r="B2457">
        <v>57240262</v>
      </c>
      <c r="C2457" s="36" t="s">
        <v>2754</v>
      </c>
      <c r="D2457" s="37">
        <v>42062.527615740742</v>
      </c>
      <c r="E2457" s="37">
        <v>42062.5312962963</v>
      </c>
      <c r="F2457">
        <v>1</v>
      </c>
      <c r="G2457">
        <v>2</v>
      </c>
      <c r="H2457">
        <v>3</v>
      </c>
      <c r="O2457">
        <v>10</v>
      </c>
      <c r="Q2457">
        <v>12</v>
      </c>
      <c r="W2457" s="47"/>
    </row>
    <row r="2458" spans="1:23" hidden="1">
      <c r="A2458">
        <v>3796809069</v>
      </c>
      <c r="B2458">
        <v>57240262</v>
      </c>
      <c r="C2458" s="36" t="s">
        <v>2755</v>
      </c>
      <c r="D2458" s="37">
        <v>42062.573530092595</v>
      </c>
      <c r="E2458" s="37">
        <v>42062.574270833335</v>
      </c>
      <c r="W2458" s="47"/>
    </row>
    <row r="2459" spans="1:23">
      <c r="A2459">
        <v>3796833169</v>
      </c>
      <c r="B2459">
        <v>57240262</v>
      </c>
      <c r="C2459" s="36" t="s">
        <v>2756</v>
      </c>
      <c r="D2459" s="37">
        <v>42062.582048611112</v>
      </c>
      <c r="E2459" s="37">
        <v>42062.588136574072</v>
      </c>
      <c r="F2459">
        <v>1</v>
      </c>
      <c r="H2459">
        <v>3</v>
      </c>
      <c r="K2459">
        <v>6</v>
      </c>
      <c r="V2459" s="42" t="s">
        <v>230</v>
      </c>
      <c r="W2459" s="47">
        <v>3</v>
      </c>
    </row>
    <row r="2460" spans="1:23" hidden="1">
      <c r="A2460">
        <v>3796979877</v>
      </c>
      <c r="B2460">
        <v>57240262</v>
      </c>
      <c r="C2460" s="36" t="s">
        <v>2757</v>
      </c>
      <c r="D2460" s="37">
        <v>42062.627118055556</v>
      </c>
      <c r="E2460" s="37">
        <v>42062.630173611113</v>
      </c>
      <c r="U2460">
        <v>16</v>
      </c>
      <c r="W2460" s="47"/>
    </row>
    <row r="2461" spans="1:23" hidden="1">
      <c r="A2461">
        <v>3796999018</v>
      </c>
      <c r="B2461">
        <v>57240262</v>
      </c>
      <c r="C2461" s="36" t="s">
        <v>2758</v>
      </c>
      <c r="D2461" s="37">
        <v>42062.632662037038</v>
      </c>
      <c r="E2461" s="37">
        <v>42062.633819444447</v>
      </c>
      <c r="U2461">
        <v>16</v>
      </c>
      <c r="W2461" s="47"/>
    </row>
    <row r="2462" spans="1:23" hidden="1">
      <c r="A2462">
        <v>3797008548</v>
      </c>
      <c r="B2462">
        <v>57240262</v>
      </c>
      <c r="C2462" s="36" t="s">
        <v>2759</v>
      </c>
      <c r="D2462" s="37">
        <v>42062.635196759256</v>
      </c>
      <c r="E2462" s="37">
        <v>42062.639826388891</v>
      </c>
      <c r="U2462">
        <v>16</v>
      </c>
      <c r="W2462" s="47"/>
    </row>
    <row r="2463" spans="1:23" hidden="1">
      <c r="A2463">
        <v>3797024955</v>
      </c>
      <c r="B2463">
        <v>57240262</v>
      </c>
      <c r="C2463" s="36" t="s">
        <v>2760</v>
      </c>
      <c r="D2463" s="37">
        <v>42062.639861111114</v>
      </c>
      <c r="E2463" s="37">
        <v>42062.644050925926</v>
      </c>
      <c r="H2463">
        <v>3</v>
      </c>
      <c r="W2463" s="47"/>
    </row>
    <row r="2464" spans="1:23" hidden="1">
      <c r="A2464">
        <v>3797177209</v>
      </c>
      <c r="B2464">
        <v>57240262</v>
      </c>
      <c r="C2464" s="36" t="s">
        <v>2761</v>
      </c>
      <c r="D2464" s="37">
        <v>42062.682685185187</v>
      </c>
      <c r="E2464" s="37">
        <v>42062.685115740744</v>
      </c>
      <c r="G2464">
        <v>2</v>
      </c>
      <c r="K2464">
        <v>6</v>
      </c>
      <c r="M2464">
        <v>8</v>
      </c>
      <c r="N2464">
        <v>9</v>
      </c>
      <c r="W2464" s="47"/>
    </row>
    <row r="2465" spans="1:23">
      <c r="A2465">
        <v>3797319563</v>
      </c>
      <c r="B2465">
        <v>57240262</v>
      </c>
      <c r="C2465" s="36" t="s">
        <v>2762</v>
      </c>
      <c r="D2465" s="37">
        <v>42062.722905092596</v>
      </c>
      <c r="E2465" s="37">
        <v>42062.729143518518</v>
      </c>
      <c r="K2465">
        <v>6</v>
      </c>
      <c r="O2465">
        <v>10</v>
      </c>
      <c r="Q2465">
        <v>12</v>
      </c>
      <c r="V2465" s="42" t="s">
        <v>40</v>
      </c>
      <c r="W2465" s="47">
        <v>12</v>
      </c>
    </row>
    <row r="2466" spans="1:23" hidden="1">
      <c r="A2466">
        <v>3797398066</v>
      </c>
      <c r="B2466">
        <v>57240262</v>
      </c>
      <c r="C2466" s="36" t="s">
        <v>2763</v>
      </c>
      <c r="D2466" s="37">
        <v>42062.401469907411</v>
      </c>
      <c r="E2466" s="37">
        <v>42062.750879629632</v>
      </c>
      <c r="F2466">
        <v>1</v>
      </c>
      <c r="G2466">
        <v>2</v>
      </c>
      <c r="J2466">
        <v>5</v>
      </c>
      <c r="N2466">
        <v>9</v>
      </c>
      <c r="O2466">
        <v>10</v>
      </c>
      <c r="S2466">
        <v>14</v>
      </c>
      <c r="W2466" s="47"/>
    </row>
    <row r="2467" spans="1:23" hidden="1">
      <c r="A2467">
        <v>3798068489</v>
      </c>
      <c r="B2467">
        <v>57240262</v>
      </c>
      <c r="C2467" s="36" t="s">
        <v>2764</v>
      </c>
      <c r="D2467" s="37">
        <v>42062.962604166663</v>
      </c>
      <c r="E2467" s="37">
        <v>42062.96365740741</v>
      </c>
      <c r="W2467" s="47"/>
    </row>
    <row r="2468" spans="1:23" hidden="1">
      <c r="A2468">
        <v>3798752540</v>
      </c>
      <c r="B2468">
        <v>57240262</v>
      </c>
      <c r="C2468" s="36" t="s">
        <v>2765</v>
      </c>
      <c r="D2468" s="37">
        <v>42063.601944444446</v>
      </c>
      <c r="E2468" s="37">
        <v>42063.607094907406</v>
      </c>
      <c r="N2468">
        <v>9</v>
      </c>
      <c r="W2468" s="47"/>
    </row>
    <row r="2469" spans="1:23" ht="24">
      <c r="A2469">
        <v>3798987759</v>
      </c>
      <c r="B2469">
        <v>57240262</v>
      </c>
      <c r="C2469" s="36" t="s">
        <v>2766</v>
      </c>
      <c r="D2469" s="37">
        <v>42063.769733796296</v>
      </c>
      <c r="E2469" s="37">
        <v>42063.77921296296</v>
      </c>
      <c r="F2469">
        <v>1</v>
      </c>
      <c r="G2469">
        <v>2</v>
      </c>
      <c r="K2469">
        <v>6</v>
      </c>
      <c r="V2469" s="42" t="s">
        <v>3462</v>
      </c>
      <c r="W2469" s="47">
        <v>1</v>
      </c>
    </row>
    <row r="2470" spans="1:23" hidden="1">
      <c r="A2470">
        <v>3799123623</v>
      </c>
      <c r="B2470">
        <v>57240262</v>
      </c>
      <c r="C2470" s="36" t="s">
        <v>2767</v>
      </c>
      <c r="D2470" s="37">
        <v>42063.882650462961</v>
      </c>
      <c r="E2470" s="37">
        <v>42063.884988425925</v>
      </c>
      <c r="U2470">
        <v>16</v>
      </c>
      <c r="W2470" s="47"/>
    </row>
    <row r="2471" spans="1:23" hidden="1">
      <c r="A2471">
        <v>3799270665</v>
      </c>
      <c r="B2471">
        <v>57240262</v>
      </c>
      <c r="C2471" s="36" t="s">
        <v>2768</v>
      </c>
      <c r="D2471" s="37">
        <v>42064.028564814813</v>
      </c>
      <c r="E2471" s="37">
        <v>42064.033194444448</v>
      </c>
      <c r="U2471">
        <v>16</v>
      </c>
      <c r="W2471" s="47"/>
    </row>
    <row r="2472" spans="1:23" hidden="1">
      <c r="A2472">
        <v>3799489056</v>
      </c>
      <c r="B2472">
        <v>57240262</v>
      </c>
      <c r="C2472" s="36" t="s">
        <v>2769</v>
      </c>
      <c r="D2472" s="37">
        <v>42064.3362037037</v>
      </c>
      <c r="E2472" s="37">
        <v>42064.341909722221</v>
      </c>
      <c r="F2472">
        <v>1</v>
      </c>
      <c r="S2472">
        <v>14</v>
      </c>
      <c r="W2472" s="47"/>
    </row>
    <row r="2473" spans="1:23" hidden="1">
      <c r="A2473">
        <v>3799516193</v>
      </c>
      <c r="B2473">
        <v>57240262</v>
      </c>
      <c r="C2473" s="36" t="s">
        <v>2770</v>
      </c>
      <c r="D2473" s="37">
        <v>42064.379687499997</v>
      </c>
      <c r="E2473" s="37">
        <v>42064.388784722221</v>
      </c>
      <c r="U2473">
        <v>16</v>
      </c>
      <c r="W2473" s="47"/>
    </row>
    <row r="2474" spans="1:23">
      <c r="A2474">
        <v>3799554081</v>
      </c>
      <c r="B2474">
        <v>57240262</v>
      </c>
      <c r="C2474" s="36" t="s">
        <v>2771</v>
      </c>
      <c r="D2474" s="37">
        <v>42064.430497685185</v>
      </c>
      <c r="E2474" s="37">
        <v>42064.437152777777</v>
      </c>
      <c r="F2474">
        <v>1</v>
      </c>
      <c r="G2474">
        <v>2</v>
      </c>
      <c r="H2474">
        <v>3</v>
      </c>
      <c r="I2474">
        <v>4</v>
      </c>
      <c r="J2474">
        <v>5</v>
      </c>
      <c r="K2474">
        <v>6</v>
      </c>
      <c r="O2474">
        <v>10</v>
      </c>
      <c r="P2474">
        <v>11</v>
      </c>
      <c r="R2474">
        <v>13</v>
      </c>
      <c r="V2474" s="42" t="s">
        <v>3463</v>
      </c>
      <c r="W2474" s="47">
        <v>5</v>
      </c>
    </row>
    <row r="2475" spans="1:23" hidden="1">
      <c r="A2475">
        <v>3799568284</v>
      </c>
      <c r="B2475">
        <v>57240262</v>
      </c>
      <c r="C2475" s="36" t="s">
        <v>2772</v>
      </c>
      <c r="D2475" s="37">
        <v>42064.452349537038</v>
      </c>
      <c r="E2475" s="37">
        <v>42064.462557870371</v>
      </c>
      <c r="U2475">
        <v>16</v>
      </c>
      <c r="W2475" s="47"/>
    </row>
    <row r="2476" spans="1:23" hidden="1">
      <c r="A2476">
        <v>3799655693</v>
      </c>
      <c r="B2476">
        <v>57240262</v>
      </c>
      <c r="C2476" s="36" t="s">
        <v>2773</v>
      </c>
      <c r="D2476" s="37">
        <v>42064.55945601852</v>
      </c>
      <c r="E2476" s="37">
        <v>42064.571631944447</v>
      </c>
      <c r="G2476">
        <v>2</v>
      </c>
      <c r="H2476">
        <v>3</v>
      </c>
      <c r="M2476">
        <v>8</v>
      </c>
      <c r="W2476" s="47"/>
    </row>
    <row r="2477" spans="1:23" hidden="1">
      <c r="A2477">
        <v>3799839742</v>
      </c>
      <c r="B2477">
        <v>57240262</v>
      </c>
      <c r="C2477" s="36" t="s">
        <v>2774</v>
      </c>
      <c r="D2477" s="37">
        <v>42064.725277777776</v>
      </c>
      <c r="E2477" s="37">
        <v>42064.731631944444</v>
      </c>
      <c r="G2477">
        <v>2</v>
      </c>
      <c r="W2477" s="47"/>
    </row>
    <row r="2478" spans="1:23" hidden="1">
      <c r="A2478">
        <v>3800564369</v>
      </c>
      <c r="B2478">
        <v>57240262</v>
      </c>
      <c r="C2478" s="36" t="s">
        <v>2775</v>
      </c>
      <c r="D2478" s="37">
        <v>42065.306840277779</v>
      </c>
      <c r="E2478" s="37">
        <v>42065.312418981484</v>
      </c>
      <c r="U2478">
        <v>16</v>
      </c>
      <c r="W2478" s="47"/>
    </row>
    <row r="2479" spans="1:23" hidden="1">
      <c r="A2479">
        <v>3800615385</v>
      </c>
      <c r="B2479">
        <v>57240262</v>
      </c>
      <c r="C2479" s="36" t="s">
        <v>2776</v>
      </c>
      <c r="D2479" s="37">
        <v>42065.350219907406</v>
      </c>
      <c r="E2479" s="37">
        <v>42065.353495370371</v>
      </c>
      <c r="F2479">
        <v>1</v>
      </c>
      <c r="G2479">
        <v>2</v>
      </c>
      <c r="J2479">
        <v>5</v>
      </c>
      <c r="L2479">
        <v>7</v>
      </c>
      <c r="P2479">
        <v>11</v>
      </c>
      <c r="R2479">
        <v>13</v>
      </c>
      <c r="S2479">
        <v>14</v>
      </c>
      <c r="W2479" s="47"/>
    </row>
    <row r="2480" spans="1:23" hidden="1">
      <c r="A2480">
        <v>3800737806</v>
      </c>
      <c r="B2480">
        <v>57240262</v>
      </c>
      <c r="C2480" s="36" t="s">
        <v>2777</v>
      </c>
      <c r="D2480" s="37">
        <v>42065.390763888892</v>
      </c>
      <c r="E2480" s="37">
        <v>42065.436006944445</v>
      </c>
      <c r="F2480">
        <v>1</v>
      </c>
      <c r="I2480">
        <v>4</v>
      </c>
      <c r="K2480">
        <v>6</v>
      </c>
      <c r="L2480">
        <v>7</v>
      </c>
      <c r="O2480">
        <v>10</v>
      </c>
      <c r="Q2480">
        <v>12</v>
      </c>
      <c r="W2480" s="47"/>
    </row>
    <row r="2481" spans="1:23" hidden="1">
      <c r="A2481">
        <v>3800744597</v>
      </c>
      <c r="B2481">
        <v>57240262</v>
      </c>
      <c r="C2481" s="36" t="s">
        <v>2778</v>
      </c>
      <c r="D2481" s="37">
        <v>42065.432303240741</v>
      </c>
      <c r="E2481" s="37">
        <v>42065.44023148148</v>
      </c>
      <c r="G2481">
        <v>2</v>
      </c>
      <c r="K2481">
        <v>6</v>
      </c>
      <c r="W2481" s="47"/>
    </row>
    <row r="2482" spans="1:23" hidden="1">
      <c r="A2482">
        <v>3800760034</v>
      </c>
      <c r="B2482">
        <v>57240262</v>
      </c>
      <c r="C2482" s="36" t="s">
        <v>2779</v>
      </c>
      <c r="D2482" s="37">
        <v>42065.440891203703</v>
      </c>
      <c r="E2482" s="37">
        <v>42065.453715277778</v>
      </c>
      <c r="G2482">
        <v>2</v>
      </c>
      <c r="W2482" s="47"/>
    </row>
    <row r="2483" spans="1:23">
      <c r="A2483">
        <v>3800962275</v>
      </c>
      <c r="B2483">
        <v>57240262</v>
      </c>
      <c r="C2483" s="36" t="s">
        <v>2780</v>
      </c>
      <c r="D2483" s="37">
        <v>42065.543854166666</v>
      </c>
      <c r="E2483" s="37">
        <v>42065.557754629626</v>
      </c>
      <c r="I2483">
        <v>4</v>
      </c>
      <c r="O2483">
        <v>10</v>
      </c>
      <c r="Q2483">
        <v>12</v>
      </c>
      <c r="V2483" s="42" t="s">
        <v>26</v>
      </c>
      <c r="W2483" s="47">
        <v>4</v>
      </c>
    </row>
    <row r="2484" spans="1:23" hidden="1">
      <c r="A2484">
        <v>3801200991</v>
      </c>
      <c r="B2484">
        <v>57240262</v>
      </c>
      <c r="C2484" s="36" t="s">
        <v>2781</v>
      </c>
      <c r="D2484" s="37">
        <v>42065.618726851855</v>
      </c>
      <c r="E2484" s="37">
        <v>42065.62060185185</v>
      </c>
      <c r="U2484">
        <v>16</v>
      </c>
      <c r="W2484" s="47"/>
    </row>
    <row r="2485" spans="1:23" hidden="1">
      <c r="A2485">
        <v>3801263183</v>
      </c>
      <c r="B2485">
        <v>57240262</v>
      </c>
      <c r="C2485" s="36" t="s">
        <v>2782</v>
      </c>
      <c r="D2485" s="37">
        <v>42065.634502314817</v>
      </c>
      <c r="E2485" s="37">
        <v>42065.63826388889</v>
      </c>
      <c r="H2485">
        <v>3</v>
      </c>
      <c r="S2485">
        <v>14</v>
      </c>
      <c r="W2485" s="47"/>
    </row>
    <row r="2486" spans="1:23" hidden="1">
      <c r="A2486">
        <v>3801426218</v>
      </c>
      <c r="B2486">
        <v>57240262</v>
      </c>
      <c r="C2486" s="36" t="s">
        <v>2783</v>
      </c>
      <c r="D2486" s="37">
        <v>42065.669953703706</v>
      </c>
      <c r="E2486" s="37">
        <v>42065.680092592593</v>
      </c>
      <c r="R2486">
        <v>13</v>
      </c>
      <c r="W2486" s="47"/>
    </row>
    <row r="2487" spans="1:23">
      <c r="A2487">
        <v>3801472325</v>
      </c>
      <c r="B2487">
        <v>57240262</v>
      </c>
      <c r="C2487" s="36" t="s">
        <v>2784</v>
      </c>
      <c r="D2487" s="37">
        <v>42065.683252314811</v>
      </c>
      <c r="E2487" s="37">
        <v>42065.691342592596</v>
      </c>
      <c r="F2487">
        <v>1</v>
      </c>
      <c r="G2487">
        <v>2</v>
      </c>
      <c r="H2487">
        <v>3</v>
      </c>
      <c r="I2487">
        <v>4</v>
      </c>
      <c r="J2487">
        <v>5</v>
      </c>
      <c r="O2487">
        <v>10</v>
      </c>
      <c r="R2487">
        <v>13</v>
      </c>
      <c r="V2487" s="42" t="s">
        <v>3464</v>
      </c>
      <c r="W2487" s="47">
        <v>10</v>
      </c>
    </row>
    <row r="2488" spans="1:23" ht="24">
      <c r="A2488">
        <v>3801584818</v>
      </c>
      <c r="B2488">
        <v>57240262</v>
      </c>
      <c r="C2488" s="36" t="s">
        <v>2785</v>
      </c>
      <c r="D2488" s="37">
        <v>42065.709016203706</v>
      </c>
      <c r="E2488" s="37">
        <v>42065.716203703705</v>
      </c>
      <c r="I2488">
        <v>4</v>
      </c>
      <c r="M2488">
        <v>8</v>
      </c>
      <c r="O2488">
        <v>10</v>
      </c>
      <c r="R2488">
        <v>13</v>
      </c>
      <c r="V2488" s="42" t="s">
        <v>3465</v>
      </c>
      <c r="W2488" s="47">
        <v>8</v>
      </c>
    </row>
    <row r="2489" spans="1:23" hidden="1">
      <c r="A2489">
        <v>3801902828</v>
      </c>
      <c r="B2489">
        <v>57240262</v>
      </c>
      <c r="C2489" s="36" t="s">
        <v>2786</v>
      </c>
      <c r="D2489" s="37">
        <v>42065.785219907404</v>
      </c>
      <c r="E2489" s="37">
        <v>42065.793912037036</v>
      </c>
      <c r="U2489">
        <v>16</v>
      </c>
      <c r="W2489" s="47"/>
    </row>
    <row r="2490" spans="1:23">
      <c r="A2490">
        <v>3801914753</v>
      </c>
      <c r="B2490">
        <v>57240262</v>
      </c>
      <c r="C2490" s="36" t="s">
        <v>2787</v>
      </c>
      <c r="D2490" s="37">
        <v>42065.78802083333</v>
      </c>
      <c r="E2490" s="37">
        <v>42065.799004629633</v>
      </c>
      <c r="F2490">
        <v>1</v>
      </c>
      <c r="G2490">
        <v>2</v>
      </c>
      <c r="H2490">
        <v>3</v>
      </c>
      <c r="K2490">
        <v>6</v>
      </c>
      <c r="O2490">
        <v>10</v>
      </c>
      <c r="V2490" s="42" t="s">
        <v>3466</v>
      </c>
      <c r="W2490" s="47">
        <v>3</v>
      </c>
    </row>
    <row r="2491" spans="1:23" hidden="1">
      <c r="A2491">
        <v>3801946153</v>
      </c>
      <c r="B2491">
        <v>57240262</v>
      </c>
      <c r="C2491" s="36" t="s">
        <v>2788</v>
      </c>
      <c r="D2491" s="37">
        <v>42065.795844907407</v>
      </c>
      <c r="E2491" s="37">
        <v>42065.807002314818</v>
      </c>
      <c r="G2491">
        <v>2</v>
      </c>
      <c r="K2491">
        <v>6</v>
      </c>
      <c r="O2491">
        <v>10</v>
      </c>
      <c r="W2491" s="47"/>
    </row>
    <row r="2492" spans="1:23" hidden="1">
      <c r="A2492">
        <v>3801907838</v>
      </c>
      <c r="B2492">
        <v>57240262</v>
      </c>
      <c r="C2492" s="36" t="s">
        <v>2789</v>
      </c>
      <c r="D2492" s="37">
        <v>42065.786574074074</v>
      </c>
      <c r="E2492" s="37">
        <v>42065.807673611111</v>
      </c>
      <c r="F2492">
        <v>1</v>
      </c>
      <c r="K2492">
        <v>6</v>
      </c>
      <c r="W2492" s="47"/>
    </row>
    <row r="2493" spans="1:23" hidden="1">
      <c r="A2493">
        <v>3802165801</v>
      </c>
      <c r="B2493">
        <v>57240262</v>
      </c>
      <c r="C2493" s="36" t="s">
        <v>2790</v>
      </c>
      <c r="D2493" s="37">
        <v>42065.84957175926</v>
      </c>
      <c r="E2493" s="37">
        <v>42065.853472222225</v>
      </c>
      <c r="U2493">
        <v>16</v>
      </c>
      <c r="W2493" s="47"/>
    </row>
    <row r="2494" spans="1:23" hidden="1">
      <c r="A2494">
        <v>3803306105</v>
      </c>
      <c r="B2494">
        <v>57240262</v>
      </c>
      <c r="C2494" s="36" t="s">
        <v>2791</v>
      </c>
      <c r="D2494" s="37">
        <v>42066.375694444447</v>
      </c>
      <c r="E2494" s="37">
        <v>42066.378148148149</v>
      </c>
      <c r="U2494">
        <v>16</v>
      </c>
      <c r="W2494" s="47"/>
    </row>
    <row r="2495" spans="1:23" hidden="1">
      <c r="A2495">
        <v>3803385461</v>
      </c>
      <c r="B2495">
        <v>57240262</v>
      </c>
      <c r="C2495" s="36" t="s">
        <v>2792</v>
      </c>
      <c r="D2495" s="37">
        <v>42066.418900462966</v>
      </c>
      <c r="E2495" s="37">
        <v>42066.424560185187</v>
      </c>
      <c r="F2495">
        <v>1</v>
      </c>
      <c r="Q2495">
        <v>12</v>
      </c>
      <c r="W2495" s="47"/>
    </row>
    <row r="2496" spans="1:23" hidden="1">
      <c r="A2496">
        <v>3803450412</v>
      </c>
      <c r="B2496">
        <v>57240262</v>
      </c>
      <c r="C2496" s="36" t="s">
        <v>2793</v>
      </c>
      <c r="D2496" s="37">
        <v>42066.453368055554</v>
      </c>
      <c r="E2496" s="37">
        <v>42066.463194444441</v>
      </c>
      <c r="G2496">
        <v>2</v>
      </c>
      <c r="N2496">
        <v>9</v>
      </c>
      <c r="W2496" s="47"/>
    </row>
    <row r="2497" spans="1:23" hidden="1">
      <c r="A2497">
        <v>3803470944</v>
      </c>
      <c r="B2497">
        <v>57240262</v>
      </c>
      <c r="C2497" s="36" t="s">
        <v>2794</v>
      </c>
      <c r="D2497" s="37">
        <v>42066.464074074072</v>
      </c>
      <c r="E2497" s="37">
        <v>42066.471817129626</v>
      </c>
      <c r="L2497">
        <v>7</v>
      </c>
      <c r="W2497" s="47"/>
    </row>
    <row r="2498" spans="1:23" hidden="1">
      <c r="A2498">
        <v>3803486586</v>
      </c>
      <c r="B2498">
        <v>57240262</v>
      </c>
      <c r="C2498" s="36" t="s">
        <v>2795</v>
      </c>
      <c r="D2498" s="37">
        <v>42066.472199074073</v>
      </c>
      <c r="E2498" s="37">
        <v>42066.477465277778</v>
      </c>
      <c r="F2498">
        <v>1</v>
      </c>
      <c r="K2498">
        <v>6</v>
      </c>
      <c r="Q2498">
        <v>12</v>
      </c>
      <c r="W2498" s="47"/>
    </row>
    <row r="2499" spans="1:23" hidden="1">
      <c r="A2499">
        <v>3803497385</v>
      </c>
      <c r="B2499">
        <v>57240262</v>
      </c>
      <c r="C2499" s="36" t="s">
        <v>2796</v>
      </c>
      <c r="D2499" s="37">
        <v>42066.477812500001</v>
      </c>
      <c r="E2499" s="37">
        <v>42066.482858796298</v>
      </c>
      <c r="F2499">
        <v>1</v>
      </c>
      <c r="G2499">
        <v>2</v>
      </c>
      <c r="W2499" s="47"/>
    </row>
    <row r="2500" spans="1:23" hidden="1">
      <c r="A2500">
        <v>3803508502</v>
      </c>
      <c r="B2500">
        <v>57240262</v>
      </c>
      <c r="C2500" s="36" t="s">
        <v>2797</v>
      </c>
      <c r="D2500" s="37">
        <v>42066.483159722222</v>
      </c>
      <c r="E2500" s="37">
        <v>42066.487951388888</v>
      </c>
      <c r="F2500">
        <v>1</v>
      </c>
      <c r="G2500">
        <v>2</v>
      </c>
      <c r="H2500">
        <v>3</v>
      </c>
      <c r="I2500">
        <v>4</v>
      </c>
      <c r="N2500">
        <v>9</v>
      </c>
      <c r="W2500" s="47"/>
    </row>
    <row r="2501" spans="1:23" hidden="1">
      <c r="A2501">
        <v>3803520146</v>
      </c>
      <c r="B2501">
        <v>57240262</v>
      </c>
      <c r="C2501" s="36" t="s">
        <v>2798</v>
      </c>
      <c r="D2501" s="37">
        <v>42066.488946759258</v>
      </c>
      <c r="E2501" s="37">
        <v>42066.493287037039</v>
      </c>
      <c r="F2501">
        <v>1</v>
      </c>
      <c r="H2501">
        <v>3</v>
      </c>
      <c r="J2501">
        <v>5</v>
      </c>
      <c r="W2501" s="47"/>
    </row>
    <row r="2502" spans="1:23">
      <c r="A2502">
        <v>3803496549</v>
      </c>
      <c r="B2502">
        <v>57240262</v>
      </c>
      <c r="C2502" s="36" t="s">
        <v>2799</v>
      </c>
      <c r="D2502" s="37">
        <v>42066.477349537039</v>
      </c>
      <c r="E2502" s="37">
        <v>42066.493495370371</v>
      </c>
      <c r="F2502">
        <v>1</v>
      </c>
      <c r="G2502">
        <v>2</v>
      </c>
      <c r="H2502">
        <v>3</v>
      </c>
      <c r="K2502">
        <v>6</v>
      </c>
      <c r="V2502" s="42" t="s">
        <v>3467</v>
      </c>
      <c r="W2502" s="47">
        <v>3</v>
      </c>
    </row>
    <row r="2503" spans="1:23">
      <c r="A2503">
        <v>3803530349</v>
      </c>
      <c r="B2503">
        <v>57240262</v>
      </c>
      <c r="C2503" s="36" t="s">
        <v>2800</v>
      </c>
      <c r="D2503" s="37">
        <v>42066.493888888886</v>
      </c>
      <c r="E2503" s="37">
        <v>42066.507187499999</v>
      </c>
      <c r="F2503">
        <v>1</v>
      </c>
      <c r="G2503">
        <v>2</v>
      </c>
      <c r="H2503">
        <v>3</v>
      </c>
      <c r="I2503">
        <v>4</v>
      </c>
      <c r="K2503">
        <v>6</v>
      </c>
      <c r="N2503">
        <v>9</v>
      </c>
      <c r="O2503">
        <v>10</v>
      </c>
      <c r="P2503">
        <v>11</v>
      </c>
      <c r="V2503" s="42" t="s">
        <v>216</v>
      </c>
      <c r="W2503" s="47">
        <v>3</v>
      </c>
    </row>
    <row r="2504" spans="1:23" hidden="1">
      <c r="A2504">
        <v>3803729466</v>
      </c>
      <c r="B2504">
        <v>57240262</v>
      </c>
      <c r="C2504" s="36" t="s">
        <v>2801</v>
      </c>
      <c r="D2504" s="37">
        <v>42066.567824074074</v>
      </c>
      <c r="E2504" s="37">
        <v>42066.572314814817</v>
      </c>
      <c r="F2504">
        <v>1</v>
      </c>
      <c r="G2504">
        <v>2</v>
      </c>
      <c r="K2504">
        <v>6</v>
      </c>
      <c r="W2504" s="47"/>
    </row>
    <row r="2505" spans="1:23" hidden="1">
      <c r="A2505">
        <v>3803797135</v>
      </c>
      <c r="B2505">
        <v>57240262</v>
      </c>
      <c r="C2505" s="36" t="s">
        <v>2802</v>
      </c>
      <c r="D2505" s="37">
        <v>42066.588252314818</v>
      </c>
      <c r="E2505" s="37">
        <v>42066.592731481483</v>
      </c>
      <c r="O2505">
        <v>10</v>
      </c>
      <c r="Q2505">
        <v>12</v>
      </c>
      <c r="W2505" s="47"/>
    </row>
    <row r="2506" spans="1:23" hidden="1">
      <c r="A2506">
        <v>3803814892</v>
      </c>
      <c r="B2506">
        <v>57240262</v>
      </c>
      <c r="C2506" s="36" t="s">
        <v>2803</v>
      </c>
      <c r="D2506" s="37">
        <v>42066.593159722222</v>
      </c>
      <c r="E2506" s="37">
        <v>42066.597777777781</v>
      </c>
      <c r="O2506">
        <v>10</v>
      </c>
      <c r="P2506">
        <v>11</v>
      </c>
      <c r="Q2506">
        <v>12</v>
      </c>
      <c r="W2506" s="47"/>
    </row>
    <row r="2507" spans="1:23" hidden="1">
      <c r="A2507">
        <v>3803834028</v>
      </c>
      <c r="B2507">
        <v>57240262</v>
      </c>
      <c r="C2507" s="36" t="s">
        <v>2804</v>
      </c>
      <c r="D2507" s="37">
        <v>42066.598333333335</v>
      </c>
      <c r="E2507" s="37">
        <v>42066.606736111113</v>
      </c>
      <c r="F2507">
        <v>1</v>
      </c>
      <c r="W2507" s="47"/>
    </row>
    <row r="2508" spans="1:23" hidden="1">
      <c r="A2508">
        <v>3803866166</v>
      </c>
      <c r="B2508">
        <v>57240262</v>
      </c>
      <c r="C2508" s="36" t="s">
        <v>2805</v>
      </c>
      <c r="D2508" s="37">
        <v>42066.606990740744</v>
      </c>
      <c r="E2508" s="37">
        <v>42066.612673611111</v>
      </c>
      <c r="F2508">
        <v>1</v>
      </c>
      <c r="K2508">
        <v>6</v>
      </c>
      <c r="W2508" s="47"/>
    </row>
    <row r="2509" spans="1:23" hidden="1">
      <c r="A2509">
        <v>3803889384</v>
      </c>
      <c r="B2509">
        <v>57240262</v>
      </c>
      <c r="C2509" s="36" t="s">
        <v>2806</v>
      </c>
      <c r="D2509" s="37">
        <v>42066.61309027778</v>
      </c>
      <c r="E2509" s="37">
        <v>42066.618831018517</v>
      </c>
      <c r="F2509">
        <v>1</v>
      </c>
      <c r="W2509" s="47"/>
    </row>
    <row r="2510" spans="1:23" hidden="1">
      <c r="A2510">
        <v>3803912722</v>
      </c>
      <c r="B2510">
        <v>57240262</v>
      </c>
      <c r="C2510" s="36" t="s">
        <v>2807</v>
      </c>
      <c r="D2510" s="37">
        <v>42066.619108796294</v>
      </c>
      <c r="E2510" s="37">
        <v>42066.627233796295</v>
      </c>
      <c r="H2510">
        <v>3</v>
      </c>
      <c r="W2510" s="47"/>
    </row>
    <row r="2511" spans="1:23" hidden="1">
      <c r="A2511">
        <v>3803961565</v>
      </c>
      <c r="B2511">
        <v>57240262</v>
      </c>
      <c r="C2511" s="36" t="s">
        <v>2808</v>
      </c>
      <c r="D2511" s="37">
        <v>42066.631053240744</v>
      </c>
      <c r="E2511" s="37">
        <v>42066.639814814815</v>
      </c>
      <c r="U2511">
        <v>16</v>
      </c>
      <c r="W2511" s="47"/>
    </row>
    <row r="2512" spans="1:23" hidden="1">
      <c r="A2512">
        <v>3803998254</v>
      </c>
      <c r="B2512">
        <v>57240262</v>
      </c>
      <c r="C2512" s="36" t="s">
        <v>2809</v>
      </c>
      <c r="D2512" s="37">
        <v>42066.640162037038</v>
      </c>
      <c r="E2512" s="37">
        <v>42066.643379629626</v>
      </c>
      <c r="U2512">
        <v>16</v>
      </c>
      <c r="W2512" s="47"/>
    </row>
    <row r="2513" spans="1:23" hidden="1">
      <c r="A2513">
        <v>3804034679</v>
      </c>
      <c r="B2513">
        <v>57240262</v>
      </c>
      <c r="C2513" s="36" t="s">
        <v>2810</v>
      </c>
      <c r="D2513" s="37">
        <v>42066.64916666667</v>
      </c>
      <c r="E2513" s="37">
        <v>42066.651689814818</v>
      </c>
      <c r="U2513">
        <v>16</v>
      </c>
      <c r="W2513" s="47"/>
    </row>
    <row r="2514" spans="1:23" hidden="1">
      <c r="A2514">
        <v>3804046364</v>
      </c>
      <c r="B2514">
        <v>57240262</v>
      </c>
      <c r="C2514" s="36" t="s">
        <v>2811</v>
      </c>
      <c r="D2514" s="37">
        <v>42066.651967592596</v>
      </c>
      <c r="E2514" s="37">
        <v>42066.656087962961</v>
      </c>
      <c r="K2514">
        <v>6</v>
      </c>
      <c r="W2514" s="47"/>
    </row>
    <row r="2515" spans="1:23" hidden="1">
      <c r="A2515">
        <v>3804066178</v>
      </c>
      <c r="B2515">
        <v>57240262</v>
      </c>
      <c r="C2515" s="36" t="s">
        <v>2812</v>
      </c>
      <c r="D2515" s="37">
        <v>42066.656342592592</v>
      </c>
      <c r="E2515" s="37">
        <v>42066.661122685182</v>
      </c>
      <c r="U2515">
        <v>16</v>
      </c>
      <c r="W2515" s="47"/>
    </row>
    <row r="2516" spans="1:23" hidden="1">
      <c r="A2516">
        <v>3804078682</v>
      </c>
      <c r="B2516">
        <v>57240262</v>
      </c>
      <c r="C2516" s="36" t="s">
        <v>2813</v>
      </c>
      <c r="D2516" s="37">
        <v>42066.659861111111</v>
      </c>
      <c r="E2516" s="37">
        <v>42066.66375</v>
      </c>
      <c r="K2516">
        <v>6</v>
      </c>
      <c r="W2516" s="47"/>
    </row>
    <row r="2517" spans="1:23" hidden="1">
      <c r="A2517">
        <v>3804084894</v>
      </c>
      <c r="B2517">
        <v>57240262</v>
      </c>
      <c r="C2517" s="36" t="s">
        <v>2814</v>
      </c>
      <c r="D2517" s="37">
        <v>42066.661412037036</v>
      </c>
      <c r="E2517" s="37">
        <v>42066.664571759262</v>
      </c>
      <c r="U2517">
        <v>16</v>
      </c>
      <c r="W2517" s="47"/>
    </row>
    <row r="2518" spans="1:23" hidden="1">
      <c r="A2518">
        <v>3804098673</v>
      </c>
      <c r="B2518">
        <v>57240262</v>
      </c>
      <c r="C2518" s="36" t="s">
        <v>2815</v>
      </c>
      <c r="D2518" s="37">
        <v>42066.66474537037</v>
      </c>
      <c r="E2518" s="37">
        <v>42066.666956018518</v>
      </c>
      <c r="U2518">
        <v>16</v>
      </c>
      <c r="W2518" s="47"/>
    </row>
    <row r="2519" spans="1:23" hidden="1">
      <c r="A2519">
        <v>3804108682</v>
      </c>
      <c r="B2519">
        <v>57240262</v>
      </c>
      <c r="C2519" s="36" t="s">
        <v>2816</v>
      </c>
      <c r="D2519" s="37">
        <v>42066.66715277778</v>
      </c>
      <c r="E2519" s="37">
        <v>42066.669212962966</v>
      </c>
      <c r="U2519">
        <v>16</v>
      </c>
      <c r="W2519" s="47"/>
    </row>
    <row r="2520" spans="1:23" hidden="1">
      <c r="A2520">
        <v>3804118682</v>
      </c>
      <c r="B2520">
        <v>57240262</v>
      </c>
      <c r="C2520" s="36" t="s">
        <v>2817</v>
      </c>
      <c r="D2520" s="37">
        <v>42066.66951388889</v>
      </c>
      <c r="E2520" s="37">
        <v>42066.672974537039</v>
      </c>
      <c r="U2520">
        <v>16</v>
      </c>
      <c r="W2520" s="47"/>
    </row>
    <row r="2521" spans="1:23" hidden="1">
      <c r="A2521">
        <v>3804136357</v>
      </c>
      <c r="B2521">
        <v>57240262</v>
      </c>
      <c r="C2521" s="36" t="s">
        <v>2818</v>
      </c>
      <c r="D2521" s="37">
        <v>42066.673425925925</v>
      </c>
      <c r="E2521" s="37">
        <v>42066.677812499998</v>
      </c>
      <c r="U2521">
        <v>16</v>
      </c>
      <c r="W2521" s="47"/>
    </row>
    <row r="2522" spans="1:23" hidden="1">
      <c r="A2522">
        <v>3804156417</v>
      </c>
      <c r="B2522">
        <v>57240262</v>
      </c>
      <c r="C2522" s="36" t="s">
        <v>2819</v>
      </c>
      <c r="D2522" s="37">
        <v>42066.677939814814</v>
      </c>
      <c r="E2522" s="37">
        <v>42066.681076388886</v>
      </c>
      <c r="U2522">
        <v>16</v>
      </c>
      <c r="W2522" s="47"/>
    </row>
    <row r="2523" spans="1:23" hidden="1">
      <c r="A2523">
        <v>3804243464</v>
      </c>
      <c r="B2523">
        <v>57240262</v>
      </c>
      <c r="C2523" s="36" t="s">
        <v>2820</v>
      </c>
      <c r="D2523" s="37">
        <v>42066.697268518517</v>
      </c>
      <c r="E2523" s="37">
        <v>42066.700266203705</v>
      </c>
      <c r="U2523">
        <v>16</v>
      </c>
      <c r="W2523" s="47"/>
    </row>
    <row r="2524" spans="1:23" hidden="1">
      <c r="A2524">
        <v>3805072286</v>
      </c>
      <c r="B2524">
        <v>57240262</v>
      </c>
      <c r="C2524" s="36" t="s">
        <v>2821</v>
      </c>
      <c r="D2524" s="37">
        <v>42066.887881944444</v>
      </c>
      <c r="E2524" s="37">
        <v>42066.892337962963</v>
      </c>
      <c r="F2524">
        <v>1</v>
      </c>
      <c r="G2524">
        <v>2</v>
      </c>
      <c r="I2524">
        <v>4</v>
      </c>
      <c r="K2524">
        <v>6</v>
      </c>
      <c r="W2524" s="47"/>
    </row>
    <row r="2525" spans="1:23" ht="24">
      <c r="A2525">
        <v>3805349833</v>
      </c>
      <c r="B2525">
        <v>57240262</v>
      </c>
      <c r="C2525" s="36" t="s">
        <v>2822</v>
      </c>
      <c r="D2525" s="37">
        <v>42066.967395833337</v>
      </c>
      <c r="E2525" s="37">
        <v>42066.976041666669</v>
      </c>
      <c r="U2525">
        <v>16</v>
      </c>
      <c r="V2525" s="42" t="s">
        <v>3468</v>
      </c>
      <c r="W2525" s="47">
        <v>8</v>
      </c>
    </row>
    <row r="2526" spans="1:23" hidden="1">
      <c r="A2526">
        <v>3805523310</v>
      </c>
      <c r="B2526">
        <v>57240262</v>
      </c>
      <c r="C2526" s="36" t="s">
        <v>2823</v>
      </c>
      <c r="D2526" s="37">
        <v>42067.026979166665</v>
      </c>
      <c r="E2526" s="37">
        <v>42067.0312962963</v>
      </c>
      <c r="H2526">
        <v>3</v>
      </c>
      <c r="Q2526">
        <v>12</v>
      </c>
      <c r="S2526">
        <v>14</v>
      </c>
      <c r="W2526" s="47"/>
    </row>
    <row r="2527" spans="1:23" hidden="1">
      <c r="A2527">
        <v>3805528777</v>
      </c>
      <c r="B2527">
        <v>57240262</v>
      </c>
      <c r="C2527" s="36" t="s">
        <v>2824</v>
      </c>
      <c r="D2527" s="37">
        <v>42067.028310185182</v>
      </c>
      <c r="E2527" s="37">
        <v>42067.075995370367</v>
      </c>
      <c r="M2527">
        <v>8</v>
      </c>
      <c r="W2527" s="47"/>
    </row>
    <row r="2528" spans="1:23" hidden="1">
      <c r="A2528">
        <v>3806038402</v>
      </c>
      <c r="B2528">
        <v>57240262</v>
      </c>
      <c r="C2528" s="36" t="s">
        <v>2825</v>
      </c>
      <c r="D2528" s="37">
        <v>42067.295439814814</v>
      </c>
      <c r="E2528" s="37">
        <v>42067.306863425925</v>
      </c>
      <c r="F2528">
        <v>1</v>
      </c>
      <c r="W2528" s="47"/>
    </row>
    <row r="2529" spans="1:23" hidden="1">
      <c r="A2529">
        <v>3806154635</v>
      </c>
      <c r="B2529">
        <v>57240262</v>
      </c>
      <c r="C2529" s="36" t="s">
        <v>2826</v>
      </c>
      <c r="D2529" s="37">
        <v>42067.37568287037</v>
      </c>
      <c r="E2529" s="37">
        <v>42067.377905092595</v>
      </c>
      <c r="U2529">
        <v>16</v>
      </c>
      <c r="W2529" s="47"/>
    </row>
    <row r="2530" spans="1:23" ht="24">
      <c r="A2530">
        <v>3806159964</v>
      </c>
      <c r="B2530">
        <v>57240262</v>
      </c>
      <c r="C2530" s="36" t="s">
        <v>2827</v>
      </c>
      <c r="D2530" s="37">
        <v>42067.378854166665</v>
      </c>
      <c r="E2530" s="37">
        <v>42067.381655092591</v>
      </c>
      <c r="H2530">
        <v>3</v>
      </c>
      <c r="R2530">
        <v>13</v>
      </c>
      <c r="V2530" s="42" t="s">
        <v>3469</v>
      </c>
      <c r="W2530" s="47">
        <v>3</v>
      </c>
    </row>
    <row r="2531" spans="1:23" ht="24">
      <c r="A2531">
        <v>3806165488</v>
      </c>
      <c r="B2531">
        <v>57240262</v>
      </c>
      <c r="C2531" s="36" t="s">
        <v>2828</v>
      </c>
      <c r="D2531" s="37">
        <v>42067.382210648146</v>
      </c>
      <c r="E2531" s="37">
        <v>42067.390243055554</v>
      </c>
      <c r="H2531">
        <v>3</v>
      </c>
      <c r="R2531">
        <v>13</v>
      </c>
      <c r="V2531" s="42" t="s">
        <v>3469</v>
      </c>
      <c r="W2531" s="47">
        <v>3</v>
      </c>
    </row>
    <row r="2532" spans="1:23" ht="24">
      <c r="A2532">
        <v>3806198186</v>
      </c>
      <c r="B2532">
        <v>57240262</v>
      </c>
      <c r="C2532" s="36" t="s">
        <v>2829</v>
      </c>
      <c r="D2532" s="37">
        <v>42067.400509259256</v>
      </c>
      <c r="E2532" s="37">
        <v>42067.412615740737</v>
      </c>
      <c r="J2532">
        <v>5</v>
      </c>
      <c r="P2532">
        <v>11</v>
      </c>
      <c r="Q2532">
        <v>12</v>
      </c>
      <c r="R2532">
        <v>13</v>
      </c>
      <c r="S2532">
        <v>14</v>
      </c>
      <c r="V2532" s="42" t="s">
        <v>3470</v>
      </c>
      <c r="W2532" s="47">
        <v>11</v>
      </c>
    </row>
    <row r="2533" spans="1:23" hidden="1">
      <c r="A2533">
        <v>3806228246</v>
      </c>
      <c r="B2533">
        <v>57240262</v>
      </c>
      <c r="C2533" s="36" t="s">
        <v>2830</v>
      </c>
      <c r="D2533" s="37">
        <v>42067.417905092596</v>
      </c>
      <c r="E2533" s="37">
        <v>42067.422650462962</v>
      </c>
      <c r="Q2533">
        <v>12</v>
      </c>
      <c r="W2533" s="47"/>
    </row>
    <row r="2534" spans="1:23" hidden="1">
      <c r="A2534">
        <v>3806231054</v>
      </c>
      <c r="B2534">
        <v>57240262</v>
      </c>
      <c r="C2534" s="36" t="s">
        <v>2831</v>
      </c>
      <c r="D2534" s="37">
        <v>42067.419270833336</v>
      </c>
      <c r="E2534" s="37">
        <v>42067.424409722225</v>
      </c>
      <c r="F2534">
        <v>1</v>
      </c>
      <c r="G2534">
        <v>2</v>
      </c>
      <c r="W2534" s="47"/>
    </row>
    <row r="2535" spans="1:23">
      <c r="A2535">
        <v>3806239380</v>
      </c>
      <c r="B2535">
        <v>57240262</v>
      </c>
      <c r="C2535" s="36" t="s">
        <v>2832</v>
      </c>
      <c r="D2535" s="37">
        <v>42067.424224537041</v>
      </c>
      <c r="E2535" s="37">
        <v>42067.430474537039</v>
      </c>
      <c r="F2535">
        <v>1</v>
      </c>
      <c r="G2535">
        <v>2</v>
      </c>
      <c r="H2535">
        <v>3</v>
      </c>
      <c r="M2535">
        <v>8</v>
      </c>
      <c r="O2535">
        <v>10</v>
      </c>
      <c r="P2535">
        <v>11</v>
      </c>
      <c r="Q2535">
        <v>12</v>
      </c>
      <c r="R2535">
        <v>13</v>
      </c>
      <c r="S2535">
        <v>14</v>
      </c>
      <c r="V2535" s="42" t="s">
        <v>3471</v>
      </c>
      <c r="W2535" s="47">
        <v>3</v>
      </c>
    </row>
    <row r="2536" spans="1:23" hidden="1">
      <c r="A2536">
        <v>3806246924</v>
      </c>
      <c r="B2536">
        <v>57240262</v>
      </c>
      <c r="C2536" s="36" t="s">
        <v>2833</v>
      </c>
      <c r="D2536" s="37">
        <v>42067.428368055553</v>
      </c>
      <c r="E2536" s="37">
        <v>42067.432951388888</v>
      </c>
      <c r="O2536">
        <v>10</v>
      </c>
      <c r="W2536" s="47"/>
    </row>
    <row r="2537" spans="1:23" hidden="1">
      <c r="A2537">
        <v>3806272453</v>
      </c>
      <c r="B2537">
        <v>57240262</v>
      </c>
      <c r="C2537" s="36" t="s">
        <v>2834</v>
      </c>
      <c r="D2537" s="37">
        <v>42067.442395833335</v>
      </c>
      <c r="E2537" s="37">
        <v>42067.443703703706</v>
      </c>
      <c r="W2537" s="47"/>
    </row>
    <row r="2538" spans="1:23" hidden="1">
      <c r="A2538">
        <v>3806270539</v>
      </c>
      <c r="B2538">
        <v>57240262</v>
      </c>
      <c r="C2538" s="36" t="s">
        <v>2835</v>
      </c>
      <c r="D2538" s="37">
        <v>42067.441863425927</v>
      </c>
      <c r="E2538" s="37">
        <v>42067.448275462964</v>
      </c>
      <c r="U2538">
        <v>16</v>
      </c>
      <c r="W2538" s="47"/>
    </row>
    <row r="2539" spans="1:23" hidden="1">
      <c r="A2539">
        <v>3806276551</v>
      </c>
      <c r="B2539">
        <v>57240262</v>
      </c>
      <c r="C2539" s="36" t="s">
        <v>2836</v>
      </c>
      <c r="D2539" s="37">
        <v>42067.445162037038</v>
      </c>
      <c r="E2539" s="37">
        <v>42067.448680555557</v>
      </c>
      <c r="U2539">
        <v>16</v>
      </c>
      <c r="W2539" s="47"/>
    </row>
    <row r="2540" spans="1:23" hidden="1">
      <c r="A2540">
        <v>3806279199</v>
      </c>
      <c r="B2540">
        <v>57240262</v>
      </c>
      <c r="C2540" s="36" t="s">
        <v>2837</v>
      </c>
      <c r="D2540" s="37">
        <v>42067.446793981479</v>
      </c>
      <c r="E2540" s="37">
        <v>42067.451620370368</v>
      </c>
      <c r="U2540">
        <v>16</v>
      </c>
      <c r="W2540" s="47"/>
    </row>
    <row r="2541" spans="1:23" ht="24">
      <c r="A2541">
        <v>3806281244</v>
      </c>
      <c r="B2541">
        <v>57240262</v>
      </c>
      <c r="C2541" s="36" t="s">
        <v>2838</v>
      </c>
      <c r="D2541" s="37">
        <v>42067.447905092595</v>
      </c>
      <c r="E2541" s="37">
        <v>42067.453668981485</v>
      </c>
      <c r="M2541">
        <v>8</v>
      </c>
      <c r="O2541">
        <v>10</v>
      </c>
      <c r="Q2541">
        <v>12</v>
      </c>
      <c r="V2541" s="42" t="s">
        <v>3472</v>
      </c>
      <c r="W2541" s="47">
        <v>12</v>
      </c>
    </row>
    <row r="2542" spans="1:23" hidden="1">
      <c r="A2542">
        <v>3806288977</v>
      </c>
      <c r="B2542">
        <v>57240262</v>
      </c>
      <c r="C2542" s="36" t="s">
        <v>2839</v>
      </c>
      <c r="D2542" s="37">
        <v>42067.452037037037</v>
      </c>
      <c r="E2542" s="37">
        <v>42067.455347222225</v>
      </c>
      <c r="U2542">
        <v>16</v>
      </c>
      <c r="W2542" s="47"/>
    </row>
    <row r="2543" spans="1:23">
      <c r="A2543">
        <v>3806307119</v>
      </c>
      <c r="B2543">
        <v>57240262</v>
      </c>
      <c r="C2543" s="36" t="s">
        <v>2840</v>
      </c>
      <c r="D2543" s="37">
        <v>42067.461898148147</v>
      </c>
      <c r="E2543" s="37">
        <v>42067.467592592591</v>
      </c>
      <c r="F2543">
        <v>1</v>
      </c>
      <c r="G2543">
        <v>2</v>
      </c>
      <c r="H2543">
        <v>3</v>
      </c>
      <c r="Q2543">
        <v>12</v>
      </c>
      <c r="S2543">
        <v>14</v>
      </c>
      <c r="V2543" s="42" t="s">
        <v>30</v>
      </c>
      <c r="W2543" s="47">
        <v>2</v>
      </c>
    </row>
    <row r="2544" spans="1:23" hidden="1">
      <c r="A2544">
        <v>3806309989</v>
      </c>
      <c r="B2544">
        <v>57240262</v>
      </c>
      <c r="C2544" s="36" t="s">
        <v>2841</v>
      </c>
      <c r="D2544" s="37">
        <v>42067.463356481479</v>
      </c>
      <c r="E2544" s="37">
        <v>42067.467962962961</v>
      </c>
      <c r="U2544">
        <v>16</v>
      </c>
      <c r="W2544" s="47"/>
    </row>
    <row r="2545" spans="1:23">
      <c r="A2545">
        <v>3806316128</v>
      </c>
      <c r="B2545">
        <v>57240262</v>
      </c>
      <c r="C2545" s="36" t="s">
        <v>2842</v>
      </c>
      <c r="D2545" s="37">
        <v>42067.466631944444</v>
      </c>
      <c r="E2545" s="37">
        <v>42067.470416666663</v>
      </c>
      <c r="F2545">
        <v>1</v>
      </c>
      <c r="G2545">
        <v>2</v>
      </c>
      <c r="Q2545">
        <v>12</v>
      </c>
      <c r="V2545" s="42" t="s">
        <v>25</v>
      </c>
      <c r="W2545" s="47">
        <v>1</v>
      </c>
    </row>
    <row r="2546" spans="1:23" hidden="1">
      <c r="A2546">
        <v>3806322618</v>
      </c>
      <c r="B2546">
        <v>57240262</v>
      </c>
      <c r="C2546" s="36" t="s">
        <v>2843</v>
      </c>
      <c r="D2546" s="37">
        <v>42067.470081018517</v>
      </c>
      <c r="E2546" s="37">
        <v>42067.474641203706</v>
      </c>
      <c r="I2546">
        <v>4</v>
      </c>
      <c r="W2546" s="47"/>
    </row>
    <row r="2547" spans="1:23" hidden="1">
      <c r="A2547">
        <v>3806329806</v>
      </c>
      <c r="B2547">
        <v>57240262</v>
      </c>
      <c r="C2547" s="36" t="s">
        <v>2844</v>
      </c>
      <c r="D2547" s="37">
        <v>42067.473657407405</v>
      </c>
      <c r="E2547" s="37">
        <v>42067.478576388887</v>
      </c>
      <c r="G2547">
        <v>2</v>
      </c>
      <c r="H2547">
        <v>3</v>
      </c>
      <c r="I2547">
        <v>4</v>
      </c>
      <c r="P2547">
        <v>11</v>
      </c>
      <c r="W2547" s="47"/>
    </row>
    <row r="2548" spans="1:23" hidden="1">
      <c r="A2548">
        <v>3806332309</v>
      </c>
      <c r="B2548">
        <v>57240262</v>
      </c>
      <c r="C2548" s="36" t="s">
        <v>2845</v>
      </c>
      <c r="D2548" s="37">
        <v>42067.47483796296</v>
      </c>
      <c r="E2548" s="37">
        <v>42067.479467592595</v>
      </c>
      <c r="U2548">
        <v>16</v>
      </c>
      <c r="W2548" s="47"/>
    </row>
    <row r="2549" spans="1:23" hidden="1">
      <c r="A2549">
        <v>3806349966</v>
      </c>
      <c r="B2549">
        <v>57240262</v>
      </c>
      <c r="C2549" s="36" t="s">
        <v>2846</v>
      </c>
      <c r="D2549" s="37">
        <v>42067.483657407407</v>
      </c>
      <c r="E2549" s="37">
        <v>42067.487233796295</v>
      </c>
      <c r="U2549">
        <v>16</v>
      </c>
      <c r="W2549" s="47"/>
    </row>
    <row r="2550" spans="1:23" hidden="1">
      <c r="A2550">
        <v>3806369939</v>
      </c>
      <c r="B2550">
        <v>57240262</v>
      </c>
      <c r="C2550" s="36" t="s">
        <v>2847</v>
      </c>
      <c r="D2550" s="37">
        <v>42067.493819444448</v>
      </c>
      <c r="E2550" s="37">
        <v>42067.495682870373</v>
      </c>
      <c r="U2550">
        <v>16</v>
      </c>
      <c r="W2550" s="47"/>
    </row>
    <row r="2551" spans="1:23" hidden="1">
      <c r="A2551">
        <v>3806367904</v>
      </c>
      <c r="B2551">
        <v>57240262</v>
      </c>
      <c r="C2551" s="36" t="s">
        <v>2848</v>
      </c>
      <c r="D2551" s="37">
        <v>42067.492766203701</v>
      </c>
      <c r="E2551" s="37">
        <v>42067.496990740743</v>
      </c>
      <c r="U2551">
        <v>16</v>
      </c>
      <c r="W2551" s="47"/>
    </row>
    <row r="2552" spans="1:23" hidden="1">
      <c r="A2552">
        <v>3806374323</v>
      </c>
      <c r="B2552">
        <v>57240262</v>
      </c>
      <c r="C2552" s="36" t="s">
        <v>2849</v>
      </c>
      <c r="D2552" s="37">
        <v>42067.495868055557</v>
      </c>
      <c r="E2552" s="37">
        <v>42067.4997337963</v>
      </c>
      <c r="U2552">
        <v>16</v>
      </c>
      <c r="W2552" s="47"/>
    </row>
    <row r="2553" spans="1:23" hidden="1">
      <c r="A2553">
        <v>3806391154</v>
      </c>
      <c r="B2553">
        <v>57240262</v>
      </c>
      <c r="C2553" s="36" t="s">
        <v>2850</v>
      </c>
      <c r="D2553" s="37">
        <v>42067.503553240742</v>
      </c>
      <c r="E2553" s="37">
        <v>42067.506469907406</v>
      </c>
      <c r="U2553">
        <v>16</v>
      </c>
      <c r="W2553" s="47"/>
    </row>
    <row r="2554" spans="1:23" hidden="1">
      <c r="A2554">
        <v>3806390478</v>
      </c>
      <c r="B2554">
        <v>57240262</v>
      </c>
      <c r="C2554" s="36" t="s">
        <v>2851</v>
      </c>
      <c r="D2554" s="37">
        <v>42067.50309027778</v>
      </c>
      <c r="E2554" s="37">
        <v>42067.507708333331</v>
      </c>
      <c r="U2554">
        <v>16</v>
      </c>
      <c r="W2554" s="47"/>
    </row>
    <row r="2555" spans="1:23" hidden="1">
      <c r="A2555">
        <v>3806393889</v>
      </c>
      <c r="B2555">
        <v>57240262</v>
      </c>
      <c r="C2555" s="36" t="s">
        <v>2852</v>
      </c>
      <c r="D2555" s="37">
        <v>42067.504606481481</v>
      </c>
      <c r="E2555" s="37">
        <v>42067.509976851848</v>
      </c>
      <c r="G2555">
        <v>2</v>
      </c>
      <c r="H2555">
        <v>3</v>
      </c>
      <c r="I2555">
        <v>4</v>
      </c>
      <c r="P2555">
        <v>11</v>
      </c>
      <c r="W2555" s="47"/>
    </row>
    <row r="2556" spans="1:23" hidden="1">
      <c r="A2556">
        <v>3806432644</v>
      </c>
      <c r="B2556">
        <v>57240262</v>
      </c>
      <c r="C2556" s="36" t="s">
        <v>2853</v>
      </c>
      <c r="D2556" s="37">
        <v>42067.52134259259</v>
      </c>
      <c r="E2556" s="37">
        <v>42067.525879629633</v>
      </c>
      <c r="U2556">
        <v>16</v>
      </c>
      <c r="W2556" s="47"/>
    </row>
    <row r="2557" spans="1:23" hidden="1">
      <c r="A2557">
        <v>3806453200</v>
      </c>
      <c r="B2557">
        <v>57240262</v>
      </c>
      <c r="C2557" s="36" t="s">
        <v>2854</v>
      </c>
      <c r="D2557" s="37">
        <v>42067.529351851852</v>
      </c>
      <c r="E2557" s="37">
        <v>42067.52988425926</v>
      </c>
      <c r="W2557" s="47"/>
    </row>
    <row r="2558" spans="1:23">
      <c r="A2558">
        <v>3806448222</v>
      </c>
      <c r="B2558">
        <v>57240262</v>
      </c>
      <c r="C2558" s="36" t="s">
        <v>2855</v>
      </c>
      <c r="D2558" s="37">
        <v>42067.527442129627</v>
      </c>
      <c r="E2558" s="37">
        <v>42067.531099537038</v>
      </c>
      <c r="F2558">
        <v>1</v>
      </c>
      <c r="J2558">
        <v>5</v>
      </c>
      <c r="V2558" s="42" t="s">
        <v>25</v>
      </c>
      <c r="W2558" s="47">
        <v>1</v>
      </c>
    </row>
    <row r="2559" spans="1:23" hidden="1">
      <c r="A2559">
        <v>3806449164</v>
      </c>
      <c r="B2559">
        <v>57240262</v>
      </c>
      <c r="C2559" s="36" t="s">
        <v>2856</v>
      </c>
      <c r="D2559" s="37">
        <v>42067.527708333335</v>
      </c>
      <c r="E2559" s="37">
        <v>42067.53570601852</v>
      </c>
      <c r="F2559">
        <v>1</v>
      </c>
      <c r="W2559" s="47"/>
    </row>
    <row r="2560" spans="1:23">
      <c r="A2560">
        <v>3806509639</v>
      </c>
      <c r="B2560">
        <v>57240262</v>
      </c>
      <c r="C2560" s="36" t="s">
        <v>2857</v>
      </c>
      <c r="D2560" s="37">
        <v>42067.549791666665</v>
      </c>
      <c r="E2560" s="37">
        <v>42067.555775462963</v>
      </c>
      <c r="F2560">
        <v>1</v>
      </c>
      <c r="H2560">
        <v>3</v>
      </c>
      <c r="V2560" s="42" t="s">
        <v>107</v>
      </c>
      <c r="W2560" s="47">
        <v>3</v>
      </c>
    </row>
    <row r="2561" spans="1:23" hidden="1">
      <c r="A2561">
        <v>3806521910</v>
      </c>
      <c r="B2561">
        <v>57240262</v>
      </c>
      <c r="C2561" s="36" t="s">
        <v>2858</v>
      </c>
      <c r="D2561" s="37">
        <v>42067.553738425922</v>
      </c>
      <c r="E2561" s="37">
        <v>42067.556539351855</v>
      </c>
      <c r="U2561">
        <v>16</v>
      </c>
      <c r="W2561" s="47"/>
    </row>
    <row r="2562" spans="1:23" hidden="1">
      <c r="A2562">
        <v>3806549260</v>
      </c>
      <c r="B2562">
        <v>57240262</v>
      </c>
      <c r="C2562" s="36" t="s">
        <v>2859</v>
      </c>
      <c r="D2562" s="37">
        <v>42067.562395833331</v>
      </c>
      <c r="E2562" s="37">
        <v>42067.564884259256</v>
      </c>
      <c r="U2562">
        <v>16</v>
      </c>
      <c r="W2562" s="47"/>
    </row>
    <row r="2563" spans="1:23" hidden="1">
      <c r="A2563">
        <v>3806563621</v>
      </c>
      <c r="B2563">
        <v>57240262</v>
      </c>
      <c r="C2563" s="36" t="s">
        <v>2860</v>
      </c>
      <c r="D2563" s="37">
        <v>42067.566967592589</v>
      </c>
      <c r="E2563" s="37">
        <v>42067.576782407406</v>
      </c>
      <c r="M2563">
        <v>8</v>
      </c>
      <c r="W2563" s="47"/>
    </row>
    <row r="2564" spans="1:23" hidden="1">
      <c r="A2564">
        <v>3806619955</v>
      </c>
      <c r="B2564">
        <v>57240262</v>
      </c>
      <c r="C2564" s="36" t="s">
        <v>2861</v>
      </c>
      <c r="D2564" s="37">
        <v>42067.582997685182</v>
      </c>
      <c r="E2564" s="37">
        <v>42067.585995370369</v>
      </c>
      <c r="U2564">
        <v>16</v>
      </c>
      <c r="W2564" s="47"/>
    </row>
    <row r="2565" spans="1:23" ht="24">
      <c r="A2565">
        <v>3806630985</v>
      </c>
      <c r="B2565">
        <v>57240262</v>
      </c>
      <c r="C2565" s="36" t="s">
        <v>2862</v>
      </c>
      <c r="D2565" s="37">
        <v>42067.586064814815</v>
      </c>
      <c r="E2565" s="37">
        <v>42067.596319444441</v>
      </c>
      <c r="F2565">
        <v>1</v>
      </c>
      <c r="I2565">
        <v>4</v>
      </c>
      <c r="M2565">
        <v>8</v>
      </c>
      <c r="O2565">
        <v>10</v>
      </c>
      <c r="P2565">
        <v>11</v>
      </c>
      <c r="V2565" s="42" t="s">
        <v>3473</v>
      </c>
      <c r="W2565" s="47">
        <v>1</v>
      </c>
    </row>
    <row r="2566" spans="1:23" hidden="1">
      <c r="A2566">
        <v>3806653763</v>
      </c>
      <c r="B2566">
        <v>57240262</v>
      </c>
      <c r="C2566" s="36" t="s">
        <v>2863</v>
      </c>
      <c r="D2566" s="37">
        <v>42067.591539351852</v>
      </c>
      <c r="E2566" s="37">
        <v>42067.60564814815</v>
      </c>
      <c r="M2566">
        <v>8</v>
      </c>
      <c r="O2566">
        <v>10</v>
      </c>
      <c r="Q2566">
        <v>12</v>
      </c>
      <c r="R2566">
        <v>13</v>
      </c>
      <c r="W2566" s="47"/>
    </row>
    <row r="2567" spans="1:23" hidden="1">
      <c r="A2567">
        <v>3806710879</v>
      </c>
      <c r="B2567">
        <v>57240262</v>
      </c>
      <c r="C2567" s="36" t="s">
        <v>2864</v>
      </c>
      <c r="D2567" s="37">
        <v>42067.605833333335</v>
      </c>
      <c r="E2567" s="37">
        <v>42067.610520833332</v>
      </c>
      <c r="F2567">
        <v>1</v>
      </c>
      <c r="W2567" s="47"/>
    </row>
    <row r="2568" spans="1:23" hidden="1">
      <c r="A2568">
        <v>3806787708</v>
      </c>
      <c r="B2568">
        <v>57240262</v>
      </c>
      <c r="C2568" s="36" t="s">
        <v>2865</v>
      </c>
      <c r="D2568" s="37">
        <v>42067.624618055554</v>
      </c>
      <c r="E2568" s="37">
        <v>42067.627916666665</v>
      </c>
      <c r="F2568">
        <v>1</v>
      </c>
      <c r="G2568">
        <v>2</v>
      </c>
      <c r="H2568">
        <v>3</v>
      </c>
      <c r="I2568">
        <v>4</v>
      </c>
      <c r="K2568">
        <v>6</v>
      </c>
      <c r="N2568">
        <v>9</v>
      </c>
      <c r="O2568">
        <v>10</v>
      </c>
      <c r="S2568">
        <v>14</v>
      </c>
      <c r="W2568" s="47"/>
    </row>
    <row r="2569" spans="1:23" hidden="1">
      <c r="A2569">
        <v>3806828073</v>
      </c>
      <c r="B2569">
        <v>57240262</v>
      </c>
      <c r="C2569" s="36" t="s">
        <v>2866</v>
      </c>
      <c r="D2569" s="37">
        <v>42067.634375000001</v>
      </c>
      <c r="E2569" s="37">
        <v>42067.635960648149</v>
      </c>
      <c r="K2569">
        <v>6</v>
      </c>
      <c r="W2569" s="47"/>
    </row>
    <row r="2570" spans="1:23" hidden="1">
      <c r="A2570">
        <v>3806897249</v>
      </c>
      <c r="B2570">
        <v>57240262</v>
      </c>
      <c r="C2570" s="36" t="s">
        <v>2867</v>
      </c>
      <c r="D2570" s="37">
        <v>42067.649942129632</v>
      </c>
      <c r="E2570" s="37">
        <v>42067.654942129629</v>
      </c>
      <c r="U2570">
        <v>16</v>
      </c>
      <c r="W2570" s="47"/>
    </row>
    <row r="2571" spans="1:23">
      <c r="A2571">
        <v>3806922833</v>
      </c>
      <c r="B2571">
        <v>57240262</v>
      </c>
      <c r="C2571" s="36" t="s">
        <v>2868</v>
      </c>
      <c r="D2571" s="37">
        <v>42067.655578703707</v>
      </c>
      <c r="E2571" s="37">
        <v>42067.658020833333</v>
      </c>
      <c r="F2571">
        <v>1</v>
      </c>
      <c r="G2571">
        <v>2</v>
      </c>
      <c r="H2571">
        <v>3</v>
      </c>
      <c r="K2571">
        <v>6</v>
      </c>
      <c r="L2571">
        <v>7</v>
      </c>
      <c r="V2571" s="42" t="s">
        <v>3474</v>
      </c>
      <c r="W2571" s="47">
        <v>3</v>
      </c>
    </row>
    <row r="2572" spans="1:23" hidden="1">
      <c r="A2572">
        <v>3806914805</v>
      </c>
      <c r="B2572">
        <v>57240262</v>
      </c>
      <c r="C2572" s="36" t="s">
        <v>2869</v>
      </c>
      <c r="D2572" s="37">
        <v>42067.654085648152</v>
      </c>
      <c r="E2572" s="37">
        <v>42067.660428240742</v>
      </c>
      <c r="F2572">
        <v>1</v>
      </c>
      <c r="W2572" s="47"/>
    </row>
    <row r="2573" spans="1:23" hidden="1">
      <c r="A2573">
        <v>3806996784</v>
      </c>
      <c r="B2573">
        <v>57240262</v>
      </c>
      <c r="C2573" s="36" t="s">
        <v>2870</v>
      </c>
      <c r="D2573" s="37">
        <v>42067.672638888886</v>
      </c>
      <c r="E2573" s="37">
        <v>42067.677361111113</v>
      </c>
      <c r="U2573">
        <v>16</v>
      </c>
      <c r="W2573" s="47"/>
    </row>
    <row r="2574" spans="1:23" ht="24">
      <c r="A2574">
        <v>3806996435</v>
      </c>
      <c r="B2574">
        <v>57240262</v>
      </c>
      <c r="C2574" s="36" t="s">
        <v>2871</v>
      </c>
      <c r="D2574" s="37">
        <v>42067.672638888886</v>
      </c>
      <c r="E2574" s="37">
        <v>42067.677361111113</v>
      </c>
      <c r="K2574">
        <v>6</v>
      </c>
      <c r="O2574">
        <v>10</v>
      </c>
      <c r="Q2574">
        <v>12</v>
      </c>
      <c r="V2574" s="42" t="s">
        <v>3475</v>
      </c>
      <c r="W2574" s="47">
        <v>10</v>
      </c>
    </row>
    <row r="2575" spans="1:23" hidden="1">
      <c r="A2575">
        <v>3807076103</v>
      </c>
      <c r="B2575">
        <v>57240262</v>
      </c>
      <c r="C2575" s="36" t="s">
        <v>2872</v>
      </c>
      <c r="D2575" s="37">
        <v>42067.690601851849</v>
      </c>
      <c r="E2575" s="37">
        <v>42067.694074074076</v>
      </c>
      <c r="U2575">
        <v>16</v>
      </c>
      <c r="W2575" s="47"/>
    </row>
    <row r="2576" spans="1:23" hidden="1">
      <c r="A2576">
        <v>3806996693</v>
      </c>
      <c r="B2576">
        <v>57240262</v>
      </c>
      <c r="C2576" s="36" t="s">
        <v>2873</v>
      </c>
      <c r="D2576" s="37">
        <v>42067.672326388885</v>
      </c>
      <c r="E2576" s="37">
        <v>42067.695706018516</v>
      </c>
      <c r="U2576">
        <v>16</v>
      </c>
      <c r="W2576" s="47"/>
    </row>
    <row r="2577" spans="1:23" hidden="1">
      <c r="A2577">
        <v>3807116756</v>
      </c>
      <c r="B2577">
        <v>57240262</v>
      </c>
      <c r="C2577" s="36" t="s">
        <v>2874</v>
      </c>
      <c r="D2577" s="37">
        <v>42067.699907407405</v>
      </c>
      <c r="E2577" s="37">
        <v>42067.70453703704</v>
      </c>
      <c r="K2577">
        <v>6</v>
      </c>
      <c r="W2577" s="47"/>
    </row>
    <row r="2578" spans="1:23" hidden="1">
      <c r="A2578">
        <v>3807136637</v>
      </c>
      <c r="B2578">
        <v>57240262</v>
      </c>
      <c r="C2578" s="36" t="s">
        <v>2875</v>
      </c>
      <c r="D2578" s="37">
        <v>42067.70449074074</v>
      </c>
      <c r="E2578" s="37">
        <v>42067.708449074074</v>
      </c>
      <c r="U2578">
        <v>16</v>
      </c>
      <c r="W2578" s="47"/>
    </row>
    <row r="2579" spans="1:23">
      <c r="A2579">
        <v>3807186504</v>
      </c>
      <c r="B2579">
        <v>57240262</v>
      </c>
      <c r="C2579" s="36" t="s">
        <v>2876</v>
      </c>
      <c r="D2579" s="37">
        <v>42067.715740740743</v>
      </c>
      <c r="E2579" s="37">
        <v>42067.720358796294</v>
      </c>
      <c r="F2579">
        <v>1</v>
      </c>
      <c r="G2579">
        <v>2</v>
      </c>
      <c r="H2579">
        <v>3</v>
      </c>
      <c r="N2579">
        <v>9</v>
      </c>
      <c r="O2579">
        <v>10</v>
      </c>
      <c r="V2579" s="42" t="s">
        <v>77</v>
      </c>
      <c r="W2579" s="47">
        <v>2</v>
      </c>
    </row>
    <row r="2580" spans="1:23" hidden="1">
      <c r="A2580">
        <v>3807370902</v>
      </c>
      <c r="B2580">
        <v>57240262</v>
      </c>
      <c r="C2580" s="36" t="s">
        <v>2877</v>
      </c>
      <c r="D2580" s="37">
        <v>42067.759039351855</v>
      </c>
      <c r="E2580" s="37">
        <v>42067.76353009259</v>
      </c>
      <c r="U2580">
        <v>16</v>
      </c>
      <c r="W2580" s="47"/>
    </row>
    <row r="2581" spans="1:23" hidden="1">
      <c r="A2581">
        <v>3807428475</v>
      </c>
      <c r="B2581">
        <v>57240262</v>
      </c>
      <c r="C2581" s="36" t="s">
        <v>2878</v>
      </c>
      <c r="D2581" s="37">
        <v>42067.772824074076</v>
      </c>
      <c r="E2581" s="37">
        <v>42067.779270833336</v>
      </c>
      <c r="F2581">
        <v>1</v>
      </c>
      <c r="K2581">
        <v>6</v>
      </c>
      <c r="W2581" s="47"/>
    </row>
    <row r="2582" spans="1:23" hidden="1">
      <c r="A2582">
        <v>3807455478</v>
      </c>
      <c r="B2582">
        <v>57240262</v>
      </c>
      <c r="C2582" s="36" t="s">
        <v>2879</v>
      </c>
      <c r="D2582" s="37">
        <v>42067.779340277775</v>
      </c>
      <c r="E2582" s="37">
        <v>42067.78460648148</v>
      </c>
      <c r="I2582">
        <v>4</v>
      </c>
      <c r="W2582" s="47"/>
    </row>
    <row r="2583" spans="1:23" hidden="1">
      <c r="A2583">
        <v>3807501617</v>
      </c>
      <c r="B2583">
        <v>57240262</v>
      </c>
      <c r="C2583" s="36" t="s">
        <v>2880</v>
      </c>
      <c r="D2583" s="37">
        <v>42067.790763888886</v>
      </c>
      <c r="E2583" s="37">
        <v>42067.79347222222</v>
      </c>
      <c r="U2583">
        <v>16</v>
      </c>
      <c r="W2583" s="47"/>
    </row>
    <row r="2584" spans="1:23" hidden="1">
      <c r="A2584">
        <v>3807529205</v>
      </c>
      <c r="B2584">
        <v>57240262</v>
      </c>
      <c r="C2584" s="36" t="s">
        <v>2881</v>
      </c>
      <c r="D2584" s="37">
        <v>42067.797569444447</v>
      </c>
      <c r="E2584" s="37">
        <v>42067.802951388891</v>
      </c>
      <c r="U2584">
        <v>16</v>
      </c>
      <c r="W2584" s="47"/>
    </row>
    <row r="2585" spans="1:23" hidden="1">
      <c r="A2585">
        <v>3807556793</v>
      </c>
      <c r="B2585">
        <v>57240262</v>
      </c>
      <c r="C2585" s="36" t="s">
        <v>2882</v>
      </c>
      <c r="D2585" s="37">
        <v>42067.804166666669</v>
      </c>
      <c r="E2585" s="37">
        <v>42067.808761574073</v>
      </c>
      <c r="U2585">
        <v>16</v>
      </c>
      <c r="W2585" s="47"/>
    </row>
    <row r="2586" spans="1:23" hidden="1">
      <c r="A2586">
        <v>3807581824</v>
      </c>
      <c r="B2586">
        <v>57240262</v>
      </c>
      <c r="C2586" s="36" t="s">
        <v>2883</v>
      </c>
      <c r="D2586" s="37">
        <v>42067.810682870368</v>
      </c>
      <c r="E2586" s="37">
        <v>42067.81523148148</v>
      </c>
      <c r="U2586">
        <v>16</v>
      </c>
      <c r="W2586" s="47"/>
    </row>
    <row r="2587" spans="1:23" hidden="1">
      <c r="A2587">
        <v>3807712447</v>
      </c>
      <c r="B2587">
        <v>57240262</v>
      </c>
      <c r="C2587" s="36" t="s">
        <v>2884</v>
      </c>
      <c r="D2587" s="37">
        <v>42067.84275462963</v>
      </c>
      <c r="E2587" s="37">
        <v>42067.850914351853</v>
      </c>
      <c r="I2587">
        <v>4</v>
      </c>
      <c r="W2587" s="47"/>
    </row>
    <row r="2588" spans="1:23" hidden="1">
      <c r="A2588">
        <v>3807753157</v>
      </c>
      <c r="B2588">
        <v>57240262</v>
      </c>
      <c r="C2588" s="36" t="s">
        <v>2885</v>
      </c>
      <c r="D2588" s="37">
        <v>42067.853032407409</v>
      </c>
      <c r="E2588" s="37">
        <v>42067.856099537035</v>
      </c>
      <c r="U2588">
        <v>16</v>
      </c>
      <c r="W2588" s="47"/>
    </row>
    <row r="2589" spans="1:23" hidden="1">
      <c r="A2589">
        <v>3807790356</v>
      </c>
      <c r="B2589">
        <v>57240262</v>
      </c>
      <c r="C2589" s="36" t="s">
        <v>2886</v>
      </c>
      <c r="D2589" s="37">
        <v>42067.862511574072</v>
      </c>
      <c r="E2589" s="37">
        <v>42067.867280092592</v>
      </c>
      <c r="U2589">
        <v>16</v>
      </c>
      <c r="W2589" s="47"/>
    </row>
    <row r="2590" spans="1:23" hidden="1">
      <c r="A2590">
        <v>3807835031</v>
      </c>
      <c r="B2590">
        <v>57240262</v>
      </c>
      <c r="C2590" s="36" t="s">
        <v>2887</v>
      </c>
      <c r="D2590" s="37">
        <v>42067.873842592591</v>
      </c>
      <c r="E2590" s="37">
        <v>42067.875358796293</v>
      </c>
      <c r="M2590">
        <v>8</v>
      </c>
      <c r="W2590" s="47"/>
    </row>
    <row r="2591" spans="1:23" hidden="1">
      <c r="A2591">
        <v>3807855535</v>
      </c>
      <c r="B2591">
        <v>57240262</v>
      </c>
      <c r="C2591" s="36" t="s">
        <v>2888</v>
      </c>
      <c r="D2591" s="37">
        <v>42067.879247685189</v>
      </c>
      <c r="E2591" s="37">
        <v>42067.882534722223</v>
      </c>
      <c r="U2591">
        <v>16</v>
      </c>
      <c r="W2591" s="47"/>
    </row>
    <row r="2592" spans="1:23" hidden="1">
      <c r="A2592">
        <v>3807866379</v>
      </c>
      <c r="B2592">
        <v>57240262</v>
      </c>
      <c r="C2592" s="36" t="s">
        <v>2889</v>
      </c>
      <c r="D2592" s="37">
        <v>42067.881990740738</v>
      </c>
      <c r="E2592" s="37">
        <v>42067.887187499997</v>
      </c>
      <c r="U2592">
        <v>16</v>
      </c>
      <c r="W2592" s="47"/>
    </row>
    <row r="2593" spans="1:23" hidden="1">
      <c r="A2593">
        <v>3807871440</v>
      </c>
      <c r="B2593">
        <v>57240262</v>
      </c>
      <c r="C2593" s="36" t="s">
        <v>2890</v>
      </c>
      <c r="D2593" s="37">
        <v>42067.883391203701</v>
      </c>
      <c r="E2593" s="37">
        <v>42067.891250000001</v>
      </c>
      <c r="U2593">
        <v>16</v>
      </c>
      <c r="W2593" s="47"/>
    </row>
    <row r="2594" spans="1:23" hidden="1">
      <c r="A2594">
        <v>3807831522</v>
      </c>
      <c r="B2594">
        <v>57240262</v>
      </c>
      <c r="C2594" s="36" t="s">
        <v>2891</v>
      </c>
      <c r="D2594" s="37">
        <v>42067.872997685183</v>
      </c>
      <c r="E2594" s="37">
        <v>42067.895590277774</v>
      </c>
      <c r="K2594">
        <v>6</v>
      </c>
      <c r="W2594" s="47"/>
    </row>
    <row r="2595" spans="1:23" hidden="1">
      <c r="A2595">
        <v>3807908150</v>
      </c>
      <c r="B2595">
        <v>57240262</v>
      </c>
      <c r="C2595" s="36" t="s">
        <v>2892</v>
      </c>
      <c r="D2595" s="37">
        <v>42067.893437500003</v>
      </c>
      <c r="E2595" s="37">
        <v>42067.899444444447</v>
      </c>
      <c r="I2595">
        <v>4</v>
      </c>
      <c r="P2595">
        <v>11</v>
      </c>
      <c r="W2595" s="47"/>
    </row>
    <row r="2596" spans="1:23" hidden="1">
      <c r="A2596">
        <v>3808033930</v>
      </c>
      <c r="B2596">
        <v>57240262</v>
      </c>
      <c r="C2596" s="36" t="s">
        <v>2893</v>
      </c>
      <c r="D2596" s="37">
        <v>42067.929236111115</v>
      </c>
      <c r="E2596" s="37">
        <v>42067.934155092589</v>
      </c>
      <c r="N2596">
        <v>9</v>
      </c>
      <c r="W2596" s="47"/>
    </row>
    <row r="2597" spans="1:23" hidden="1">
      <c r="A2597">
        <v>3808052427</v>
      </c>
      <c r="B2597">
        <v>57240262</v>
      </c>
      <c r="C2597" s="36" t="s">
        <v>2894</v>
      </c>
      <c r="D2597" s="37">
        <v>42067.934583333335</v>
      </c>
      <c r="E2597" s="37">
        <v>42067.940254629626</v>
      </c>
      <c r="M2597">
        <v>8</v>
      </c>
      <c r="W2597" s="47"/>
    </row>
    <row r="2598" spans="1:23" hidden="1">
      <c r="A2598">
        <v>3808180221</v>
      </c>
      <c r="B2598">
        <v>57240262</v>
      </c>
      <c r="C2598" s="36" t="s">
        <v>2895</v>
      </c>
      <c r="D2598" s="37">
        <v>42067.977662037039</v>
      </c>
      <c r="E2598" s="37">
        <v>42067.980636574073</v>
      </c>
      <c r="I2598">
        <v>4</v>
      </c>
      <c r="W2598" s="47"/>
    </row>
    <row r="2599" spans="1:23" hidden="1">
      <c r="A2599">
        <v>3808217535</v>
      </c>
      <c r="B2599">
        <v>57240262</v>
      </c>
      <c r="C2599" s="36" t="s">
        <v>2896</v>
      </c>
      <c r="D2599" s="37">
        <v>42067.991527777776</v>
      </c>
      <c r="E2599" s="37">
        <v>42067.994131944448</v>
      </c>
      <c r="M2599">
        <v>8</v>
      </c>
      <c r="W2599" s="47"/>
    </row>
    <row r="2600" spans="1:23">
      <c r="A2600">
        <v>3808318787</v>
      </c>
      <c r="B2600">
        <v>57240262</v>
      </c>
      <c r="C2600" s="36" t="s">
        <v>2897</v>
      </c>
      <c r="D2600" s="37">
        <v>42068.030324074076</v>
      </c>
      <c r="E2600" s="37">
        <v>42068.054502314815</v>
      </c>
      <c r="G2600">
        <v>2</v>
      </c>
      <c r="H2600">
        <v>3</v>
      </c>
      <c r="J2600">
        <v>5</v>
      </c>
      <c r="O2600">
        <v>10</v>
      </c>
      <c r="V2600" s="42" t="s">
        <v>30</v>
      </c>
      <c r="W2600" s="47">
        <v>2</v>
      </c>
    </row>
    <row r="2601" spans="1:23" hidden="1">
      <c r="A2601">
        <v>3808711875</v>
      </c>
      <c r="B2601">
        <v>57240262</v>
      </c>
      <c r="C2601" s="36" t="s">
        <v>2898</v>
      </c>
      <c r="D2601" s="37">
        <v>42068.23946759259</v>
      </c>
      <c r="E2601" s="37">
        <v>42068.244606481479</v>
      </c>
      <c r="N2601">
        <v>9</v>
      </c>
      <c r="O2601">
        <v>10</v>
      </c>
      <c r="W2601" s="47"/>
    </row>
    <row r="2602" spans="1:23" hidden="1">
      <c r="A2602">
        <v>3808755334</v>
      </c>
      <c r="B2602">
        <v>57240262</v>
      </c>
      <c r="C2602" s="36" t="s">
        <v>2899</v>
      </c>
      <c r="D2602" s="37">
        <v>42068.273136574076</v>
      </c>
      <c r="E2602" s="37">
        <v>42068.275972222225</v>
      </c>
      <c r="U2602">
        <v>16</v>
      </c>
      <c r="W2602" s="47"/>
    </row>
    <row r="2603" spans="1:23" hidden="1">
      <c r="A2603">
        <v>3808752650</v>
      </c>
      <c r="B2603">
        <v>57240262</v>
      </c>
      <c r="C2603" s="36" t="s">
        <v>2900</v>
      </c>
      <c r="D2603" s="37">
        <v>42068.27103009259</v>
      </c>
      <c r="E2603" s="37">
        <v>42068.277442129627</v>
      </c>
      <c r="F2603">
        <v>1</v>
      </c>
      <c r="W2603" s="47"/>
    </row>
    <row r="2604" spans="1:23" hidden="1">
      <c r="A2604">
        <v>3808809373</v>
      </c>
      <c r="B2604">
        <v>57240262</v>
      </c>
      <c r="C2604" s="36" t="s">
        <v>2901</v>
      </c>
      <c r="D2604" s="37">
        <v>42068.317245370374</v>
      </c>
      <c r="E2604" s="37">
        <v>42068.32304398148</v>
      </c>
      <c r="I2604">
        <v>4</v>
      </c>
      <c r="K2604">
        <v>6</v>
      </c>
      <c r="P2604">
        <v>11</v>
      </c>
      <c r="W2604" s="47"/>
    </row>
    <row r="2605" spans="1:23">
      <c r="A2605">
        <v>3808880477</v>
      </c>
      <c r="B2605">
        <v>57240262</v>
      </c>
      <c r="C2605" s="36" t="s">
        <v>2902</v>
      </c>
      <c r="D2605" s="37">
        <v>42068.362384259257</v>
      </c>
      <c r="E2605" s="37">
        <v>42068.371377314812</v>
      </c>
      <c r="F2605">
        <v>1</v>
      </c>
      <c r="K2605">
        <v>6</v>
      </c>
      <c r="V2605" s="42" t="s">
        <v>3476</v>
      </c>
      <c r="W2605" s="47">
        <v>1</v>
      </c>
    </row>
    <row r="2606" spans="1:23" hidden="1">
      <c r="A2606">
        <v>3808917928</v>
      </c>
      <c r="B2606">
        <v>57240262</v>
      </c>
      <c r="C2606" s="36" t="s">
        <v>2903</v>
      </c>
      <c r="D2606" s="37">
        <v>42068.38795138889</v>
      </c>
      <c r="E2606" s="37">
        <v>42068.392604166664</v>
      </c>
      <c r="G2606">
        <v>2</v>
      </c>
      <c r="O2606">
        <v>10</v>
      </c>
      <c r="P2606">
        <v>11</v>
      </c>
      <c r="Q2606">
        <v>12</v>
      </c>
      <c r="W2606" s="47"/>
    </row>
    <row r="2607" spans="1:23" hidden="1">
      <c r="A2607">
        <v>3808927267</v>
      </c>
      <c r="B2607">
        <v>57240262</v>
      </c>
      <c r="C2607" s="36" t="s">
        <v>2904</v>
      </c>
      <c r="D2607" s="37">
        <v>42068.393796296295</v>
      </c>
      <c r="E2607" s="37">
        <v>42068.401458333334</v>
      </c>
      <c r="U2607">
        <v>16</v>
      </c>
      <c r="W2607" s="47"/>
    </row>
    <row r="2608" spans="1:23" hidden="1">
      <c r="A2608">
        <v>3808936881</v>
      </c>
      <c r="B2608">
        <v>57240262</v>
      </c>
      <c r="C2608" s="36" t="s">
        <v>2905</v>
      </c>
      <c r="D2608" s="37">
        <v>42068.399641203701</v>
      </c>
      <c r="E2608" s="37">
        <v>42068.405138888891</v>
      </c>
      <c r="G2608">
        <v>2</v>
      </c>
      <c r="W2608" s="47"/>
    </row>
    <row r="2609" spans="1:23" hidden="1">
      <c r="A2609">
        <v>3808945445</v>
      </c>
      <c r="B2609">
        <v>57240262</v>
      </c>
      <c r="C2609" s="36" t="s">
        <v>2906</v>
      </c>
      <c r="D2609" s="37">
        <v>42068.404942129629</v>
      </c>
      <c r="E2609" s="37">
        <v>42068.410370370373</v>
      </c>
      <c r="U2609">
        <v>16</v>
      </c>
      <c r="W2609" s="47"/>
    </row>
    <row r="2610" spans="1:23" hidden="1">
      <c r="A2610">
        <v>3808965065</v>
      </c>
      <c r="B2610">
        <v>57240262</v>
      </c>
      <c r="C2610" s="36" t="s">
        <v>2907</v>
      </c>
      <c r="D2610" s="37">
        <v>42068.417372685188</v>
      </c>
      <c r="E2610" s="37">
        <v>42068.420081018521</v>
      </c>
      <c r="Q2610">
        <v>12</v>
      </c>
      <c r="W2610" s="47"/>
    </row>
    <row r="2611" spans="1:23" hidden="1">
      <c r="A2611">
        <v>3809107312</v>
      </c>
      <c r="B2611">
        <v>57240262</v>
      </c>
      <c r="C2611" s="36" t="s">
        <v>2908</v>
      </c>
      <c r="D2611" s="37">
        <v>42068.499837962961</v>
      </c>
      <c r="E2611" s="37">
        <v>42068.501006944447</v>
      </c>
      <c r="W2611" s="47"/>
    </row>
    <row r="2612" spans="1:23" hidden="1">
      <c r="A2612">
        <v>3809115725</v>
      </c>
      <c r="B2612">
        <v>57240262</v>
      </c>
      <c r="C2612" s="36" t="s">
        <v>2909</v>
      </c>
      <c r="D2612" s="37">
        <v>42068.504131944443</v>
      </c>
      <c r="E2612" s="37">
        <v>42068.509282407409</v>
      </c>
      <c r="N2612">
        <v>9</v>
      </c>
      <c r="W2612" s="47"/>
    </row>
    <row r="2613" spans="1:23" hidden="1">
      <c r="A2613">
        <v>3809123642</v>
      </c>
      <c r="B2613">
        <v>57240262</v>
      </c>
      <c r="C2613" s="36" t="s">
        <v>2910</v>
      </c>
      <c r="D2613" s="37">
        <v>42068.508275462962</v>
      </c>
      <c r="E2613" s="37">
        <v>42068.516458333332</v>
      </c>
      <c r="F2613">
        <v>1</v>
      </c>
      <c r="G2613">
        <v>2</v>
      </c>
      <c r="R2613">
        <v>13</v>
      </c>
      <c r="W2613" s="47"/>
    </row>
    <row r="2614" spans="1:23">
      <c r="A2614">
        <v>3809157497</v>
      </c>
      <c r="B2614">
        <v>57240262</v>
      </c>
      <c r="C2614" s="36" t="s">
        <v>2911</v>
      </c>
      <c r="D2614" s="37">
        <v>42068.524108796293</v>
      </c>
      <c r="E2614" s="37">
        <v>42068.529386574075</v>
      </c>
      <c r="G2614">
        <v>2</v>
      </c>
      <c r="O2614">
        <v>10</v>
      </c>
      <c r="Q2614">
        <v>12</v>
      </c>
      <c r="V2614" s="42" t="s">
        <v>3477</v>
      </c>
      <c r="W2614" s="47">
        <v>10</v>
      </c>
    </row>
    <row r="2615" spans="1:23" hidden="1">
      <c r="A2615">
        <v>3809186283</v>
      </c>
      <c r="B2615">
        <v>57240262</v>
      </c>
      <c r="C2615" s="36" t="s">
        <v>2912</v>
      </c>
      <c r="D2615" s="37">
        <v>42068.535717592589</v>
      </c>
      <c r="E2615" s="37">
        <v>42068.545787037037</v>
      </c>
      <c r="F2615">
        <v>1</v>
      </c>
      <c r="G2615">
        <v>2</v>
      </c>
      <c r="H2615">
        <v>3</v>
      </c>
      <c r="I2615">
        <v>4</v>
      </c>
      <c r="J2615">
        <v>5</v>
      </c>
      <c r="K2615">
        <v>6</v>
      </c>
      <c r="O2615">
        <v>10</v>
      </c>
      <c r="R2615">
        <v>13</v>
      </c>
      <c r="S2615">
        <v>14</v>
      </c>
      <c r="W2615" s="47"/>
    </row>
    <row r="2616" spans="1:23" hidden="1">
      <c r="A2616">
        <v>3809210049</v>
      </c>
      <c r="B2616">
        <v>57240262</v>
      </c>
      <c r="C2616" s="36" t="s">
        <v>2913</v>
      </c>
      <c r="D2616" s="37">
        <v>42068.545335648145</v>
      </c>
      <c r="E2616" s="37">
        <v>42068.556608796294</v>
      </c>
      <c r="O2616">
        <v>10</v>
      </c>
      <c r="W2616" s="47"/>
    </row>
    <row r="2617" spans="1:23" hidden="1">
      <c r="A2617">
        <v>3809237922</v>
      </c>
      <c r="B2617">
        <v>57240262</v>
      </c>
      <c r="C2617" s="36" t="s">
        <v>2914</v>
      </c>
      <c r="D2617" s="37">
        <v>42068.55568287037</v>
      </c>
      <c r="E2617" s="37">
        <v>42068.55972222222</v>
      </c>
      <c r="M2617">
        <v>8</v>
      </c>
      <c r="N2617">
        <v>9</v>
      </c>
      <c r="O2617">
        <v>10</v>
      </c>
      <c r="R2617">
        <v>13</v>
      </c>
      <c r="W2617" s="47"/>
    </row>
    <row r="2618" spans="1:23" hidden="1">
      <c r="A2618">
        <v>3809238425</v>
      </c>
      <c r="B2618">
        <v>57240262</v>
      </c>
      <c r="C2618" s="36" t="s">
        <v>2915</v>
      </c>
      <c r="D2618" s="37">
        <v>42068.555972222224</v>
      </c>
      <c r="E2618" s="37">
        <v>42068.560011574074</v>
      </c>
      <c r="F2618">
        <v>1</v>
      </c>
      <c r="G2618">
        <v>2</v>
      </c>
      <c r="O2618">
        <v>10</v>
      </c>
      <c r="W2618" s="47"/>
    </row>
    <row r="2619" spans="1:23">
      <c r="A2619">
        <v>3809265919</v>
      </c>
      <c r="B2619">
        <v>57240262</v>
      </c>
      <c r="C2619" s="36" t="s">
        <v>2916</v>
      </c>
      <c r="D2619" s="37">
        <v>42068.565694444442</v>
      </c>
      <c r="E2619" s="37">
        <v>42068.573368055557</v>
      </c>
      <c r="G2619">
        <v>2</v>
      </c>
      <c r="M2619">
        <v>8</v>
      </c>
      <c r="O2619">
        <v>10</v>
      </c>
      <c r="V2619" s="42" t="s">
        <v>99</v>
      </c>
      <c r="W2619" s="47">
        <v>10</v>
      </c>
    </row>
    <row r="2620" spans="1:23" hidden="1">
      <c r="A2620">
        <v>3809351212</v>
      </c>
      <c r="B2620">
        <v>57240262</v>
      </c>
      <c r="C2620" s="36" t="s">
        <v>2917</v>
      </c>
      <c r="D2620" s="37">
        <v>42068.592233796298</v>
      </c>
      <c r="E2620" s="37">
        <v>42068.596539351849</v>
      </c>
      <c r="G2620">
        <v>2</v>
      </c>
      <c r="H2620">
        <v>3</v>
      </c>
      <c r="J2620">
        <v>5</v>
      </c>
      <c r="N2620">
        <v>9</v>
      </c>
      <c r="O2620">
        <v>10</v>
      </c>
      <c r="W2620" s="47"/>
    </row>
    <row r="2621" spans="1:23" hidden="1">
      <c r="A2621">
        <v>3809363706</v>
      </c>
      <c r="B2621">
        <v>57240262</v>
      </c>
      <c r="C2621" s="36" t="s">
        <v>2918</v>
      </c>
      <c r="D2621" s="37">
        <v>42068.596053240741</v>
      </c>
      <c r="E2621" s="37">
        <v>42068.603645833333</v>
      </c>
      <c r="G2621">
        <v>2</v>
      </c>
      <c r="K2621">
        <v>6</v>
      </c>
      <c r="W2621" s="47"/>
    </row>
    <row r="2622" spans="1:23">
      <c r="A2622">
        <v>3809386410</v>
      </c>
      <c r="B2622">
        <v>57240262</v>
      </c>
      <c r="C2622" s="36" t="s">
        <v>2919</v>
      </c>
      <c r="D2622" s="37">
        <v>42068.602465277778</v>
      </c>
      <c r="E2622" s="37">
        <v>42068.607974537037</v>
      </c>
      <c r="F2622">
        <v>1</v>
      </c>
      <c r="G2622">
        <v>2</v>
      </c>
      <c r="J2622">
        <v>5</v>
      </c>
      <c r="O2622">
        <v>10</v>
      </c>
      <c r="R2622">
        <v>13</v>
      </c>
      <c r="V2622" s="42" t="s">
        <v>84</v>
      </c>
      <c r="W2622" s="47">
        <v>1</v>
      </c>
    </row>
    <row r="2623" spans="1:23">
      <c r="A2623">
        <v>3809443181</v>
      </c>
      <c r="B2623">
        <v>57240262</v>
      </c>
      <c r="C2623" s="36" t="s">
        <v>2920</v>
      </c>
      <c r="D2623" s="37">
        <v>42068.618252314816</v>
      </c>
      <c r="E2623" s="37">
        <v>42068.624305555553</v>
      </c>
      <c r="G2623">
        <v>2</v>
      </c>
      <c r="K2623">
        <v>6</v>
      </c>
      <c r="V2623" s="42" t="s">
        <v>185</v>
      </c>
      <c r="W2623" s="47">
        <v>6</v>
      </c>
    </row>
    <row r="2624" spans="1:23" hidden="1">
      <c r="A2624">
        <v>3809470755</v>
      </c>
      <c r="B2624">
        <v>57240262</v>
      </c>
      <c r="C2624" s="36" t="s">
        <v>2921</v>
      </c>
      <c r="D2624" s="37">
        <v>42068.625416666669</v>
      </c>
      <c r="E2624" s="37">
        <v>42068.62909722222</v>
      </c>
      <c r="F2624">
        <v>1</v>
      </c>
      <c r="O2624">
        <v>10</v>
      </c>
      <c r="W2624" s="47"/>
    </row>
    <row r="2625" spans="1:23" hidden="1">
      <c r="A2625">
        <v>3809468213</v>
      </c>
      <c r="B2625">
        <v>57240262</v>
      </c>
      <c r="C2625" s="36" t="s">
        <v>2922</v>
      </c>
      <c r="D2625" s="37">
        <v>42068.624942129631</v>
      </c>
      <c r="E2625" s="37">
        <v>42068.63140046296</v>
      </c>
      <c r="G2625">
        <v>2</v>
      </c>
      <c r="K2625">
        <v>6</v>
      </c>
      <c r="S2625">
        <v>14</v>
      </c>
      <c r="W2625" s="47"/>
    </row>
    <row r="2626" spans="1:23" hidden="1">
      <c r="A2626">
        <v>3809507177</v>
      </c>
      <c r="B2626">
        <v>57240262</v>
      </c>
      <c r="C2626" s="36" t="s">
        <v>2923</v>
      </c>
      <c r="D2626" s="37">
        <v>42068.635138888887</v>
      </c>
      <c r="E2626" s="37">
        <v>42068.6408912037</v>
      </c>
      <c r="U2626">
        <v>16</v>
      </c>
      <c r="W2626" s="47"/>
    </row>
    <row r="2627" spans="1:23" hidden="1">
      <c r="A2627">
        <v>3809059112</v>
      </c>
      <c r="B2627">
        <v>57240262</v>
      </c>
      <c r="C2627" s="36" t="s">
        <v>2924</v>
      </c>
      <c r="D2627" s="37">
        <v>42068.474247685182</v>
      </c>
      <c r="E2627" s="37">
        <v>42068.642800925925</v>
      </c>
      <c r="I2627">
        <v>4</v>
      </c>
      <c r="R2627">
        <v>13</v>
      </c>
      <c r="W2627" s="47"/>
    </row>
    <row r="2628" spans="1:23" hidden="1">
      <c r="A2628">
        <v>3809536000</v>
      </c>
      <c r="B2628">
        <v>57240262</v>
      </c>
      <c r="C2628" s="36" t="s">
        <v>2925</v>
      </c>
      <c r="D2628" s="37">
        <v>42068.641041666669</v>
      </c>
      <c r="E2628" s="37">
        <v>42068.642916666664</v>
      </c>
      <c r="W2628" s="47"/>
    </row>
    <row r="2629" spans="1:23" hidden="1">
      <c r="A2629">
        <v>3809930175</v>
      </c>
      <c r="B2629">
        <v>57240262</v>
      </c>
      <c r="C2629" s="36" t="s">
        <v>2926</v>
      </c>
      <c r="D2629" s="37">
        <v>42068.739236111112</v>
      </c>
      <c r="E2629" s="37">
        <v>42068.745324074072</v>
      </c>
      <c r="U2629">
        <v>16</v>
      </c>
      <c r="W2629" s="47"/>
    </row>
    <row r="2630" spans="1:23">
      <c r="A2630">
        <v>3810102970</v>
      </c>
      <c r="B2630">
        <v>57240262</v>
      </c>
      <c r="C2630" s="36" t="s">
        <v>2927</v>
      </c>
      <c r="D2630" s="37">
        <v>42068.784641203703</v>
      </c>
      <c r="E2630" s="37">
        <v>42068.787673611114</v>
      </c>
      <c r="F2630">
        <v>1</v>
      </c>
      <c r="G2630">
        <v>2</v>
      </c>
      <c r="V2630" s="42" t="s">
        <v>84</v>
      </c>
      <c r="W2630" s="47">
        <v>1</v>
      </c>
    </row>
    <row r="2631" spans="1:23" hidden="1">
      <c r="A2631">
        <v>3810296089</v>
      </c>
      <c r="B2631">
        <v>57240262</v>
      </c>
      <c r="C2631" s="36" t="s">
        <v>2928</v>
      </c>
      <c r="D2631" s="37">
        <v>42068.835335648146</v>
      </c>
      <c r="E2631" s="37">
        <v>42068.841608796298</v>
      </c>
      <c r="K2631">
        <v>6</v>
      </c>
      <c r="W2631" s="47"/>
    </row>
    <row r="2632" spans="1:23" hidden="1">
      <c r="A2632">
        <v>3811455514</v>
      </c>
      <c r="B2632">
        <v>57240262</v>
      </c>
      <c r="C2632" s="36" t="s">
        <v>2929</v>
      </c>
      <c r="D2632" s="37">
        <v>42069.380636574075</v>
      </c>
      <c r="E2632" s="37">
        <v>42069.384629629632</v>
      </c>
      <c r="U2632">
        <v>16</v>
      </c>
      <c r="W2632" s="47"/>
    </row>
    <row r="2633" spans="1:23">
      <c r="A2633">
        <v>3811397439</v>
      </c>
      <c r="B2633">
        <v>57240262</v>
      </c>
      <c r="C2633" s="36" t="s">
        <v>2930</v>
      </c>
      <c r="D2633" s="37">
        <v>42069.34138888889</v>
      </c>
      <c r="E2633" s="37">
        <v>42069.397604166668</v>
      </c>
      <c r="G2633">
        <v>2</v>
      </c>
      <c r="O2633">
        <v>10</v>
      </c>
      <c r="Q2633">
        <v>12</v>
      </c>
      <c r="V2633" s="42" t="s">
        <v>64</v>
      </c>
      <c r="W2633" s="47">
        <v>12</v>
      </c>
    </row>
    <row r="2634" spans="1:23" hidden="1">
      <c r="A2634">
        <v>3811476879</v>
      </c>
      <c r="B2634">
        <v>57240262</v>
      </c>
      <c r="C2634" s="36" t="s">
        <v>2931</v>
      </c>
      <c r="D2634" s="37">
        <v>42069.394016203703</v>
      </c>
      <c r="E2634" s="37">
        <v>42069.406782407408</v>
      </c>
      <c r="K2634">
        <v>6</v>
      </c>
      <c r="W2634" s="47"/>
    </row>
    <row r="2635" spans="1:23">
      <c r="A2635">
        <v>3811486295</v>
      </c>
      <c r="B2635">
        <v>57240262</v>
      </c>
      <c r="C2635" s="36" t="s">
        <v>2932</v>
      </c>
      <c r="D2635" s="37">
        <v>42069.399837962963</v>
      </c>
      <c r="E2635" s="37">
        <v>42069.439814814818</v>
      </c>
      <c r="F2635">
        <v>1</v>
      </c>
      <c r="I2635">
        <v>4</v>
      </c>
      <c r="J2635">
        <v>5</v>
      </c>
      <c r="O2635">
        <v>10</v>
      </c>
      <c r="V2635" s="42" t="s">
        <v>3478</v>
      </c>
      <c r="W2635" s="47">
        <v>10</v>
      </c>
    </row>
    <row r="2636" spans="1:23" hidden="1">
      <c r="A2636">
        <v>3811560270</v>
      </c>
      <c r="B2636">
        <v>57240262</v>
      </c>
      <c r="C2636" s="36" t="s">
        <v>2933</v>
      </c>
      <c r="D2636" s="37">
        <v>42069.444224537037</v>
      </c>
      <c r="E2636" s="37">
        <v>42069.448379629626</v>
      </c>
      <c r="U2636">
        <v>16</v>
      </c>
      <c r="W2636" s="47"/>
    </row>
    <row r="2637" spans="1:23">
      <c r="A2637">
        <v>3811573643</v>
      </c>
      <c r="B2637">
        <v>57240262</v>
      </c>
      <c r="C2637" s="36" t="s">
        <v>2934</v>
      </c>
      <c r="D2637" s="37">
        <v>42069.452013888891</v>
      </c>
      <c r="E2637" s="37">
        <v>42069.45653935185</v>
      </c>
      <c r="F2637">
        <v>1</v>
      </c>
      <c r="O2637">
        <v>10</v>
      </c>
      <c r="V2637" s="42" t="s">
        <v>226</v>
      </c>
      <c r="W2637" s="47">
        <v>10</v>
      </c>
    </row>
    <row r="2638" spans="1:23" hidden="1">
      <c r="A2638">
        <v>3811733055</v>
      </c>
      <c r="B2638">
        <v>57240262</v>
      </c>
      <c r="C2638" s="36" t="s">
        <v>2935</v>
      </c>
      <c r="D2638" s="37">
        <v>42069.52857638889</v>
      </c>
      <c r="E2638" s="37">
        <v>42069.539386574077</v>
      </c>
      <c r="G2638">
        <v>2</v>
      </c>
      <c r="N2638">
        <v>9</v>
      </c>
      <c r="W2638" s="47"/>
    </row>
    <row r="2639" spans="1:23" hidden="1">
      <c r="A2639">
        <v>3811777099</v>
      </c>
      <c r="B2639">
        <v>57240262</v>
      </c>
      <c r="C2639" s="36" t="s">
        <v>2936</v>
      </c>
      <c r="D2639" s="37">
        <v>42069.545532407406</v>
      </c>
      <c r="E2639" s="37">
        <v>42069.547719907408</v>
      </c>
      <c r="W2639" s="47"/>
    </row>
    <row r="2640" spans="1:23" hidden="1">
      <c r="A2640">
        <v>3812228561</v>
      </c>
      <c r="B2640">
        <v>57240262</v>
      </c>
      <c r="C2640" s="36" t="s">
        <v>2937</v>
      </c>
      <c r="D2640" s="37">
        <v>42069.662511574075</v>
      </c>
      <c r="E2640" s="37">
        <v>42069.670416666668</v>
      </c>
      <c r="O2640">
        <v>10</v>
      </c>
      <c r="W2640" s="47"/>
    </row>
    <row r="2641" spans="1:23" hidden="1">
      <c r="A2641">
        <v>3812471314</v>
      </c>
      <c r="B2641">
        <v>57240262</v>
      </c>
      <c r="C2641" s="36" t="s">
        <v>2938</v>
      </c>
      <c r="D2641" s="37">
        <v>42069.717870370368</v>
      </c>
      <c r="E2641" s="37">
        <v>42069.728865740741</v>
      </c>
      <c r="K2641">
        <v>6</v>
      </c>
      <c r="W2641" s="47"/>
    </row>
    <row r="2642" spans="1:23" hidden="1">
      <c r="A2642">
        <v>3812725891</v>
      </c>
      <c r="B2642">
        <v>57240262</v>
      </c>
      <c r="C2642" s="36" t="s">
        <v>2939</v>
      </c>
      <c r="D2642" s="37">
        <v>42069.780416666668</v>
      </c>
      <c r="E2642" s="37">
        <v>42069.786400462966</v>
      </c>
      <c r="G2642">
        <v>2</v>
      </c>
      <c r="W2642" s="47"/>
    </row>
    <row r="2643" spans="1:23">
      <c r="A2643">
        <v>3813204934</v>
      </c>
      <c r="B2643">
        <v>57240262</v>
      </c>
      <c r="C2643" s="36" t="s">
        <v>2940</v>
      </c>
      <c r="D2643" s="37">
        <v>42069.909675925926</v>
      </c>
      <c r="E2643" s="37">
        <v>42069.915393518517</v>
      </c>
      <c r="G2643">
        <v>2</v>
      </c>
      <c r="H2643">
        <v>3</v>
      </c>
      <c r="M2643">
        <v>8</v>
      </c>
      <c r="O2643">
        <v>10</v>
      </c>
      <c r="V2643" s="42" t="s">
        <v>128</v>
      </c>
      <c r="W2643" s="47">
        <v>10</v>
      </c>
    </row>
    <row r="2644" spans="1:23" hidden="1">
      <c r="A2644">
        <v>3813484354</v>
      </c>
      <c r="B2644">
        <v>57240262</v>
      </c>
      <c r="C2644" s="36" t="s">
        <v>2941</v>
      </c>
      <c r="D2644" s="37">
        <v>42070.026458333334</v>
      </c>
      <c r="E2644" s="37">
        <v>42070.032858796294</v>
      </c>
      <c r="U2644">
        <v>16</v>
      </c>
      <c r="W2644" s="47"/>
    </row>
    <row r="2645" spans="1:23" hidden="1">
      <c r="A2645">
        <v>3813608873</v>
      </c>
      <c r="B2645">
        <v>57240262</v>
      </c>
      <c r="C2645" s="36" t="s">
        <v>2942</v>
      </c>
      <c r="D2645" s="37">
        <v>42070.050104166665</v>
      </c>
      <c r="E2645" s="37">
        <v>42070.102847222224</v>
      </c>
      <c r="H2645">
        <v>3</v>
      </c>
      <c r="W2645" s="47"/>
    </row>
    <row r="2646" spans="1:23" hidden="1">
      <c r="A2646">
        <v>3813844260</v>
      </c>
      <c r="B2646">
        <v>57240262</v>
      </c>
      <c r="C2646" s="36" t="s">
        <v>2943</v>
      </c>
      <c r="D2646" s="37">
        <v>42070.308668981481</v>
      </c>
      <c r="E2646" s="37">
        <v>42070.315972222219</v>
      </c>
      <c r="U2646">
        <v>16</v>
      </c>
      <c r="W2646" s="47"/>
    </row>
    <row r="2647" spans="1:23" hidden="1">
      <c r="A2647">
        <v>3813984804</v>
      </c>
      <c r="B2647">
        <v>57240262</v>
      </c>
      <c r="C2647" s="36" t="s">
        <v>2944</v>
      </c>
      <c r="D2647" s="37">
        <v>42070.485659722224</v>
      </c>
      <c r="E2647" s="37">
        <v>42070.490081018521</v>
      </c>
      <c r="K2647">
        <v>6</v>
      </c>
      <c r="W2647" s="47"/>
    </row>
    <row r="2648" spans="1:23">
      <c r="A2648">
        <v>3814095224</v>
      </c>
      <c r="B2648">
        <v>57240262</v>
      </c>
      <c r="C2648" s="36" t="s">
        <v>2945</v>
      </c>
      <c r="D2648" s="37">
        <v>42070.587847222225</v>
      </c>
      <c r="E2648" s="37">
        <v>42070.59684027778</v>
      </c>
      <c r="F2648">
        <v>1</v>
      </c>
      <c r="M2648">
        <v>8</v>
      </c>
      <c r="O2648">
        <v>10</v>
      </c>
      <c r="Q2648">
        <v>12</v>
      </c>
      <c r="V2648" s="42" t="s">
        <v>171</v>
      </c>
      <c r="W2648" s="47">
        <v>12</v>
      </c>
    </row>
    <row r="2649" spans="1:23" hidden="1">
      <c r="A2649">
        <v>3814118439</v>
      </c>
      <c r="B2649">
        <v>57240262</v>
      </c>
      <c r="C2649" s="36" t="s">
        <v>2946</v>
      </c>
      <c r="D2649" s="37">
        <v>42070.605787037035</v>
      </c>
      <c r="E2649" s="37">
        <v>42070.618506944447</v>
      </c>
      <c r="U2649">
        <v>16</v>
      </c>
      <c r="W2649" s="47"/>
    </row>
    <row r="2650" spans="1:23" ht="24">
      <c r="A2650">
        <v>3814199808</v>
      </c>
      <c r="B2650">
        <v>57240262</v>
      </c>
      <c r="C2650" s="36" t="s">
        <v>2947</v>
      </c>
      <c r="D2650" s="37">
        <v>42070.664652777778</v>
      </c>
      <c r="E2650" s="37">
        <v>42070.677569444444</v>
      </c>
      <c r="G2650">
        <v>2</v>
      </c>
      <c r="R2650">
        <v>13</v>
      </c>
      <c r="V2650" s="42" t="s">
        <v>3479</v>
      </c>
      <c r="W2650" s="47">
        <v>2</v>
      </c>
    </row>
    <row r="2651" spans="1:23" hidden="1">
      <c r="A2651">
        <v>3814264939</v>
      </c>
      <c r="B2651">
        <v>57240262</v>
      </c>
      <c r="C2651" s="36" t="s">
        <v>2948</v>
      </c>
      <c r="D2651" s="37">
        <v>42070.709097222221</v>
      </c>
      <c r="E2651" s="37">
        <v>42070.716585648152</v>
      </c>
      <c r="F2651">
        <v>1</v>
      </c>
      <c r="G2651">
        <v>2</v>
      </c>
      <c r="J2651">
        <v>5</v>
      </c>
      <c r="K2651">
        <v>6</v>
      </c>
      <c r="O2651">
        <v>10</v>
      </c>
      <c r="W2651" s="47"/>
    </row>
    <row r="2652" spans="1:23" hidden="1">
      <c r="A2652">
        <v>3814276600</v>
      </c>
      <c r="B2652">
        <v>57240262</v>
      </c>
      <c r="C2652" s="36" t="s">
        <v>2949</v>
      </c>
      <c r="D2652" s="37">
        <v>42070.716331018521</v>
      </c>
      <c r="E2652" s="37">
        <v>42070.719826388886</v>
      </c>
      <c r="M2652">
        <v>8</v>
      </c>
      <c r="W2652" s="47"/>
    </row>
    <row r="2653" spans="1:23" hidden="1">
      <c r="A2653">
        <v>3814634444</v>
      </c>
      <c r="B2653">
        <v>57240262</v>
      </c>
      <c r="C2653" s="36" t="s">
        <v>2950</v>
      </c>
      <c r="D2653" s="37">
        <v>42071.035462962966</v>
      </c>
      <c r="E2653" s="37">
        <v>42071.040578703702</v>
      </c>
      <c r="I2653">
        <v>4</v>
      </c>
      <c r="K2653">
        <v>6</v>
      </c>
      <c r="O2653">
        <v>10</v>
      </c>
      <c r="W2653" s="47"/>
    </row>
    <row r="2654" spans="1:23" hidden="1">
      <c r="A2654">
        <v>3815084204</v>
      </c>
      <c r="B2654">
        <v>57240262</v>
      </c>
      <c r="C2654" s="36" t="s">
        <v>2951</v>
      </c>
      <c r="D2654" s="37">
        <v>42071.630613425928</v>
      </c>
      <c r="E2654" s="37">
        <v>42071.6328587963</v>
      </c>
      <c r="U2654">
        <v>16</v>
      </c>
      <c r="W2654" s="47"/>
    </row>
    <row r="2655" spans="1:23" hidden="1">
      <c r="A2655">
        <v>3815193770</v>
      </c>
      <c r="B2655">
        <v>57240262</v>
      </c>
      <c r="C2655" s="36" t="s">
        <v>2952</v>
      </c>
      <c r="D2655" s="37">
        <v>42071.728715277779</v>
      </c>
      <c r="E2655" s="37">
        <v>42071.734513888892</v>
      </c>
      <c r="U2655">
        <v>16</v>
      </c>
      <c r="W2655" s="47"/>
    </row>
    <row r="2656" spans="1:23" hidden="1">
      <c r="A2656">
        <v>3815202108</v>
      </c>
      <c r="B2656">
        <v>57240262</v>
      </c>
      <c r="C2656" s="36" t="s">
        <v>2953</v>
      </c>
      <c r="D2656" s="37">
        <v>42071.735358796293</v>
      </c>
      <c r="E2656" s="37">
        <v>42071.741840277777</v>
      </c>
      <c r="R2656">
        <v>13</v>
      </c>
      <c r="W2656" s="47"/>
    </row>
    <row r="2657" spans="1:23" hidden="1">
      <c r="A2657">
        <v>3815303158</v>
      </c>
      <c r="B2657">
        <v>57240262</v>
      </c>
      <c r="C2657" s="36" t="s">
        <v>2954</v>
      </c>
      <c r="D2657" s="37">
        <v>42071.823807870373</v>
      </c>
      <c r="E2657" s="37">
        <v>42071.826631944445</v>
      </c>
      <c r="U2657">
        <v>16</v>
      </c>
      <c r="W2657" s="47"/>
    </row>
    <row r="2658" spans="1:23" hidden="1">
      <c r="A2658">
        <v>3815389949</v>
      </c>
      <c r="B2658">
        <v>57240262</v>
      </c>
      <c r="C2658" s="36" t="s">
        <v>2955</v>
      </c>
      <c r="D2658" s="37">
        <v>42071.895949074074</v>
      </c>
      <c r="E2658" s="37">
        <v>42071.904166666667</v>
      </c>
      <c r="G2658">
        <v>2</v>
      </c>
      <c r="K2658">
        <v>6</v>
      </c>
      <c r="W2658" s="47"/>
    </row>
    <row r="2659" spans="1:23" ht="24">
      <c r="A2659">
        <v>3815428358</v>
      </c>
      <c r="B2659">
        <v>57240262</v>
      </c>
      <c r="C2659" s="36" t="s">
        <v>2956</v>
      </c>
      <c r="D2659" s="37">
        <v>42071.927511574075</v>
      </c>
      <c r="E2659" s="37">
        <v>42071.939456018517</v>
      </c>
      <c r="F2659">
        <v>1</v>
      </c>
      <c r="G2659">
        <v>2</v>
      </c>
      <c r="H2659">
        <v>3</v>
      </c>
      <c r="O2659">
        <v>10</v>
      </c>
      <c r="V2659" s="42" t="s">
        <v>3480</v>
      </c>
      <c r="W2659" s="47">
        <v>2</v>
      </c>
    </row>
    <row r="2660" spans="1:23" hidden="1">
      <c r="A2660">
        <v>3816091495</v>
      </c>
      <c r="B2660">
        <v>57240262</v>
      </c>
      <c r="C2660" s="36" t="s">
        <v>2957</v>
      </c>
      <c r="D2660" s="37">
        <v>42072.45034722222</v>
      </c>
      <c r="E2660" s="37">
        <v>42072.454710648148</v>
      </c>
      <c r="F2660">
        <v>1</v>
      </c>
      <c r="W2660" s="47"/>
    </row>
    <row r="2661" spans="1:23" hidden="1">
      <c r="A2661">
        <v>3816172980</v>
      </c>
      <c r="B2661">
        <v>57240262</v>
      </c>
      <c r="C2661" s="36" t="s">
        <v>2958</v>
      </c>
      <c r="D2661" s="37">
        <v>42072.48946759259</v>
      </c>
      <c r="E2661" s="37">
        <v>42072.492199074077</v>
      </c>
      <c r="U2661">
        <v>16</v>
      </c>
      <c r="W2661" s="47"/>
    </row>
    <row r="2662" spans="1:23" hidden="1">
      <c r="A2662">
        <v>3816189174</v>
      </c>
      <c r="B2662">
        <v>57240262</v>
      </c>
      <c r="C2662" s="36" t="s">
        <v>2959</v>
      </c>
      <c r="D2662" s="37">
        <v>42072.384548611109</v>
      </c>
      <c r="E2662" s="37">
        <v>42072.500347222223</v>
      </c>
      <c r="J2662">
        <v>5</v>
      </c>
      <c r="K2662">
        <v>6</v>
      </c>
      <c r="O2662">
        <v>10</v>
      </c>
      <c r="W2662" s="47"/>
    </row>
    <row r="2663" spans="1:23" hidden="1">
      <c r="A2663">
        <v>3816291478</v>
      </c>
      <c r="B2663">
        <v>57240262</v>
      </c>
      <c r="C2663" s="36" t="s">
        <v>2960</v>
      </c>
      <c r="D2663" s="37">
        <v>42072.465775462966</v>
      </c>
      <c r="E2663" s="37">
        <v>42072.535439814812</v>
      </c>
      <c r="U2663">
        <v>16</v>
      </c>
      <c r="W2663" s="47"/>
    </row>
    <row r="2664" spans="1:23" hidden="1">
      <c r="A2664">
        <v>3816382425</v>
      </c>
      <c r="B2664">
        <v>57240262</v>
      </c>
      <c r="C2664" s="36" t="s">
        <v>2961</v>
      </c>
      <c r="D2664" s="37">
        <v>42072.561886574076</v>
      </c>
      <c r="E2664" s="37">
        <v>42072.562754629631</v>
      </c>
      <c r="W2664" s="47"/>
    </row>
    <row r="2665" spans="1:23" ht="24">
      <c r="A2665">
        <v>3816432967</v>
      </c>
      <c r="B2665">
        <v>57240262</v>
      </c>
      <c r="C2665" s="36" t="s">
        <v>2962</v>
      </c>
      <c r="D2665" s="37">
        <v>42072.575821759259</v>
      </c>
      <c r="E2665" s="37">
        <v>42072.585451388892</v>
      </c>
      <c r="H2665">
        <v>3</v>
      </c>
      <c r="I2665">
        <v>4</v>
      </c>
      <c r="K2665">
        <v>6</v>
      </c>
      <c r="O2665">
        <v>10</v>
      </c>
      <c r="V2665" s="42" t="s">
        <v>3481</v>
      </c>
      <c r="W2665" s="47">
        <v>3</v>
      </c>
    </row>
    <row r="2666" spans="1:23" hidden="1">
      <c r="A2666">
        <v>3816511713</v>
      </c>
      <c r="B2666">
        <v>57240262</v>
      </c>
      <c r="C2666" s="36" t="s">
        <v>2963</v>
      </c>
      <c r="D2666" s="37">
        <v>42072.594965277778</v>
      </c>
      <c r="E2666" s="37">
        <v>42072.6172337963</v>
      </c>
      <c r="U2666">
        <v>16</v>
      </c>
      <c r="W2666" s="47"/>
    </row>
    <row r="2667" spans="1:23" hidden="1">
      <c r="A2667">
        <v>3816632834</v>
      </c>
      <c r="B2667">
        <v>57240262</v>
      </c>
      <c r="C2667" s="36" t="s">
        <v>2964</v>
      </c>
      <c r="D2667" s="37">
        <v>42072.623842592591</v>
      </c>
      <c r="E2667" s="37">
        <v>42072.62835648148</v>
      </c>
      <c r="U2667">
        <v>16</v>
      </c>
      <c r="W2667" s="47"/>
    </row>
    <row r="2668" spans="1:23" hidden="1">
      <c r="A2668">
        <v>3816801000</v>
      </c>
      <c r="B2668">
        <v>57240262</v>
      </c>
      <c r="C2668" s="36" t="s">
        <v>2965</v>
      </c>
      <c r="D2668" s="37">
        <v>42072.662835648145</v>
      </c>
      <c r="E2668" s="37">
        <v>42072.668229166666</v>
      </c>
      <c r="I2668">
        <v>4</v>
      </c>
      <c r="W2668" s="47"/>
    </row>
    <row r="2669" spans="1:23" hidden="1">
      <c r="A2669">
        <v>3816919645</v>
      </c>
      <c r="B2669">
        <v>57240262</v>
      </c>
      <c r="C2669" s="36" t="s">
        <v>2966</v>
      </c>
      <c r="D2669" s="37">
        <v>42072.690983796296</v>
      </c>
      <c r="E2669" s="37">
        <v>42072.699074074073</v>
      </c>
      <c r="M2669">
        <v>8</v>
      </c>
      <c r="W2669" s="47"/>
    </row>
    <row r="2670" spans="1:23" hidden="1">
      <c r="A2670">
        <v>3817063477</v>
      </c>
      <c r="B2670">
        <v>57240262</v>
      </c>
      <c r="C2670" s="36" t="s">
        <v>2967</v>
      </c>
      <c r="D2670" s="37">
        <v>42072.725856481484</v>
      </c>
      <c r="E2670" s="37">
        <v>42072.732245370367</v>
      </c>
      <c r="U2670">
        <v>16</v>
      </c>
      <c r="W2670" s="47"/>
    </row>
    <row r="2671" spans="1:23" hidden="1">
      <c r="A2671">
        <v>3817091601</v>
      </c>
      <c r="B2671">
        <v>57240262</v>
      </c>
      <c r="C2671" s="36" t="s">
        <v>2968</v>
      </c>
      <c r="D2671" s="37">
        <v>42072.732719907406</v>
      </c>
      <c r="E2671" s="37">
        <v>42072.738171296296</v>
      </c>
      <c r="H2671">
        <v>3</v>
      </c>
      <c r="K2671">
        <v>6</v>
      </c>
      <c r="W2671" s="47"/>
    </row>
    <row r="2672" spans="1:23" hidden="1">
      <c r="A2672">
        <v>3817410999</v>
      </c>
      <c r="B2672">
        <v>57240262</v>
      </c>
      <c r="C2672" s="36" t="s">
        <v>2969</v>
      </c>
      <c r="D2672" s="37">
        <v>42072.815069444441</v>
      </c>
      <c r="E2672" s="37">
        <v>42072.82199074074</v>
      </c>
      <c r="U2672">
        <v>16</v>
      </c>
      <c r="W2672" s="47"/>
    </row>
    <row r="2673" spans="1:23" hidden="1">
      <c r="A2673">
        <v>3818061856</v>
      </c>
      <c r="B2673">
        <v>57240262</v>
      </c>
      <c r="C2673" s="36" t="s">
        <v>2970</v>
      </c>
      <c r="D2673" s="37">
        <v>42073.038842592592</v>
      </c>
      <c r="E2673" s="37">
        <v>42073.06695601852</v>
      </c>
      <c r="Q2673">
        <v>12</v>
      </c>
      <c r="W2673" s="47"/>
    </row>
    <row r="2674" spans="1:23" hidden="1">
      <c r="A2674">
        <v>3818157992</v>
      </c>
      <c r="B2674">
        <v>57240262</v>
      </c>
      <c r="C2674" s="36" t="s">
        <v>2971</v>
      </c>
      <c r="D2674" s="37">
        <v>42073.085046296299</v>
      </c>
      <c r="E2674" s="37">
        <v>42073.099432870367</v>
      </c>
      <c r="G2674">
        <v>2</v>
      </c>
      <c r="I2674">
        <v>4</v>
      </c>
      <c r="J2674">
        <v>5</v>
      </c>
      <c r="N2674">
        <v>9</v>
      </c>
      <c r="W2674" s="47"/>
    </row>
    <row r="2675" spans="1:23" hidden="1">
      <c r="A2675">
        <v>3818536411</v>
      </c>
      <c r="B2675">
        <v>57240262</v>
      </c>
      <c r="C2675" s="36" t="s">
        <v>2972</v>
      </c>
      <c r="D2675" s="37">
        <v>42073.354814814818</v>
      </c>
      <c r="E2675" s="37">
        <v>42073.359791666669</v>
      </c>
      <c r="F2675">
        <v>1</v>
      </c>
      <c r="W2675" s="47"/>
    </row>
    <row r="2676" spans="1:23">
      <c r="A2676">
        <v>3818560263</v>
      </c>
      <c r="B2676">
        <v>57240262</v>
      </c>
      <c r="C2676" s="36" t="s">
        <v>2973</v>
      </c>
      <c r="D2676" s="37">
        <v>42073.368391203701</v>
      </c>
      <c r="E2676" s="37">
        <v>42073.373692129629</v>
      </c>
      <c r="G2676">
        <v>2</v>
      </c>
      <c r="H2676">
        <v>3</v>
      </c>
      <c r="O2676">
        <v>10</v>
      </c>
      <c r="V2676" s="42" t="s">
        <v>3482</v>
      </c>
      <c r="W2676" s="47">
        <v>2</v>
      </c>
    </row>
    <row r="2677" spans="1:23" hidden="1">
      <c r="A2677">
        <v>3818613041</v>
      </c>
      <c r="B2677">
        <v>57240262</v>
      </c>
      <c r="C2677" s="36" t="s">
        <v>2974</v>
      </c>
      <c r="D2677" s="37">
        <v>42073.39640046296</v>
      </c>
      <c r="E2677" s="37">
        <v>42073.399259259262</v>
      </c>
      <c r="U2677">
        <v>16</v>
      </c>
      <c r="W2677" s="47"/>
    </row>
    <row r="2678" spans="1:23" hidden="1">
      <c r="A2678">
        <v>3818701993</v>
      </c>
      <c r="B2678">
        <v>57240262</v>
      </c>
      <c r="C2678" s="36" t="s">
        <v>2975</v>
      </c>
      <c r="D2678" s="37">
        <v>42073.444062499999</v>
      </c>
      <c r="E2678" s="37">
        <v>42073.449120370373</v>
      </c>
      <c r="O2678">
        <v>10</v>
      </c>
      <c r="W2678" s="47"/>
    </row>
    <row r="2679" spans="1:23">
      <c r="A2679">
        <v>3818737611</v>
      </c>
      <c r="B2679">
        <v>57240262</v>
      </c>
      <c r="C2679" s="36" t="s">
        <v>2976</v>
      </c>
      <c r="D2679" s="37">
        <v>42073.461064814815</v>
      </c>
      <c r="E2679" s="37">
        <v>42073.465925925928</v>
      </c>
      <c r="H2679">
        <v>3</v>
      </c>
      <c r="L2679">
        <v>7</v>
      </c>
      <c r="V2679" s="42" t="s">
        <v>3483</v>
      </c>
      <c r="W2679" s="47">
        <v>7</v>
      </c>
    </row>
    <row r="2680" spans="1:23">
      <c r="A2680">
        <v>3818755369</v>
      </c>
      <c r="B2680">
        <v>57240262</v>
      </c>
      <c r="C2680" s="36" t="s">
        <v>2977</v>
      </c>
      <c r="D2680" s="37">
        <v>42073.468460648146</v>
      </c>
      <c r="E2680" s="37">
        <v>42073.483101851853</v>
      </c>
      <c r="F2680">
        <v>1</v>
      </c>
      <c r="G2680">
        <v>2</v>
      </c>
      <c r="H2680">
        <v>3</v>
      </c>
      <c r="O2680">
        <v>10</v>
      </c>
      <c r="V2680" s="42" t="s">
        <v>3484</v>
      </c>
      <c r="W2680" s="47">
        <v>3</v>
      </c>
    </row>
    <row r="2681" spans="1:23" hidden="1">
      <c r="A2681">
        <v>3818823873</v>
      </c>
      <c r="B2681">
        <v>57240262</v>
      </c>
      <c r="C2681" s="36" t="s">
        <v>2978</v>
      </c>
      <c r="D2681" s="37">
        <v>42073.49628472222</v>
      </c>
      <c r="E2681" s="37">
        <v>42073.517164351855</v>
      </c>
      <c r="F2681">
        <v>1</v>
      </c>
      <c r="K2681">
        <v>6</v>
      </c>
      <c r="W2681" s="47"/>
    </row>
    <row r="2682" spans="1:23" hidden="1">
      <c r="A2682">
        <v>3819059327</v>
      </c>
      <c r="B2682">
        <v>57240262</v>
      </c>
      <c r="C2682" s="36" t="s">
        <v>2979</v>
      </c>
      <c r="D2682" s="37">
        <v>42073.547025462962</v>
      </c>
      <c r="E2682" s="37">
        <v>42073.549803240741</v>
      </c>
      <c r="U2682">
        <v>16</v>
      </c>
      <c r="W2682" s="47"/>
    </row>
    <row r="2683" spans="1:23">
      <c r="A2683">
        <v>3819069265</v>
      </c>
      <c r="B2683">
        <v>57240262</v>
      </c>
      <c r="C2683" s="36" t="s">
        <v>2980</v>
      </c>
      <c r="D2683" s="37">
        <v>42073.548182870371</v>
      </c>
      <c r="E2683" s="37">
        <v>42073.554108796299</v>
      </c>
      <c r="G2683">
        <v>2</v>
      </c>
      <c r="R2683">
        <v>13</v>
      </c>
      <c r="V2683" s="42" t="s">
        <v>30</v>
      </c>
      <c r="W2683" s="47">
        <v>2</v>
      </c>
    </row>
    <row r="2684" spans="1:23" hidden="1">
      <c r="A2684">
        <v>3819356456</v>
      </c>
      <c r="B2684">
        <v>57240262</v>
      </c>
      <c r="C2684" s="36" t="s">
        <v>2981</v>
      </c>
      <c r="D2684" s="37">
        <v>42073.585381944446</v>
      </c>
      <c r="E2684" s="37">
        <v>42073.58798611111</v>
      </c>
      <c r="M2684">
        <v>8</v>
      </c>
      <c r="O2684">
        <v>10</v>
      </c>
      <c r="R2684">
        <v>13</v>
      </c>
      <c r="W2684" s="47"/>
    </row>
    <row r="2685" spans="1:23" hidden="1">
      <c r="A2685">
        <v>3819735850</v>
      </c>
      <c r="B2685">
        <v>57240262</v>
      </c>
      <c r="C2685" s="36" t="s">
        <v>2982</v>
      </c>
      <c r="D2685" s="37">
        <v>42073.639178240737</v>
      </c>
      <c r="E2685" s="37">
        <v>42073.645601851851</v>
      </c>
      <c r="O2685">
        <v>10</v>
      </c>
      <c r="W2685" s="47"/>
    </row>
    <row r="2686" spans="1:23">
      <c r="A2686">
        <v>3819758398</v>
      </c>
      <c r="B2686">
        <v>57240262</v>
      </c>
      <c r="C2686" s="36" t="s">
        <v>2983</v>
      </c>
      <c r="D2686" s="37">
        <v>42073.642824074072</v>
      </c>
      <c r="E2686" s="37">
        <v>42073.647997685184</v>
      </c>
      <c r="K2686">
        <v>6</v>
      </c>
      <c r="P2686">
        <v>11</v>
      </c>
      <c r="V2686" s="42" t="s">
        <v>3485</v>
      </c>
      <c r="W2686" s="47">
        <v>11</v>
      </c>
    </row>
    <row r="2687" spans="1:23" hidden="1">
      <c r="A2687">
        <v>3820061542</v>
      </c>
      <c r="B2687">
        <v>57240262</v>
      </c>
      <c r="C2687" s="36" t="s">
        <v>2984</v>
      </c>
      <c r="D2687" s="37">
        <v>42073.695289351854</v>
      </c>
      <c r="E2687" s="37">
        <v>42073.710451388892</v>
      </c>
      <c r="U2687">
        <v>16</v>
      </c>
      <c r="W2687" s="47"/>
    </row>
    <row r="2688" spans="1:23" hidden="1">
      <c r="A2688">
        <v>3820199694</v>
      </c>
      <c r="B2688">
        <v>57240262</v>
      </c>
      <c r="C2688" s="36" t="s">
        <v>2985</v>
      </c>
      <c r="D2688" s="37">
        <v>42073.721736111111</v>
      </c>
      <c r="E2688" s="37">
        <v>42073.727569444447</v>
      </c>
      <c r="U2688">
        <v>16</v>
      </c>
      <c r="W2688" s="47"/>
    </row>
    <row r="2689" spans="1:23" hidden="1">
      <c r="A2689">
        <v>3820561020</v>
      </c>
      <c r="B2689">
        <v>57240262</v>
      </c>
      <c r="C2689" s="36" t="s">
        <v>2986</v>
      </c>
      <c r="D2689" s="37">
        <v>42073.797627314816</v>
      </c>
      <c r="E2689" s="37">
        <v>42073.803090277775</v>
      </c>
      <c r="U2689">
        <v>16</v>
      </c>
      <c r="W2689" s="47"/>
    </row>
    <row r="2690" spans="1:23" hidden="1">
      <c r="A2690">
        <v>3820723114</v>
      </c>
      <c r="B2690">
        <v>57240262</v>
      </c>
      <c r="C2690" s="36" t="s">
        <v>2987</v>
      </c>
      <c r="D2690" s="37">
        <v>42073.83315972222</v>
      </c>
      <c r="E2690" s="37">
        <v>42073.838912037034</v>
      </c>
      <c r="F2690">
        <v>1</v>
      </c>
      <c r="G2690">
        <v>2</v>
      </c>
      <c r="W2690" s="47"/>
    </row>
    <row r="2691" spans="1:23" hidden="1">
      <c r="A2691">
        <v>3820757490</v>
      </c>
      <c r="B2691">
        <v>57240262</v>
      </c>
      <c r="C2691" s="36" t="s">
        <v>2988</v>
      </c>
      <c r="D2691" s="37">
        <v>42073.841064814813</v>
      </c>
      <c r="E2691" s="37">
        <v>42073.843831018516</v>
      </c>
      <c r="U2691">
        <v>16</v>
      </c>
      <c r="W2691" s="47"/>
    </row>
    <row r="2692" spans="1:23" hidden="1">
      <c r="A2692">
        <v>3820756430</v>
      </c>
      <c r="B2692">
        <v>57240262</v>
      </c>
      <c r="C2692" s="36" t="s">
        <v>2989</v>
      </c>
      <c r="D2692" s="37">
        <v>42073.840624999997</v>
      </c>
      <c r="E2692" s="37">
        <v>42073.852210648147</v>
      </c>
      <c r="F2692">
        <v>1</v>
      </c>
      <c r="W2692" s="47"/>
    </row>
    <row r="2693" spans="1:23">
      <c r="A2693">
        <v>3820812463</v>
      </c>
      <c r="B2693">
        <v>57240262</v>
      </c>
      <c r="C2693" s="36" t="s">
        <v>2990</v>
      </c>
      <c r="D2693" s="37">
        <v>42073.853414351855</v>
      </c>
      <c r="E2693" s="37">
        <v>42073.861261574071</v>
      </c>
      <c r="I2693">
        <v>4</v>
      </c>
      <c r="M2693">
        <v>8</v>
      </c>
      <c r="O2693">
        <v>10</v>
      </c>
      <c r="P2693">
        <v>11</v>
      </c>
      <c r="V2693" s="42" t="s">
        <v>3486</v>
      </c>
      <c r="W2693" s="47">
        <v>4</v>
      </c>
    </row>
    <row r="2694" spans="1:23" hidden="1">
      <c r="A2694">
        <v>3820845687</v>
      </c>
      <c r="B2694">
        <v>57240262</v>
      </c>
      <c r="C2694" s="36" t="s">
        <v>2991</v>
      </c>
      <c r="D2694" s="37">
        <v>42073.860324074078</v>
      </c>
      <c r="E2694" s="37">
        <v>42073.869340277779</v>
      </c>
      <c r="M2694">
        <v>8</v>
      </c>
      <c r="W2694" s="47"/>
    </row>
    <row r="2695" spans="1:23" hidden="1">
      <c r="A2695">
        <v>3821762893</v>
      </c>
      <c r="B2695">
        <v>57240262</v>
      </c>
      <c r="C2695" s="36" t="s">
        <v>2992</v>
      </c>
      <c r="D2695" s="37">
        <v>42074.089606481481</v>
      </c>
      <c r="E2695" s="37">
        <v>42074.111678240741</v>
      </c>
      <c r="M2695">
        <v>8</v>
      </c>
      <c r="W2695" s="47"/>
    </row>
    <row r="2696" spans="1:23" hidden="1">
      <c r="A2696">
        <v>3822189601</v>
      </c>
      <c r="B2696">
        <v>57240262</v>
      </c>
      <c r="C2696" s="36" t="s">
        <v>2993</v>
      </c>
      <c r="D2696" s="37">
        <v>42074.31554398148</v>
      </c>
      <c r="E2696" s="37">
        <v>42074.320127314815</v>
      </c>
      <c r="J2696">
        <v>5</v>
      </c>
      <c r="W2696" s="47"/>
    </row>
    <row r="2697" spans="1:23" hidden="1">
      <c r="A2697">
        <v>3822251588</v>
      </c>
      <c r="B2697">
        <v>57240262</v>
      </c>
      <c r="C2697" s="36" t="s">
        <v>2994</v>
      </c>
      <c r="D2697" s="37">
        <v>42074.345694444448</v>
      </c>
      <c r="E2697" s="37">
        <v>42074.351458333331</v>
      </c>
      <c r="U2697">
        <v>16</v>
      </c>
      <c r="W2697" s="47"/>
    </row>
    <row r="2698" spans="1:23" hidden="1">
      <c r="A2698">
        <v>3822258784</v>
      </c>
      <c r="B2698">
        <v>57240262</v>
      </c>
      <c r="C2698" s="36" t="s">
        <v>2995</v>
      </c>
      <c r="D2698" s="37">
        <v>42074.349282407406</v>
      </c>
      <c r="E2698" s="37">
        <v>42074.35255787037</v>
      </c>
      <c r="K2698">
        <v>6</v>
      </c>
      <c r="W2698" s="47"/>
    </row>
    <row r="2699" spans="1:23" hidden="1">
      <c r="A2699">
        <v>3822266460</v>
      </c>
      <c r="B2699">
        <v>57240262</v>
      </c>
      <c r="C2699" s="36" t="s">
        <v>2996</v>
      </c>
      <c r="D2699" s="37">
        <v>42074.352777777778</v>
      </c>
      <c r="E2699" s="37">
        <v>42074.355902777781</v>
      </c>
      <c r="H2699">
        <v>3</v>
      </c>
      <c r="W2699" s="47"/>
    </row>
    <row r="2700" spans="1:23" hidden="1">
      <c r="A2700">
        <v>3822263146</v>
      </c>
      <c r="B2700">
        <v>57240262</v>
      </c>
      <c r="C2700" s="36" t="s">
        <v>2997</v>
      </c>
      <c r="D2700" s="37">
        <v>42074.351064814815</v>
      </c>
      <c r="E2700" s="37">
        <v>42074.356354166666</v>
      </c>
      <c r="R2700">
        <v>13</v>
      </c>
      <c r="W2700" s="47"/>
    </row>
    <row r="2701" spans="1:23">
      <c r="A2701">
        <v>3822273919</v>
      </c>
      <c r="B2701">
        <v>57240262</v>
      </c>
      <c r="C2701" s="36" t="s">
        <v>2998</v>
      </c>
      <c r="D2701" s="37">
        <v>42074.356064814812</v>
      </c>
      <c r="E2701" s="37">
        <v>42074.361435185187</v>
      </c>
      <c r="F2701">
        <v>1</v>
      </c>
      <c r="P2701">
        <v>11</v>
      </c>
      <c r="V2701" s="42" t="s">
        <v>198</v>
      </c>
      <c r="W2701" s="47">
        <v>11</v>
      </c>
    </row>
    <row r="2702" spans="1:23" hidden="1">
      <c r="A2702">
        <v>3822287006</v>
      </c>
      <c r="B2702">
        <v>57240262</v>
      </c>
      <c r="C2702" s="36" t="s">
        <v>2999</v>
      </c>
      <c r="D2702" s="37">
        <v>42074.361539351848</v>
      </c>
      <c r="E2702" s="37">
        <v>42074.365995370368</v>
      </c>
      <c r="U2702">
        <v>16</v>
      </c>
      <c r="W2702" s="47"/>
    </row>
    <row r="2703" spans="1:23">
      <c r="A2703">
        <v>3822333765</v>
      </c>
      <c r="B2703">
        <v>57240262</v>
      </c>
      <c r="C2703" s="36" t="s">
        <v>3000</v>
      </c>
      <c r="D2703" s="37">
        <v>42074.380416666667</v>
      </c>
      <c r="E2703" s="37">
        <v>42074.386967592596</v>
      </c>
      <c r="I2703">
        <v>4</v>
      </c>
      <c r="N2703">
        <v>9</v>
      </c>
      <c r="V2703" s="42" t="s">
        <v>26</v>
      </c>
      <c r="W2703" s="47">
        <v>4</v>
      </c>
    </row>
    <row r="2704" spans="1:23" hidden="1">
      <c r="A2704">
        <v>3822417011</v>
      </c>
      <c r="B2704">
        <v>57240262</v>
      </c>
      <c r="C2704" s="36" t="s">
        <v>3001</v>
      </c>
      <c r="D2704" s="37">
        <v>42074.394456018519</v>
      </c>
      <c r="E2704" s="37">
        <v>42074.414375</v>
      </c>
      <c r="U2704">
        <v>16</v>
      </c>
      <c r="W2704" s="47"/>
    </row>
    <row r="2705" spans="1:23" hidden="1">
      <c r="A2705">
        <v>3822463359</v>
      </c>
      <c r="B2705">
        <v>57240262</v>
      </c>
      <c r="C2705" s="36" t="s">
        <v>3002</v>
      </c>
      <c r="D2705" s="37">
        <v>42074.42931712963</v>
      </c>
      <c r="E2705" s="37">
        <v>42074.431990740741</v>
      </c>
      <c r="U2705">
        <v>16</v>
      </c>
      <c r="W2705" s="47"/>
    </row>
    <row r="2706" spans="1:23" hidden="1">
      <c r="A2706">
        <v>3822535227</v>
      </c>
      <c r="B2706">
        <v>57240262</v>
      </c>
      <c r="C2706" s="36" t="s">
        <v>3003</v>
      </c>
      <c r="D2706" s="37">
        <v>42074.455775462964</v>
      </c>
      <c r="E2706" s="37">
        <v>42074.469652777778</v>
      </c>
      <c r="O2706">
        <v>10</v>
      </c>
      <c r="W2706" s="47"/>
    </row>
    <row r="2707" spans="1:23" hidden="1">
      <c r="A2707">
        <v>3822571901</v>
      </c>
      <c r="B2707">
        <v>57240262</v>
      </c>
      <c r="C2707" s="36" t="s">
        <v>3004</v>
      </c>
      <c r="D2707" s="37">
        <v>42074.468402777777</v>
      </c>
      <c r="E2707" s="37">
        <v>42074.479537037034</v>
      </c>
      <c r="F2707">
        <v>1</v>
      </c>
      <c r="G2707">
        <v>2</v>
      </c>
      <c r="H2707">
        <v>3</v>
      </c>
      <c r="W2707" s="47"/>
    </row>
    <row r="2708" spans="1:23" hidden="1">
      <c r="A2708">
        <v>3822738430</v>
      </c>
      <c r="B2708">
        <v>57240262</v>
      </c>
      <c r="C2708" s="36" t="s">
        <v>3005</v>
      </c>
      <c r="D2708" s="37">
        <v>42074.519675925927</v>
      </c>
      <c r="E2708" s="37">
        <v>42074.524398148147</v>
      </c>
      <c r="U2708">
        <v>16</v>
      </c>
      <c r="W2708" s="47"/>
    </row>
    <row r="2709" spans="1:23" ht="24">
      <c r="A2709">
        <v>3822757424</v>
      </c>
      <c r="B2709">
        <v>57240262</v>
      </c>
      <c r="C2709" s="36" t="s">
        <v>3006</v>
      </c>
      <c r="D2709" s="37">
        <v>42074.525034722225</v>
      </c>
      <c r="E2709" s="37">
        <v>42074.542638888888</v>
      </c>
      <c r="U2709">
        <v>16</v>
      </c>
      <c r="V2709" s="42" t="s">
        <v>3487</v>
      </c>
      <c r="W2709" s="47">
        <v>8</v>
      </c>
    </row>
    <row r="2710" spans="1:23" hidden="1">
      <c r="A2710">
        <v>3822893769</v>
      </c>
      <c r="B2710">
        <v>57240262</v>
      </c>
      <c r="C2710" s="36" t="s">
        <v>3007</v>
      </c>
      <c r="D2710" s="37">
        <v>42074.55978009259</v>
      </c>
      <c r="E2710" s="37">
        <v>42074.560752314814</v>
      </c>
      <c r="U2710">
        <v>16</v>
      </c>
      <c r="W2710" s="47"/>
    </row>
    <row r="2711" spans="1:23" hidden="1">
      <c r="A2711">
        <v>3822926549</v>
      </c>
      <c r="B2711">
        <v>57240262</v>
      </c>
      <c r="C2711" s="36" t="s">
        <v>3008</v>
      </c>
      <c r="D2711" s="37">
        <v>42074.567569444444</v>
      </c>
      <c r="E2711" s="37">
        <v>42074.573206018518</v>
      </c>
      <c r="M2711">
        <v>8</v>
      </c>
      <c r="W2711" s="47"/>
    </row>
    <row r="2712" spans="1:23" hidden="1">
      <c r="A2712">
        <v>3823098471</v>
      </c>
      <c r="B2712">
        <v>57240262</v>
      </c>
      <c r="C2712" s="36" t="s">
        <v>3009</v>
      </c>
      <c r="D2712" s="37">
        <v>42074.605138888888</v>
      </c>
      <c r="E2712" s="37">
        <v>42074.615567129629</v>
      </c>
      <c r="F2712">
        <v>1</v>
      </c>
      <c r="W2712" s="47"/>
    </row>
    <row r="2713" spans="1:23">
      <c r="A2713">
        <v>3823146896</v>
      </c>
      <c r="B2713">
        <v>57240262</v>
      </c>
      <c r="C2713" s="36" t="s">
        <v>3010</v>
      </c>
      <c r="D2713" s="37">
        <v>42074.611134259256</v>
      </c>
      <c r="E2713" s="37">
        <v>42074.618645833332</v>
      </c>
      <c r="F2713">
        <v>1</v>
      </c>
      <c r="G2713">
        <v>2</v>
      </c>
      <c r="H2713">
        <v>3</v>
      </c>
      <c r="J2713">
        <v>5</v>
      </c>
      <c r="N2713">
        <v>9</v>
      </c>
      <c r="V2713" s="42" t="s">
        <v>3488</v>
      </c>
      <c r="W2713" s="47">
        <v>9</v>
      </c>
    </row>
    <row r="2714" spans="1:23" hidden="1">
      <c r="A2714">
        <v>3823130863</v>
      </c>
      <c r="B2714">
        <v>57240262</v>
      </c>
      <c r="C2714" s="36" t="s">
        <v>3011</v>
      </c>
      <c r="D2714" s="37">
        <v>42074.611990740741</v>
      </c>
      <c r="E2714" s="37">
        <v>42074.622974537036</v>
      </c>
      <c r="K2714">
        <v>6</v>
      </c>
      <c r="W2714" s="47"/>
    </row>
    <row r="2715" spans="1:23" hidden="1">
      <c r="A2715">
        <v>3823153481</v>
      </c>
      <c r="B2715">
        <v>57240262</v>
      </c>
      <c r="C2715" s="36" t="s">
        <v>3012</v>
      </c>
      <c r="D2715" s="37">
        <v>42074.61650462963</v>
      </c>
      <c r="E2715" s="37">
        <v>42074.631365740737</v>
      </c>
      <c r="F2715">
        <v>1</v>
      </c>
      <c r="O2715">
        <v>10</v>
      </c>
      <c r="W2715" s="47"/>
    </row>
    <row r="2716" spans="1:23" hidden="1">
      <c r="A2716">
        <v>3823441343</v>
      </c>
      <c r="B2716">
        <v>57240262</v>
      </c>
      <c r="C2716" s="36" t="s">
        <v>3013</v>
      </c>
      <c r="D2716" s="37">
        <v>42074.673877314817</v>
      </c>
      <c r="E2716" s="37">
        <v>42074.682175925926</v>
      </c>
      <c r="Q2716">
        <v>12</v>
      </c>
      <c r="W2716" s="47"/>
    </row>
    <row r="2717" spans="1:23" hidden="1">
      <c r="A2717">
        <v>3823932160</v>
      </c>
      <c r="B2717">
        <v>57240262</v>
      </c>
      <c r="C2717" s="36" t="s">
        <v>3014</v>
      </c>
      <c r="D2717" s="37">
        <v>42074.781157407408</v>
      </c>
      <c r="E2717" s="37">
        <v>42074.795960648145</v>
      </c>
      <c r="F2717">
        <v>1</v>
      </c>
      <c r="N2717">
        <v>9</v>
      </c>
      <c r="W2717" s="47"/>
    </row>
    <row r="2718" spans="1:23">
      <c r="A2718">
        <v>3824245275</v>
      </c>
      <c r="B2718">
        <v>57240262</v>
      </c>
      <c r="C2718" s="36" t="s">
        <v>3015</v>
      </c>
      <c r="D2718" s="37">
        <v>42074.854942129627</v>
      </c>
      <c r="E2718" s="37">
        <v>42074.86440972222</v>
      </c>
      <c r="F2718">
        <v>1</v>
      </c>
      <c r="G2718">
        <v>2</v>
      </c>
      <c r="H2718">
        <v>3</v>
      </c>
      <c r="J2718">
        <v>5</v>
      </c>
      <c r="K2718">
        <v>6</v>
      </c>
      <c r="O2718">
        <v>10</v>
      </c>
      <c r="Q2718">
        <v>12</v>
      </c>
      <c r="V2718" s="42" t="s">
        <v>9</v>
      </c>
      <c r="W2718" s="47">
        <v>6</v>
      </c>
    </row>
    <row r="2719" spans="1:23">
      <c r="A2719">
        <v>3824394213</v>
      </c>
      <c r="B2719">
        <v>57240262</v>
      </c>
      <c r="C2719" s="36" t="s">
        <v>3016</v>
      </c>
      <c r="D2719" s="37">
        <v>42074.897233796299</v>
      </c>
      <c r="E2719" s="37">
        <v>42074.903263888889</v>
      </c>
      <c r="F2719">
        <v>1</v>
      </c>
      <c r="G2719">
        <v>2</v>
      </c>
      <c r="J2719">
        <v>5</v>
      </c>
      <c r="V2719" s="42" t="s">
        <v>31</v>
      </c>
      <c r="W2719" s="47">
        <v>2</v>
      </c>
    </row>
    <row r="2720" spans="1:23" hidden="1">
      <c r="A2720">
        <v>3824480223</v>
      </c>
      <c r="B2720">
        <v>57240262</v>
      </c>
      <c r="C2720" s="36" t="s">
        <v>3017</v>
      </c>
      <c r="D2720" s="37">
        <v>42074.922800925924</v>
      </c>
      <c r="E2720" s="37">
        <v>42074.926828703705</v>
      </c>
      <c r="U2720">
        <v>16</v>
      </c>
      <c r="W2720" s="47"/>
    </row>
    <row r="2721" spans="1:23" hidden="1">
      <c r="A2721">
        <v>3824489021</v>
      </c>
      <c r="B2721">
        <v>57240262</v>
      </c>
      <c r="C2721" s="36" t="s">
        <v>3018</v>
      </c>
      <c r="D2721" s="37">
        <v>42074.925011574072</v>
      </c>
      <c r="E2721" s="37">
        <v>42074.930625000001</v>
      </c>
      <c r="U2721">
        <v>16</v>
      </c>
      <c r="W2721" s="47"/>
    </row>
    <row r="2722" spans="1:23" hidden="1">
      <c r="A2722">
        <v>3825223978</v>
      </c>
      <c r="B2722">
        <v>57240262</v>
      </c>
      <c r="C2722" s="36" t="s">
        <v>3019</v>
      </c>
      <c r="D2722" s="37">
        <v>42075.275034722225</v>
      </c>
      <c r="E2722" s="37">
        <v>42075.278645833336</v>
      </c>
      <c r="U2722">
        <v>16</v>
      </c>
      <c r="W2722" s="47"/>
    </row>
    <row r="2723" spans="1:23" hidden="1">
      <c r="A2723">
        <v>3825235507</v>
      </c>
      <c r="B2723">
        <v>57240262</v>
      </c>
      <c r="C2723" s="36" t="s">
        <v>3020</v>
      </c>
      <c r="D2723" s="37">
        <v>42075.283680555556</v>
      </c>
      <c r="E2723" s="37">
        <v>42075.284085648149</v>
      </c>
      <c r="W2723" s="47"/>
    </row>
    <row r="2724" spans="1:23" hidden="1">
      <c r="A2724">
        <v>3825313883</v>
      </c>
      <c r="B2724">
        <v>57240262</v>
      </c>
      <c r="C2724" s="36" t="s">
        <v>3021</v>
      </c>
      <c r="D2724" s="37">
        <v>42075.328321759262</v>
      </c>
      <c r="E2724" s="37">
        <v>42075.340405092589</v>
      </c>
      <c r="U2724">
        <v>16</v>
      </c>
      <c r="W2724" s="47"/>
    </row>
    <row r="2725" spans="1:23">
      <c r="A2725">
        <v>3825685588</v>
      </c>
      <c r="B2725">
        <v>57240262</v>
      </c>
      <c r="C2725" s="36" t="s">
        <v>3022</v>
      </c>
      <c r="D2725" s="37">
        <v>42075.503368055557</v>
      </c>
      <c r="E2725" s="37">
        <v>42075.516909722224</v>
      </c>
      <c r="F2725">
        <v>1</v>
      </c>
      <c r="G2725">
        <v>2</v>
      </c>
      <c r="H2725">
        <v>3</v>
      </c>
      <c r="V2725" s="42" t="s">
        <v>3489</v>
      </c>
      <c r="W2725" s="47">
        <v>3</v>
      </c>
    </row>
    <row r="2726" spans="1:23" hidden="1">
      <c r="A2726">
        <v>3825716164</v>
      </c>
      <c r="B2726">
        <v>57240262</v>
      </c>
      <c r="C2726" s="36" t="s">
        <v>3023</v>
      </c>
      <c r="D2726" s="37">
        <v>42075.513611111113</v>
      </c>
      <c r="E2726" s="37">
        <v>42075.518090277779</v>
      </c>
      <c r="I2726">
        <v>4</v>
      </c>
      <c r="W2726" s="47"/>
    </row>
    <row r="2727" spans="1:23" hidden="1">
      <c r="A2727">
        <v>3825846347</v>
      </c>
      <c r="B2727">
        <v>57240262</v>
      </c>
      <c r="C2727" s="36" t="s">
        <v>3024</v>
      </c>
      <c r="D2727" s="37">
        <v>42075.54891203704</v>
      </c>
      <c r="E2727" s="37">
        <v>42075.551180555558</v>
      </c>
      <c r="F2727">
        <v>1</v>
      </c>
      <c r="W2727" s="47"/>
    </row>
    <row r="2728" spans="1:23">
      <c r="A2728">
        <v>3825849209</v>
      </c>
      <c r="B2728">
        <v>57240262</v>
      </c>
      <c r="C2728" s="36" t="s">
        <v>3025</v>
      </c>
      <c r="D2728" s="37">
        <v>42075.549479166664</v>
      </c>
      <c r="E2728" s="37">
        <v>42075.556006944447</v>
      </c>
      <c r="G2728">
        <v>2</v>
      </c>
      <c r="K2728">
        <v>6</v>
      </c>
      <c r="V2728" s="42" t="s">
        <v>181</v>
      </c>
      <c r="W2728" s="47">
        <v>2</v>
      </c>
    </row>
    <row r="2729" spans="1:23" hidden="1">
      <c r="A2729">
        <v>3826483496</v>
      </c>
      <c r="B2729">
        <v>57240262</v>
      </c>
      <c r="C2729" s="36" t="s">
        <v>3026</v>
      </c>
      <c r="D2729" s="37">
        <v>42075.687685185185</v>
      </c>
      <c r="E2729" s="37">
        <v>42075.690370370372</v>
      </c>
      <c r="U2729">
        <v>16</v>
      </c>
      <c r="W2729" s="47"/>
    </row>
    <row r="2730" spans="1:23">
      <c r="A2730">
        <v>3826549224</v>
      </c>
      <c r="B2730">
        <v>57240262</v>
      </c>
      <c r="C2730" s="36" t="s">
        <v>3027</v>
      </c>
      <c r="D2730" s="37">
        <v>42075.703587962962</v>
      </c>
      <c r="E2730" s="37">
        <v>42075.707418981481</v>
      </c>
      <c r="F2730">
        <v>1</v>
      </c>
      <c r="G2730">
        <v>2</v>
      </c>
      <c r="H2730">
        <v>3</v>
      </c>
      <c r="K2730">
        <v>6</v>
      </c>
      <c r="M2730">
        <v>8</v>
      </c>
      <c r="N2730">
        <v>9</v>
      </c>
      <c r="O2730">
        <v>10</v>
      </c>
      <c r="R2730">
        <v>13</v>
      </c>
      <c r="V2730" s="42" t="s">
        <v>121</v>
      </c>
      <c r="W2730" s="47">
        <v>13</v>
      </c>
    </row>
    <row r="2731" spans="1:23">
      <c r="A2731">
        <v>3826555658</v>
      </c>
      <c r="B2731">
        <v>57240262</v>
      </c>
      <c r="C2731" s="36" t="s">
        <v>3028</v>
      </c>
      <c r="D2731" s="37">
        <v>42075.705138888887</v>
      </c>
      <c r="E2731" s="37">
        <v>42075.717141203706</v>
      </c>
      <c r="F2731">
        <v>1</v>
      </c>
      <c r="G2731">
        <v>2</v>
      </c>
      <c r="O2731">
        <v>10</v>
      </c>
      <c r="V2731" s="42" t="s">
        <v>3490</v>
      </c>
      <c r="W2731" s="47">
        <v>15</v>
      </c>
    </row>
    <row r="2732" spans="1:23" hidden="1">
      <c r="A2732">
        <v>3826970269</v>
      </c>
      <c r="B2732">
        <v>57240262</v>
      </c>
      <c r="C2732" s="36" t="s">
        <v>3029</v>
      </c>
      <c r="D2732" s="37">
        <v>42075.808298611111</v>
      </c>
      <c r="E2732" s="37">
        <v>42075.826018518521</v>
      </c>
      <c r="K2732">
        <v>6</v>
      </c>
      <c r="W2732" s="47"/>
    </row>
    <row r="2733" spans="1:23">
      <c r="A2733">
        <v>3828233438</v>
      </c>
      <c r="B2733">
        <v>57240262</v>
      </c>
      <c r="C2733" s="36" t="s">
        <v>3030</v>
      </c>
      <c r="D2733" s="37">
        <v>42076.426979166667</v>
      </c>
      <c r="E2733" s="37">
        <v>42076.43172453704</v>
      </c>
      <c r="G2733">
        <v>2</v>
      </c>
      <c r="R2733">
        <v>13</v>
      </c>
      <c r="V2733" s="42" t="s">
        <v>3491</v>
      </c>
      <c r="W2733" s="47">
        <v>2</v>
      </c>
    </row>
    <row r="2734" spans="1:23" hidden="1">
      <c r="A2734">
        <v>3828422633</v>
      </c>
      <c r="B2734">
        <v>57240262</v>
      </c>
      <c r="C2734" s="36" t="s">
        <v>3031</v>
      </c>
      <c r="D2734" s="37">
        <v>42076.514560185184</v>
      </c>
      <c r="E2734" s="37">
        <v>42076.515752314815</v>
      </c>
      <c r="F2734">
        <v>1</v>
      </c>
      <c r="W2734" s="47"/>
    </row>
    <row r="2735" spans="1:23" hidden="1">
      <c r="A2735">
        <v>3828844009</v>
      </c>
      <c r="B2735">
        <v>57240262</v>
      </c>
      <c r="C2735" s="36" t="s">
        <v>3032</v>
      </c>
      <c r="D2735" s="37">
        <v>42076.633900462963</v>
      </c>
      <c r="E2735" s="37">
        <v>42076.634884259256</v>
      </c>
      <c r="U2735">
        <v>16</v>
      </c>
      <c r="W2735" s="47"/>
    </row>
    <row r="2736" spans="1:23" hidden="1">
      <c r="A2736">
        <v>3828926531</v>
      </c>
      <c r="B2736">
        <v>57240262</v>
      </c>
      <c r="C2736" s="36" t="s">
        <v>3033</v>
      </c>
      <c r="D2736" s="37">
        <v>42076.655162037037</v>
      </c>
      <c r="E2736" s="37">
        <v>42076.655555555553</v>
      </c>
      <c r="W2736" s="47"/>
    </row>
    <row r="2737" spans="1:23" ht="14">
      <c r="A2737">
        <v>3829089091</v>
      </c>
      <c r="B2737">
        <v>57240262</v>
      </c>
      <c r="C2737" s="36" t="s">
        <v>3034</v>
      </c>
      <c r="D2737" s="37">
        <v>42076.697314814817</v>
      </c>
      <c r="E2737" s="37">
        <v>42076.701689814814</v>
      </c>
      <c r="K2737">
        <v>6</v>
      </c>
      <c r="M2737">
        <v>8</v>
      </c>
      <c r="Q2737">
        <v>12</v>
      </c>
      <c r="V2737" s="73" t="s">
        <v>3563</v>
      </c>
      <c r="W2737" s="47">
        <v>8</v>
      </c>
    </row>
    <row r="2738" spans="1:23" hidden="1">
      <c r="A2738">
        <v>3829185611</v>
      </c>
      <c r="B2738">
        <v>57240262</v>
      </c>
      <c r="C2738" s="36" t="s">
        <v>3035</v>
      </c>
      <c r="D2738" s="37">
        <v>42076.722349537034</v>
      </c>
      <c r="E2738" s="37">
        <v>42076.7424537037</v>
      </c>
      <c r="U2738">
        <v>16</v>
      </c>
      <c r="W2738" s="47"/>
    </row>
    <row r="2739" spans="1:23" hidden="1">
      <c r="A2739">
        <v>3829718588</v>
      </c>
      <c r="B2739">
        <v>57240262</v>
      </c>
      <c r="C2739" s="36" t="s">
        <v>3036</v>
      </c>
      <c r="D2739" s="37">
        <v>42076.882453703707</v>
      </c>
      <c r="E2739" s="37">
        <v>42076.889328703706</v>
      </c>
      <c r="F2739">
        <v>1</v>
      </c>
      <c r="I2739">
        <v>4</v>
      </c>
      <c r="W2739" s="47"/>
    </row>
    <row r="2740" spans="1:23" hidden="1">
      <c r="A2740">
        <v>3829740617</v>
      </c>
      <c r="B2740">
        <v>57240262</v>
      </c>
      <c r="C2740" s="36" t="s">
        <v>3037</v>
      </c>
      <c r="D2740" s="37">
        <v>42076.890960648147</v>
      </c>
      <c r="E2740" s="37">
        <v>42076.894675925927</v>
      </c>
      <c r="K2740">
        <v>6</v>
      </c>
      <c r="W2740" s="47"/>
    </row>
    <row r="2741" spans="1:23" hidden="1">
      <c r="A2741">
        <v>3829750102</v>
      </c>
      <c r="B2741">
        <v>57240262</v>
      </c>
      <c r="C2741" s="36" t="s">
        <v>3038</v>
      </c>
      <c r="D2741" s="37">
        <v>42076.894618055558</v>
      </c>
      <c r="E2741" s="37">
        <v>42076.900960648149</v>
      </c>
      <c r="U2741">
        <v>16</v>
      </c>
      <c r="W2741" s="47"/>
    </row>
    <row r="2742" spans="1:23" hidden="1">
      <c r="A2742">
        <v>3830122423</v>
      </c>
      <c r="B2742">
        <v>57240262</v>
      </c>
      <c r="C2742" s="36" t="s">
        <v>3039</v>
      </c>
      <c r="D2742" s="37">
        <v>42077.103750000002</v>
      </c>
      <c r="E2742" s="37">
        <v>42077.105486111112</v>
      </c>
      <c r="G2742">
        <v>2</v>
      </c>
      <c r="W2742" s="47"/>
    </row>
    <row r="2743" spans="1:23" hidden="1">
      <c r="A2743">
        <v>3830364848</v>
      </c>
      <c r="B2743">
        <v>57240262</v>
      </c>
      <c r="C2743" s="36" t="s">
        <v>3040</v>
      </c>
      <c r="D2743" s="37">
        <v>42077.356180555558</v>
      </c>
      <c r="E2743" s="37">
        <v>42077.360335648147</v>
      </c>
      <c r="U2743">
        <v>16</v>
      </c>
      <c r="W2743" s="47"/>
    </row>
    <row r="2744" spans="1:23" hidden="1">
      <c r="A2744">
        <v>3830389945</v>
      </c>
      <c r="B2744">
        <v>57240262</v>
      </c>
      <c r="C2744" s="36" t="s">
        <v>3041</v>
      </c>
      <c r="D2744" s="37">
        <v>42077.381180555552</v>
      </c>
      <c r="E2744" s="37">
        <v>42077.389293981483</v>
      </c>
      <c r="G2744">
        <v>2</v>
      </c>
      <c r="W2744" s="47"/>
    </row>
    <row r="2745" spans="1:23" hidden="1">
      <c r="A2745">
        <v>3830449372</v>
      </c>
      <c r="B2745">
        <v>57240262</v>
      </c>
      <c r="C2745" s="36" t="s">
        <v>3042</v>
      </c>
      <c r="D2745" s="37">
        <v>42077.444502314815</v>
      </c>
      <c r="E2745" s="37">
        <v>42077.446053240739</v>
      </c>
      <c r="O2745">
        <v>10</v>
      </c>
      <c r="W2745" s="47"/>
    </row>
    <row r="2746" spans="1:23" hidden="1">
      <c r="A2746">
        <v>3830479640</v>
      </c>
      <c r="B2746">
        <v>57240262</v>
      </c>
      <c r="C2746" s="36" t="s">
        <v>3043</v>
      </c>
      <c r="D2746" s="37">
        <v>42077.473171296297</v>
      </c>
      <c r="E2746" s="37">
        <v>42077.478136574071</v>
      </c>
      <c r="U2746">
        <v>16</v>
      </c>
      <c r="W2746" s="47"/>
    </row>
    <row r="2747" spans="1:23" hidden="1">
      <c r="A2747">
        <v>3830535241</v>
      </c>
      <c r="B2747">
        <v>57240262</v>
      </c>
      <c r="C2747" s="36" t="s">
        <v>3044</v>
      </c>
      <c r="D2747" s="37">
        <v>42077.520115740743</v>
      </c>
      <c r="E2747" s="37">
        <v>42077.528877314813</v>
      </c>
      <c r="U2747">
        <v>16</v>
      </c>
      <c r="W2747" s="47"/>
    </row>
    <row r="2748" spans="1:23" hidden="1">
      <c r="A2748">
        <v>3830549735</v>
      </c>
      <c r="B2748">
        <v>57240262</v>
      </c>
      <c r="C2748" s="36" t="s">
        <v>3045</v>
      </c>
      <c r="D2748" s="37">
        <v>42077.531574074077</v>
      </c>
      <c r="E2748" s="37">
        <v>42077.532013888886</v>
      </c>
      <c r="U2748">
        <v>16</v>
      </c>
      <c r="W2748" s="47"/>
    </row>
    <row r="2749" spans="1:23" hidden="1">
      <c r="A2749">
        <v>3830619025</v>
      </c>
      <c r="B2749">
        <v>57240262</v>
      </c>
      <c r="C2749" s="36" t="s">
        <v>3046</v>
      </c>
      <c r="D2749" s="37">
        <v>42077.581562500003</v>
      </c>
      <c r="E2749" s="37">
        <v>42077.591620370367</v>
      </c>
      <c r="G2749">
        <v>2</v>
      </c>
      <c r="W2749" s="47"/>
    </row>
    <row r="2750" spans="1:23" hidden="1">
      <c r="A2750">
        <v>3830629779</v>
      </c>
      <c r="B2750">
        <v>57240262</v>
      </c>
      <c r="C2750" s="36" t="s">
        <v>3047</v>
      </c>
      <c r="D2750" s="37">
        <v>42077.588599537034</v>
      </c>
      <c r="E2750" s="37">
        <v>42077.603310185186</v>
      </c>
      <c r="U2750">
        <v>16</v>
      </c>
      <c r="W2750" s="47"/>
    </row>
    <row r="2751" spans="1:23" hidden="1">
      <c r="A2751">
        <v>3831129459</v>
      </c>
      <c r="B2751">
        <v>57240262</v>
      </c>
      <c r="C2751" s="36" t="s">
        <v>3048</v>
      </c>
      <c r="D2751" s="37">
        <v>42077.988321759258</v>
      </c>
      <c r="E2751" s="37">
        <v>42077.994733796295</v>
      </c>
      <c r="R2751">
        <v>13</v>
      </c>
      <c r="W2751" s="47"/>
    </row>
    <row r="2752" spans="1:23" hidden="1">
      <c r="A2752">
        <v>3831131347</v>
      </c>
      <c r="B2752">
        <v>57240262</v>
      </c>
      <c r="C2752" s="36" t="s">
        <v>3049</v>
      </c>
      <c r="D2752" s="37">
        <v>42077.99013888889</v>
      </c>
      <c r="E2752" s="37">
        <v>42077.999050925922</v>
      </c>
      <c r="K2752">
        <v>6</v>
      </c>
      <c r="W2752" s="47"/>
    </row>
    <row r="2753" spans="1:23" hidden="1">
      <c r="A2753">
        <v>3831379401</v>
      </c>
      <c r="B2753">
        <v>57240262</v>
      </c>
      <c r="C2753" s="36" t="s">
        <v>3050</v>
      </c>
      <c r="D2753" s="37">
        <v>42078.303680555553</v>
      </c>
      <c r="E2753" s="37">
        <v>42078.309849537036</v>
      </c>
      <c r="U2753">
        <v>16</v>
      </c>
      <c r="W2753" s="47"/>
    </row>
    <row r="2754" spans="1:23">
      <c r="A2754">
        <v>3831379520</v>
      </c>
      <c r="B2754">
        <v>57240262</v>
      </c>
      <c r="C2754" s="36" t="s">
        <v>3051</v>
      </c>
      <c r="D2754" s="37">
        <v>42078.303819444445</v>
      </c>
      <c r="E2754" s="37">
        <v>42078.311435185184</v>
      </c>
      <c r="F2754">
        <v>1</v>
      </c>
      <c r="I2754">
        <v>4</v>
      </c>
      <c r="M2754">
        <v>8</v>
      </c>
      <c r="P2754">
        <v>11</v>
      </c>
      <c r="Q2754">
        <v>12</v>
      </c>
      <c r="V2754" s="42" t="s">
        <v>26</v>
      </c>
      <c r="W2754" s="47">
        <v>4</v>
      </c>
    </row>
    <row r="2755" spans="1:23" hidden="1">
      <c r="A2755">
        <v>3831387860</v>
      </c>
      <c r="B2755">
        <v>57240262</v>
      </c>
      <c r="C2755" s="36" t="s">
        <v>3052</v>
      </c>
      <c r="D2755" s="37">
        <v>42078.315891203703</v>
      </c>
      <c r="E2755" s="37">
        <v>42078.318877314814</v>
      </c>
      <c r="U2755">
        <v>16</v>
      </c>
      <c r="W2755" s="47"/>
    </row>
    <row r="2756" spans="1:23" hidden="1">
      <c r="A2756">
        <v>3831421296</v>
      </c>
      <c r="B2756">
        <v>57240262</v>
      </c>
      <c r="C2756" s="36" t="s">
        <v>3053</v>
      </c>
      <c r="D2756" s="37">
        <v>42078.361006944448</v>
      </c>
      <c r="E2756" s="37">
        <v>42078.368055555555</v>
      </c>
      <c r="M2756">
        <v>8</v>
      </c>
      <c r="W2756" s="47"/>
    </row>
    <row r="2757" spans="1:23" hidden="1">
      <c r="A2757">
        <v>3831508528</v>
      </c>
      <c r="B2757">
        <v>57240262</v>
      </c>
      <c r="C2757" s="36" t="s">
        <v>3054</v>
      </c>
      <c r="D2757" s="37">
        <v>42078.469097222223</v>
      </c>
      <c r="E2757" s="37">
        <v>42078.497071759259</v>
      </c>
      <c r="F2757">
        <v>1</v>
      </c>
      <c r="W2757" s="47"/>
    </row>
    <row r="2758" spans="1:23" hidden="1">
      <c r="A2758">
        <v>3831641504</v>
      </c>
      <c r="B2758">
        <v>57240262</v>
      </c>
      <c r="C2758" s="36" t="s">
        <v>3055</v>
      </c>
      <c r="D2758" s="37">
        <v>42078.597129629627</v>
      </c>
      <c r="E2758" s="37">
        <v>42078.602384259262</v>
      </c>
      <c r="G2758">
        <v>2</v>
      </c>
      <c r="W2758" s="47"/>
    </row>
    <row r="2759" spans="1:23" hidden="1">
      <c r="A2759">
        <v>3831653289</v>
      </c>
      <c r="B2759">
        <v>57240262</v>
      </c>
      <c r="C2759" s="36" t="s">
        <v>3056</v>
      </c>
      <c r="D2759" s="37">
        <v>42078.607569444444</v>
      </c>
      <c r="E2759" s="37">
        <v>42078.60869212963</v>
      </c>
      <c r="W2759" s="47"/>
    </row>
    <row r="2760" spans="1:23" hidden="1">
      <c r="A2760">
        <v>3831659760</v>
      </c>
      <c r="B2760">
        <v>57240262</v>
      </c>
      <c r="C2760" s="36" t="s">
        <v>3057</v>
      </c>
      <c r="D2760" s="37">
        <v>42078.613935185182</v>
      </c>
      <c r="E2760" s="37">
        <v>42078.617245370369</v>
      </c>
      <c r="U2760">
        <v>16</v>
      </c>
      <c r="W2760" s="47"/>
    </row>
    <row r="2761" spans="1:23" ht="24">
      <c r="A2761">
        <v>3831650632</v>
      </c>
      <c r="B2761">
        <v>57240262</v>
      </c>
      <c r="C2761" s="36" t="s">
        <v>3058</v>
      </c>
      <c r="D2761" s="37">
        <v>42078.604791666665</v>
      </c>
      <c r="E2761" s="37">
        <v>42078.622662037036</v>
      </c>
      <c r="M2761">
        <v>8</v>
      </c>
      <c r="V2761" s="42" t="s">
        <v>3492</v>
      </c>
      <c r="W2761" s="47">
        <v>8</v>
      </c>
    </row>
    <row r="2762" spans="1:23" hidden="1">
      <c r="A2762">
        <v>3831666695</v>
      </c>
      <c r="B2762">
        <v>57240262</v>
      </c>
      <c r="C2762" s="36" t="s">
        <v>3059</v>
      </c>
      <c r="D2762" s="37">
        <v>42078.620775462965</v>
      </c>
      <c r="E2762" s="37">
        <v>42078.625034722223</v>
      </c>
      <c r="G2762">
        <v>2</v>
      </c>
      <c r="H2762">
        <v>3</v>
      </c>
      <c r="M2762">
        <v>8</v>
      </c>
      <c r="N2762">
        <v>9</v>
      </c>
      <c r="Q2762">
        <v>12</v>
      </c>
      <c r="R2762">
        <v>13</v>
      </c>
      <c r="W2762" s="47"/>
    </row>
    <row r="2763" spans="1:23" hidden="1">
      <c r="A2763">
        <v>3831667262</v>
      </c>
      <c r="B2763">
        <v>57240262</v>
      </c>
      <c r="C2763" s="36" t="s">
        <v>3060</v>
      </c>
      <c r="D2763" s="37">
        <v>42078.621296296296</v>
      </c>
      <c r="E2763" s="37">
        <v>42078.62537037037</v>
      </c>
      <c r="U2763">
        <v>16</v>
      </c>
      <c r="W2763" s="47"/>
    </row>
    <row r="2764" spans="1:23">
      <c r="A2764">
        <v>3831670745</v>
      </c>
      <c r="B2764">
        <v>57240262</v>
      </c>
      <c r="C2764" s="36" t="s">
        <v>3061</v>
      </c>
      <c r="D2764" s="37">
        <v>42078.6246875</v>
      </c>
      <c r="E2764" s="37">
        <v>42078.628136574072</v>
      </c>
      <c r="F2764">
        <v>1</v>
      </c>
      <c r="M2764">
        <v>8</v>
      </c>
      <c r="O2764">
        <v>10</v>
      </c>
      <c r="R2764">
        <v>13</v>
      </c>
      <c r="V2764" s="42" t="s">
        <v>25</v>
      </c>
      <c r="W2764" s="47">
        <v>1</v>
      </c>
    </row>
    <row r="2765" spans="1:23" hidden="1">
      <c r="A2765">
        <v>3831698093</v>
      </c>
      <c r="B2765">
        <v>57240262</v>
      </c>
      <c r="C2765" s="36" t="s">
        <v>3062</v>
      </c>
      <c r="D2765" s="37">
        <v>42078.649884259263</v>
      </c>
      <c r="E2765" s="37">
        <v>42078.65828703704</v>
      </c>
      <c r="H2765">
        <v>3</v>
      </c>
      <c r="W2765" s="47"/>
    </row>
    <row r="2766" spans="1:23" hidden="1">
      <c r="A2766">
        <v>3831708236</v>
      </c>
      <c r="B2766">
        <v>57240262</v>
      </c>
      <c r="C2766" s="36" t="s">
        <v>3063</v>
      </c>
      <c r="D2766" s="37">
        <v>42078.659189814818</v>
      </c>
      <c r="E2766" s="37">
        <v>42078.664247685185</v>
      </c>
      <c r="U2766">
        <v>16</v>
      </c>
      <c r="W2766" s="47"/>
    </row>
    <row r="2767" spans="1:23" hidden="1">
      <c r="A2767">
        <v>3831728825</v>
      </c>
      <c r="B2767">
        <v>57240262</v>
      </c>
      <c r="C2767" s="36" t="s">
        <v>3064</v>
      </c>
      <c r="D2767" s="37">
        <v>42078.677673611113</v>
      </c>
      <c r="E2767" s="37">
        <v>42078.692326388889</v>
      </c>
      <c r="G2767">
        <v>2</v>
      </c>
      <c r="H2767">
        <v>3</v>
      </c>
      <c r="K2767">
        <v>6</v>
      </c>
      <c r="O2767">
        <v>10</v>
      </c>
      <c r="P2767">
        <v>11</v>
      </c>
      <c r="Q2767">
        <v>12</v>
      </c>
      <c r="W2767" s="47"/>
    </row>
    <row r="2768" spans="1:23" hidden="1">
      <c r="A2768">
        <v>3831764266</v>
      </c>
      <c r="B2768">
        <v>57240262</v>
      </c>
      <c r="C2768" s="36" t="s">
        <v>3065</v>
      </c>
      <c r="D2768" s="37">
        <v>42078.709317129629</v>
      </c>
      <c r="E2768" s="37">
        <v>42078.715300925927</v>
      </c>
      <c r="I2768">
        <v>4</v>
      </c>
      <c r="W2768" s="47"/>
    </row>
    <row r="2769" spans="1:23" hidden="1">
      <c r="A2769">
        <v>3831864156</v>
      </c>
      <c r="B2769">
        <v>57240262</v>
      </c>
      <c r="C2769" s="36" t="s">
        <v>3066</v>
      </c>
      <c r="D2769" s="37">
        <v>42078.797615740739</v>
      </c>
      <c r="E2769" s="37">
        <v>42078.803726851853</v>
      </c>
      <c r="U2769">
        <v>16</v>
      </c>
      <c r="W2769" s="47"/>
    </row>
    <row r="2770" spans="1:23">
      <c r="A2770">
        <v>3831931394</v>
      </c>
      <c r="B2770">
        <v>57240262</v>
      </c>
      <c r="C2770" s="36" t="s">
        <v>3067</v>
      </c>
      <c r="D2770" s="37">
        <v>42078.856215277781</v>
      </c>
      <c r="E2770" s="37">
        <v>42078.867835648147</v>
      </c>
      <c r="F2770">
        <v>1</v>
      </c>
      <c r="G2770">
        <v>2</v>
      </c>
      <c r="H2770">
        <v>3</v>
      </c>
      <c r="V2770" s="42" t="s">
        <v>30</v>
      </c>
      <c r="W2770" s="47">
        <v>2</v>
      </c>
    </row>
    <row r="2771" spans="1:23" hidden="1">
      <c r="A2771">
        <v>3832057141</v>
      </c>
      <c r="B2771">
        <v>57240262</v>
      </c>
      <c r="C2771" s="36" t="s">
        <v>3068</v>
      </c>
      <c r="D2771" s="37">
        <v>42078.958460648151</v>
      </c>
      <c r="E2771" s="37">
        <v>42078.96503472222</v>
      </c>
      <c r="M2771">
        <v>8</v>
      </c>
      <c r="W2771" s="47"/>
    </row>
    <row r="2772" spans="1:23" hidden="1">
      <c r="A2772">
        <v>3832075196</v>
      </c>
      <c r="B2772">
        <v>57240262</v>
      </c>
      <c r="C2772" s="36" t="s">
        <v>3069</v>
      </c>
      <c r="D2772" s="37">
        <v>42078.96638888889</v>
      </c>
      <c r="E2772" s="37">
        <v>42078.975347222222</v>
      </c>
      <c r="G2772">
        <v>2</v>
      </c>
      <c r="K2772">
        <v>6</v>
      </c>
      <c r="M2772">
        <v>8</v>
      </c>
      <c r="N2772">
        <v>9</v>
      </c>
      <c r="O2772">
        <v>10</v>
      </c>
      <c r="Q2772">
        <v>12</v>
      </c>
      <c r="W2772" s="47"/>
    </row>
    <row r="2773" spans="1:23" hidden="1">
      <c r="A2773">
        <v>3832448541</v>
      </c>
      <c r="B2773">
        <v>57240262</v>
      </c>
      <c r="C2773" s="36" t="s">
        <v>3070</v>
      </c>
      <c r="D2773" s="37">
        <v>42079.247499999998</v>
      </c>
      <c r="E2773" s="37">
        <v>42079.252175925925</v>
      </c>
      <c r="U2773">
        <v>16</v>
      </c>
      <c r="W2773" s="47"/>
    </row>
    <row r="2774" spans="1:23" hidden="1">
      <c r="A2774">
        <v>3832474447</v>
      </c>
      <c r="B2774">
        <v>57240262</v>
      </c>
      <c r="C2774" s="36" t="s">
        <v>3071</v>
      </c>
      <c r="D2774" s="37">
        <v>42079.26829861111</v>
      </c>
      <c r="E2774" s="37">
        <v>42079.27202546296</v>
      </c>
      <c r="Q2774">
        <v>12</v>
      </c>
      <c r="W2774" s="47"/>
    </row>
    <row r="2775" spans="1:23" hidden="1">
      <c r="A2775">
        <v>3832685089</v>
      </c>
      <c r="B2775">
        <v>57240262</v>
      </c>
      <c r="C2775" s="36" t="s">
        <v>3072</v>
      </c>
      <c r="D2775" s="37">
        <v>42079.403425925928</v>
      </c>
      <c r="E2775" s="37">
        <v>42079.405162037037</v>
      </c>
      <c r="U2775">
        <v>16</v>
      </c>
      <c r="W2775" s="47"/>
    </row>
    <row r="2776" spans="1:23">
      <c r="A2776">
        <v>3832753548</v>
      </c>
      <c r="B2776">
        <v>57240262</v>
      </c>
      <c r="C2776" s="36" t="s">
        <v>3073</v>
      </c>
      <c r="D2776" s="37">
        <v>42079.430289351854</v>
      </c>
      <c r="E2776" s="37">
        <v>42079.442094907405</v>
      </c>
      <c r="F2776">
        <v>1</v>
      </c>
      <c r="I2776">
        <v>4</v>
      </c>
      <c r="J2776">
        <v>5</v>
      </c>
      <c r="K2776">
        <v>6</v>
      </c>
      <c r="O2776">
        <v>10</v>
      </c>
      <c r="S2776">
        <v>14</v>
      </c>
      <c r="V2776" s="42" t="s">
        <v>3493</v>
      </c>
      <c r="W2776" s="47">
        <v>6</v>
      </c>
    </row>
    <row r="2777" spans="1:23" hidden="1">
      <c r="A2777">
        <v>3832786251</v>
      </c>
      <c r="B2777">
        <v>57240262</v>
      </c>
      <c r="C2777" s="36" t="s">
        <v>3074</v>
      </c>
      <c r="D2777" s="37">
        <v>42079.451689814814</v>
      </c>
      <c r="E2777" s="37">
        <v>42079.458182870374</v>
      </c>
      <c r="G2777">
        <v>2</v>
      </c>
      <c r="K2777">
        <v>6</v>
      </c>
      <c r="O2777">
        <v>10</v>
      </c>
      <c r="W2777" s="47"/>
    </row>
    <row r="2778" spans="1:23" hidden="1">
      <c r="A2778">
        <v>3832872638</v>
      </c>
      <c r="B2778">
        <v>57240262</v>
      </c>
      <c r="C2778" s="36" t="s">
        <v>3075</v>
      </c>
      <c r="D2778" s="37">
        <v>42079.487511574072</v>
      </c>
      <c r="E2778" s="37">
        <v>42079.495972222219</v>
      </c>
      <c r="U2778">
        <v>16</v>
      </c>
      <c r="W2778" s="47"/>
    </row>
    <row r="2779" spans="1:23" hidden="1">
      <c r="A2779">
        <v>3832976650</v>
      </c>
      <c r="B2779">
        <v>57240262</v>
      </c>
      <c r="C2779" s="36" t="s">
        <v>3076</v>
      </c>
      <c r="D2779" s="37">
        <v>42079.525694444441</v>
      </c>
      <c r="E2779" s="37">
        <v>42079.531087962961</v>
      </c>
      <c r="H2779">
        <v>3</v>
      </c>
      <c r="I2779">
        <v>4</v>
      </c>
      <c r="W2779" s="47"/>
    </row>
    <row r="2780" spans="1:23" hidden="1">
      <c r="A2780">
        <v>3833102728</v>
      </c>
      <c r="B2780">
        <v>57240262</v>
      </c>
      <c r="C2780" s="36" t="s">
        <v>3077</v>
      </c>
      <c r="D2780" s="37">
        <v>42079.562048611115</v>
      </c>
      <c r="E2780" s="37">
        <v>42079.568842592591</v>
      </c>
      <c r="U2780">
        <v>16</v>
      </c>
      <c r="W2780" s="47"/>
    </row>
    <row r="2781" spans="1:23" hidden="1">
      <c r="A2781">
        <v>3833001389</v>
      </c>
      <c r="B2781">
        <v>57240262</v>
      </c>
      <c r="C2781" s="36" t="s">
        <v>3078</v>
      </c>
      <c r="D2781" s="37">
        <v>42079.533310185187</v>
      </c>
      <c r="E2781" s="37">
        <v>42079.581990740742</v>
      </c>
      <c r="U2781">
        <v>16</v>
      </c>
      <c r="W2781" s="47"/>
    </row>
    <row r="2782" spans="1:23" hidden="1">
      <c r="A2782">
        <v>3833511565</v>
      </c>
      <c r="B2782">
        <v>57240262</v>
      </c>
      <c r="C2782" s="36" t="s">
        <v>3079</v>
      </c>
      <c r="D2782" s="37">
        <v>42079.65960648148</v>
      </c>
      <c r="E2782" s="37">
        <v>42079.664629629631</v>
      </c>
      <c r="U2782">
        <v>16</v>
      </c>
      <c r="W2782" s="47"/>
    </row>
    <row r="2783" spans="1:23" ht="24">
      <c r="A2783">
        <v>3833515129</v>
      </c>
      <c r="B2783">
        <v>57240262</v>
      </c>
      <c r="C2783" s="36" t="s">
        <v>3080</v>
      </c>
      <c r="D2783" s="37">
        <v>42079.659942129627</v>
      </c>
      <c r="E2783" s="37">
        <v>42079.666076388887</v>
      </c>
      <c r="I2783">
        <v>4</v>
      </c>
      <c r="L2783">
        <v>7</v>
      </c>
      <c r="M2783">
        <v>8</v>
      </c>
      <c r="R2783">
        <v>13</v>
      </c>
      <c r="V2783" s="42" t="s">
        <v>3494</v>
      </c>
      <c r="W2783" s="47">
        <v>7</v>
      </c>
    </row>
    <row r="2784" spans="1:23">
      <c r="A2784">
        <v>3833545821</v>
      </c>
      <c r="B2784">
        <v>57240262</v>
      </c>
      <c r="C2784" s="36" t="s">
        <v>3081</v>
      </c>
      <c r="D2784" s="37">
        <v>42079.667812500003</v>
      </c>
      <c r="E2784" s="37">
        <v>42079.671180555553</v>
      </c>
      <c r="F2784">
        <v>1</v>
      </c>
      <c r="K2784">
        <v>6</v>
      </c>
      <c r="V2784" s="42" t="s">
        <v>3495</v>
      </c>
      <c r="W2784" s="47">
        <v>1</v>
      </c>
    </row>
    <row r="2785" spans="1:23" hidden="1">
      <c r="A2785">
        <v>3833938140</v>
      </c>
      <c r="B2785">
        <v>57240262</v>
      </c>
      <c r="C2785" s="36" t="s">
        <v>3082</v>
      </c>
      <c r="D2785" s="37">
        <v>42079.765798611108</v>
      </c>
      <c r="E2785" s="37">
        <v>42079.784062500003</v>
      </c>
      <c r="F2785">
        <v>1</v>
      </c>
      <c r="H2785">
        <v>3</v>
      </c>
      <c r="W2785" s="47"/>
    </row>
    <row r="2786" spans="1:23" hidden="1">
      <c r="A2786">
        <v>3834039400</v>
      </c>
      <c r="B2786">
        <v>57240262</v>
      </c>
      <c r="C2786" s="36" t="s">
        <v>3083</v>
      </c>
      <c r="D2786" s="37">
        <v>42079.792291666665</v>
      </c>
      <c r="E2786" s="37">
        <v>42079.795810185184</v>
      </c>
      <c r="U2786">
        <v>16</v>
      </c>
      <c r="W2786" s="47"/>
    </row>
    <row r="2787" spans="1:23" hidden="1">
      <c r="A2787">
        <v>3834189118</v>
      </c>
      <c r="B2787">
        <v>57240262</v>
      </c>
      <c r="C2787" s="36" t="s">
        <v>3084</v>
      </c>
      <c r="D2787" s="37">
        <v>42079.831030092595</v>
      </c>
      <c r="E2787" s="37">
        <v>42079.834560185183</v>
      </c>
      <c r="U2787">
        <v>16</v>
      </c>
      <c r="W2787" s="47"/>
    </row>
    <row r="2788" spans="1:23" hidden="1">
      <c r="A2788">
        <v>3834340522</v>
      </c>
      <c r="B2788">
        <v>57240262</v>
      </c>
      <c r="C2788" s="36" t="s">
        <v>3085</v>
      </c>
      <c r="D2788" s="37">
        <v>42079.872858796298</v>
      </c>
      <c r="E2788" s="37">
        <v>42079.882847222223</v>
      </c>
      <c r="G2788">
        <v>2</v>
      </c>
      <c r="W2788" s="47"/>
    </row>
    <row r="2789" spans="1:23">
      <c r="A2789">
        <v>3835343542</v>
      </c>
      <c r="B2789">
        <v>57240262</v>
      </c>
      <c r="C2789" s="36" t="s">
        <v>3086</v>
      </c>
      <c r="D2789" s="37">
        <v>42080.408553240741</v>
      </c>
      <c r="E2789" s="37">
        <v>42080.413368055553</v>
      </c>
      <c r="F2789">
        <v>1</v>
      </c>
      <c r="I2789">
        <v>4</v>
      </c>
      <c r="J2789">
        <v>5</v>
      </c>
      <c r="K2789">
        <v>6</v>
      </c>
      <c r="N2789">
        <v>9</v>
      </c>
      <c r="Q2789">
        <v>12</v>
      </c>
      <c r="V2789" s="42" t="s">
        <v>3496</v>
      </c>
      <c r="W2789" s="47">
        <v>4</v>
      </c>
    </row>
    <row r="2790" spans="1:23">
      <c r="A2790">
        <v>3835463427</v>
      </c>
      <c r="B2790">
        <v>57240262</v>
      </c>
      <c r="C2790" s="36" t="s">
        <v>3087</v>
      </c>
      <c r="D2790" s="37">
        <v>42080.467881944445</v>
      </c>
      <c r="E2790" s="37">
        <v>42080.482974537037</v>
      </c>
      <c r="F2790">
        <v>1</v>
      </c>
      <c r="G2790">
        <v>2</v>
      </c>
      <c r="I2790">
        <v>4</v>
      </c>
      <c r="K2790">
        <v>6</v>
      </c>
      <c r="V2790" s="42" t="s">
        <v>151</v>
      </c>
      <c r="W2790" s="47">
        <v>1</v>
      </c>
    </row>
    <row r="2791" spans="1:23" hidden="1">
      <c r="A2791">
        <v>3835523441</v>
      </c>
      <c r="B2791">
        <v>57240262</v>
      </c>
      <c r="C2791" s="36" t="s">
        <v>3088</v>
      </c>
      <c r="D2791" s="37">
        <v>42080.494247685187</v>
      </c>
      <c r="E2791" s="37">
        <v>42080.498912037037</v>
      </c>
      <c r="K2791">
        <v>6</v>
      </c>
      <c r="W2791" s="47"/>
    </row>
    <row r="2792" spans="1:23" hidden="1">
      <c r="A2792">
        <v>3835536001</v>
      </c>
      <c r="B2792">
        <v>57240262</v>
      </c>
      <c r="C2792" s="36" t="s">
        <v>3089</v>
      </c>
      <c r="D2792" s="37">
        <v>42080.499062499999</v>
      </c>
      <c r="E2792" s="37">
        <v>42080.504189814812</v>
      </c>
      <c r="U2792">
        <v>16</v>
      </c>
      <c r="W2792" s="47"/>
    </row>
    <row r="2793" spans="1:23" hidden="1">
      <c r="A2793">
        <v>3835553010</v>
      </c>
      <c r="B2793">
        <v>57240262</v>
      </c>
      <c r="C2793" s="36" t="s">
        <v>3090</v>
      </c>
      <c r="D2793" s="37">
        <v>42080.504351851851</v>
      </c>
      <c r="E2793" s="37">
        <v>42080.504976851851</v>
      </c>
      <c r="W2793" s="47"/>
    </row>
    <row r="2794" spans="1:23" hidden="1">
      <c r="A2794">
        <v>3836033269</v>
      </c>
      <c r="B2794">
        <v>57240262</v>
      </c>
      <c r="C2794" s="36" t="s">
        <v>3091</v>
      </c>
      <c r="D2794" s="37">
        <v>42080.632557870369</v>
      </c>
      <c r="E2794" s="37">
        <v>42080.641539351855</v>
      </c>
      <c r="F2794">
        <v>1</v>
      </c>
      <c r="W2794" s="47"/>
    </row>
    <row r="2795" spans="1:23" hidden="1">
      <c r="A2795">
        <v>3836130644</v>
      </c>
      <c r="B2795">
        <v>57240262</v>
      </c>
      <c r="C2795" s="36" t="s">
        <v>3092</v>
      </c>
      <c r="D2795" s="37">
        <v>42080.654456018521</v>
      </c>
      <c r="E2795" s="37">
        <v>42080.661712962959</v>
      </c>
      <c r="I2795">
        <v>4</v>
      </c>
      <c r="K2795">
        <v>6</v>
      </c>
      <c r="W2795" s="47"/>
    </row>
    <row r="2796" spans="1:23">
      <c r="A2796">
        <v>3836258614</v>
      </c>
      <c r="B2796">
        <v>57240262</v>
      </c>
      <c r="C2796" s="36" t="s">
        <v>3093</v>
      </c>
      <c r="D2796" s="37">
        <v>42080.684074074074</v>
      </c>
      <c r="E2796" s="37">
        <v>42080.690775462965</v>
      </c>
      <c r="I2796">
        <v>4</v>
      </c>
      <c r="P2796">
        <v>11</v>
      </c>
      <c r="Q2796">
        <v>12</v>
      </c>
      <c r="R2796">
        <v>13</v>
      </c>
      <c r="S2796">
        <v>14</v>
      </c>
      <c r="V2796" s="42" t="s">
        <v>3497</v>
      </c>
      <c r="W2796" s="47">
        <v>16</v>
      </c>
    </row>
    <row r="2797" spans="1:23" hidden="1">
      <c r="A2797">
        <v>3837975423</v>
      </c>
      <c r="B2797">
        <v>57240262</v>
      </c>
      <c r="C2797" s="36" t="s">
        <v>3094</v>
      </c>
      <c r="D2797" s="37">
        <v>42081.408113425925</v>
      </c>
      <c r="E2797" s="37">
        <v>42081.411006944443</v>
      </c>
      <c r="H2797">
        <v>3</v>
      </c>
      <c r="W2797" s="47"/>
    </row>
    <row r="2798" spans="1:23" hidden="1">
      <c r="A2798">
        <v>3837984152</v>
      </c>
      <c r="B2798">
        <v>57240262</v>
      </c>
      <c r="C2798" s="36" t="s">
        <v>3095</v>
      </c>
      <c r="D2798" s="37">
        <v>42081.412731481483</v>
      </c>
      <c r="E2798" s="37">
        <v>42081.415821759256</v>
      </c>
      <c r="G2798">
        <v>2</v>
      </c>
      <c r="W2798" s="47"/>
    </row>
    <row r="2799" spans="1:23" hidden="1">
      <c r="A2799">
        <v>3837989904</v>
      </c>
      <c r="B2799">
        <v>57240262</v>
      </c>
      <c r="C2799" s="36" t="s">
        <v>3096</v>
      </c>
      <c r="D2799" s="37">
        <v>42081.415972222225</v>
      </c>
      <c r="E2799" s="37">
        <v>42081.418692129628</v>
      </c>
      <c r="F2799">
        <v>1</v>
      </c>
      <c r="I2799">
        <v>4</v>
      </c>
      <c r="N2799">
        <v>9</v>
      </c>
      <c r="P2799">
        <v>11</v>
      </c>
      <c r="W2799" s="47"/>
    </row>
    <row r="2800" spans="1:23" hidden="1">
      <c r="A2800">
        <v>3837995057</v>
      </c>
      <c r="B2800">
        <v>57240262</v>
      </c>
      <c r="C2800" s="36" t="s">
        <v>3097</v>
      </c>
      <c r="D2800" s="37">
        <v>42081.418842592589</v>
      </c>
      <c r="E2800" s="37">
        <v>42081.424143518518</v>
      </c>
      <c r="F2800">
        <v>1</v>
      </c>
      <c r="G2800">
        <v>2</v>
      </c>
      <c r="Q2800">
        <v>12</v>
      </c>
      <c r="R2800">
        <v>13</v>
      </c>
      <c r="W2800" s="47"/>
    </row>
    <row r="2801" spans="1:23" hidden="1">
      <c r="A2801">
        <v>3838005430</v>
      </c>
      <c r="B2801">
        <v>57240262</v>
      </c>
      <c r="C2801" s="36" t="s">
        <v>3098</v>
      </c>
      <c r="D2801" s="37">
        <v>42081.424641203703</v>
      </c>
      <c r="E2801" s="37">
        <v>42081.425127314818</v>
      </c>
      <c r="G2801">
        <v>2</v>
      </c>
      <c r="W2801" s="47"/>
    </row>
    <row r="2802" spans="1:23" hidden="1">
      <c r="A2802">
        <v>3838008338</v>
      </c>
      <c r="B2802">
        <v>57240262</v>
      </c>
      <c r="C2802" s="36" t="s">
        <v>3099</v>
      </c>
      <c r="D2802" s="37">
        <v>42081.426203703704</v>
      </c>
      <c r="E2802" s="37">
        <v>42081.4297337963</v>
      </c>
      <c r="K2802">
        <v>6</v>
      </c>
      <c r="W2802" s="47"/>
    </row>
    <row r="2803" spans="1:23" hidden="1">
      <c r="A2803">
        <v>3838096876</v>
      </c>
      <c r="B2803">
        <v>57240262</v>
      </c>
      <c r="C2803" s="36" t="s">
        <v>3100</v>
      </c>
      <c r="D2803" s="37">
        <v>42081.470196759263</v>
      </c>
      <c r="E2803" s="37">
        <v>42081.474108796298</v>
      </c>
      <c r="U2803">
        <v>16</v>
      </c>
      <c r="W2803" s="47"/>
    </row>
    <row r="2804" spans="1:23" hidden="1">
      <c r="A2804">
        <v>3838317226</v>
      </c>
      <c r="B2804">
        <v>57240262</v>
      </c>
      <c r="C2804" s="36" t="s">
        <v>3101</v>
      </c>
      <c r="D2804" s="37">
        <v>42081.529953703706</v>
      </c>
      <c r="E2804" s="37">
        <v>42081.536898148152</v>
      </c>
      <c r="F2804">
        <v>1</v>
      </c>
      <c r="W2804" s="47"/>
    </row>
    <row r="2805" spans="1:23" hidden="1">
      <c r="A2805">
        <v>3838336691</v>
      </c>
      <c r="B2805">
        <v>57240262</v>
      </c>
      <c r="C2805" s="36" t="s">
        <v>3102</v>
      </c>
      <c r="D2805" s="37">
        <v>42081.536192129628</v>
      </c>
      <c r="E2805" s="37">
        <v>42081.539560185185</v>
      </c>
      <c r="Q2805">
        <v>12</v>
      </c>
      <c r="W2805" s="47"/>
    </row>
    <row r="2806" spans="1:23" hidden="1">
      <c r="A2806">
        <v>3838376669</v>
      </c>
      <c r="B2806">
        <v>57240262</v>
      </c>
      <c r="C2806" s="36" t="s">
        <v>3103</v>
      </c>
      <c r="D2806" s="37">
        <v>42081.545497685183</v>
      </c>
      <c r="E2806" s="37">
        <v>42081.551458333335</v>
      </c>
      <c r="I2806">
        <v>4</v>
      </c>
      <c r="W2806" s="47"/>
    </row>
    <row r="2807" spans="1:23" hidden="1">
      <c r="A2807">
        <v>3838377093</v>
      </c>
      <c r="B2807">
        <v>57240262</v>
      </c>
      <c r="C2807" s="36" t="s">
        <v>3104</v>
      </c>
      <c r="D2807" s="37">
        <v>42081.543067129627</v>
      </c>
      <c r="E2807" s="37">
        <v>42081.551469907405</v>
      </c>
      <c r="U2807">
        <v>16</v>
      </c>
      <c r="W2807" s="47"/>
    </row>
    <row r="2808" spans="1:23" hidden="1">
      <c r="A2808">
        <v>3838350796</v>
      </c>
      <c r="B2808">
        <v>57240262</v>
      </c>
      <c r="C2808" s="36" t="s">
        <v>3105</v>
      </c>
      <c r="D2808" s="37">
        <v>42081.53974537037</v>
      </c>
      <c r="E2808" s="37">
        <v>42081.55269675926</v>
      </c>
      <c r="F2808">
        <v>1</v>
      </c>
      <c r="G2808">
        <v>2</v>
      </c>
      <c r="W2808" s="47"/>
    </row>
    <row r="2809" spans="1:23" hidden="1">
      <c r="A2809">
        <v>3838550780</v>
      </c>
      <c r="B2809">
        <v>57240262</v>
      </c>
      <c r="C2809" s="36" t="s">
        <v>3106</v>
      </c>
      <c r="D2809" s="37">
        <v>42081.584085648145</v>
      </c>
      <c r="E2809" s="37">
        <v>42081.586793981478</v>
      </c>
      <c r="F2809">
        <v>1</v>
      </c>
      <c r="W2809" s="47"/>
    </row>
    <row r="2810" spans="1:23" hidden="1">
      <c r="A2810">
        <v>3838566214</v>
      </c>
      <c r="B2810">
        <v>57240262</v>
      </c>
      <c r="C2810" s="36" t="s">
        <v>3107</v>
      </c>
      <c r="D2810" s="37">
        <v>42081.58734953704</v>
      </c>
      <c r="E2810" s="37">
        <v>42081.590428240743</v>
      </c>
      <c r="G2810">
        <v>2</v>
      </c>
      <c r="W2810" s="47"/>
    </row>
    <row r="2811" spans="1:23" hidden="1">
      <c r="A2811">
        <v>3838581509</v>
      </c>
      <c r="B2811">
        <v>57240262</v>
      </c>
      <c r="C2811" s="36" t="s">
        <v>3108</v>
      </c>
      <c r="D2811" s="37">
        <v>42081.590532407405</v>
      </c>
      <c r="E2811" s="37">
        <v>42081.593668981484</v>
      </c>
      <c r="I2811">
        <v>4</v>
      </c>
      <c r="W2811" s="47"/>
    </row>
    <row r="2812" spans="1:23" hidden="1">
      <c r="A2812">
        <v>3838599666</v>
      </c>
      <c r="B2812">
        <v>57240262</v>
      </c>
      <c r="C2812" s="36" t="s">
        <v>3109</v>
      </c>
      <c r="D2812" s="37">
        <v>42081.594236111108</v>
      </c>
      <c r="E2812" s="37">
        <v>42081.597418981481</v>
      </c>
      <c r="I2812">
        <v>4</v>
      </c>
      <c r="W2812" s="47"/>
    </row>
    <row r="2813" spans="1:23" hidden="1">
      <c r="A2813">
        <v>3838628042</v>
      </c>
      <c r="B2813">
        <v>57240262</v>
      </c>
      <c r="C2813" s="36" t="s">
        <v>3110</v>
      </c>
      <c r="D2813" s="37">
        <v>42081.599745370368</v>
      </c>
      <c r="E2813" s="37">
        <v>42081.603495370371</v>
      </c>
      <c r="U2813">
        <v>16</v>
      </c>
      <c r="W2813" s="47"/>
    </row>
    <row r="2814" spans="1:23" hidden="1">
      <c r="A2814">
        <v>3838649142</v>
      </c>
      <c r="B2814">
        <v>57240262</v>
      </c>
      <c r="C2814" s="36" t="s">
        <v>3111</v>
      </c>
      <c r="D2814" s="37">
        <v>42081.603715277779</v>
      </c>
      <c r="E2814" s="37">
        <v>42081.605937499997</v>
      </c>
      <c r="F2814">
        <v>1</v>
      </c>
      <c r="R2814">
        <v>13</v>
      </c>
      <c r="W2814" s="47"/>
    </row>
    <row r="2815" spans="1:23" hidden="1">
      <c r="A2815">
        <v>3838661487</v>
      </c>
      <c r="B2815">
        <v>57240262</v>
      </c>
      <c r="C2815" s="36" t="s">
        <v>3112</v>
      </c>
      <c r="D2815" s="37">
        <v>42081.606111111112</v>
      </c>
      <c r="E2815" s="37">
        <v>42081.608680555553</v>
      </c>
      <c r="H2815">
        <v>3</v>
      </c>
      <c r="W2815" s="47"/>
    </row>
    <row r="2816" spans="1:23" hidden="1">
      <c r="A2816">
        <v>3838675264</v>
      </c>
      <c r="B2816">
        <v>57240262</v>
      </c>
      <c r="C2816" s="36" t="s">
        <v>3113</v>
      </c>
      <c r="D2816" s="37">
        <v>42081.608865740738</v>
      </c>
      <c r="E2816" s="37">
        <v>42081.612685185188</v>
      </c>
      <c r="F2816">
        <v>1</v>
      </c>
      <c r="G2816">
        <v>2</v>
      </c>
      <c r="H2816">
        <v>3</v>
      </c>
      <c r="W2816" s="47"/>
    </row>
    <row r="2817" spans="1:23" hidden="1">
      <c r="A2817">
        <v>3838729471</v>
      </c>
      <c r="B2817">
        <v>57240262</v>
      </c>
      <c r="C2817" s="36" t="s">
        <v>3114</v>
      </c>
      <c r="D2817" s="37">
        <v>42081.619108796294</v>
      </c>
      <c r="E2817" s="37">
        <v>42081.62295138889</v>
      </c>
      <c r="M2817">
        <v>8</v>
      </c>
      <c r="W2817" s="47"/>
    </row>
    <row r="2818" spans="1:23" hidden="1">
      <c r="A2818">
        <v>3838804265</v>
      </c>
      <c r="B2818">
        <v>57240262</v>
      </c>
      <c r="C2818" s="36" t="s">
        <v>3115</v>
      </c>
      <c r="D2818" s="37">
        <v>42081.635868055557</v>
      </c>
      <c r="E2818" s="37">
        <v>42081.641111111108</v>
      </c>
      <c r="I2818">
        <v>4</v>
      </c>
      <c r="W2818" s="47"/>
    </row>
    <row r="2819" spans="1:23" hidden="1">
      <c r="A2819">
        <v>3838856986</v>
      </c>
      <c r="B2819">
        <v>57240262</v>
      </c>
      <c r="C2819" s="36" t="s">
        <v>3116</v>
      </c>
      <c r="D2819" s="37">
        <v>42081.6483912037</v>
      </c>
      <c r="E2819" s="37">
        <v>42081.651574074072</v>
      </c>
      <c r="F2819">
        <v>1</v>
      </c>
      <c r="H2819">
        <v>3</v>
      </c>
      <c r="W2819" s="47"/>
    </row>
    <row r="2820" spans="1:23" hidden="1">
      <c r="A2820">
        <v>3838870858</v>
      </c>
      <c r="B2820">
        <v>57240262</v>
      </c>
      <c r="C2820" s="36" t="s">
        <v>3117</v>
      </c>
      <c r="D2820" s="37">
        <v>42081.651724537034</v>
      </c>
      <c r="E2820" s="37">
        <v>42081.656018518515</v>
      </c>
      <c r="U2820">
        <v>16</v>
      </c>
      <c r="W2820" s="47"/>
    </row>
    <row r="2821" spans="1:23">
      <c r="A2821">
        <v>3838889202</v>
      </c>
      <c r="B2821">
        <v>57240262</v>
      </c>
      <c r="C2821" s="36" t="s">
        <v>3118</v>
      </c>
      <c r="D2821" s="37">
        <v>42081.656145833331</v>
      </c>
      <c r="E2821" s="37">
        <v>42081.661828703705</v>
      </c>
      <c r="F2821">
        <v>1</v>
      </c>
      <c r="G2821">
        <v>2</v>
      </c>
      <c r="V2821" s="42" t="s">
        <v>3498</v>
      </c>
      <c r="W2821" s="47">
        <v>1</v>
      </c>
    </row>
    <row r="2822" spans="1:23" hidden="1">
      <c r="A2822">
        <v>3839055643</v>
      </c>
      <c r="B2822">
        <v>57240262</v>
      </c>
      <c r="C2822" s="36" t="s">
        <v>3119</v>
      </c>
      <c r="D2822" s="37">
        <v>42081.696122685185</v>
      </c>
      <c r="E2822" s="37">
        <v>42081.702187499999</v>
      </c>
      <c r="U2822">
        <v>16</v>
      </c>
      <c r="W2822" s="47"/>
    </row>
    <row r="2823" spans="1:23" hidden="1">
      <c r="A2823">
        <v>3839227621</v>
      </c>
      <c r="B2823">
        <v>57240262</v>
      </c>
      <c r="C2823" s="36" t="s">
        <v>3120</v>
      </c>
      <c r="D2823" s="37">
        <v>42081.738923611112</v>
      </c>
      <c r="E2823" s="37">
        <v>42081.741898148146</v>
      </c>
      <c r="U2823">
        <v>16</v>
      </c>
      <c r="W2823" s="47"/>
    </row>
    <row r="2824" spans="1:23">
      <c r="A2824">
        <v>3839315021</v>
      </c>
      <c r="B2824">
        <v>57240262</v>
      </c>
      <c r="C2824" s="36" t="s">
        <v>3121</v>
      </c>
      <c r="D2824" s="37">
        <v>42081.760451388887</v>
      </c>
      <c r="E2824" s="37">
        <v>42081.766192129631</v>
      </c>
      <c r="F2824">
        <v>1</v>
      </c>
      <c r="G2824">
        <v>2</v>
      </c>
      <c r="H2824">
        <v>3</v>
      </c>
      <c r="O2824">
        <v>10</v>
      </c>
      <c r="R2824">
        <v>13</v>
      </c>
      <c r="S2824">
        <v>14</v>
      </c>
      <c r="V2824" s="42" t="s">
        <v>4</v>
      </c>
      <c r="W2824" s="47">
        <v>1</v>
      </c>
    </row>
    <row r="2825" spans="1:23">
      <c r="A2825">
        <v>3839504828</v>
      </c>
      <c r="B2825">
        <v>57240262</v>
      </c>
      <c r="C2825" s="36" t="s">
        <v>3122</v>
      </c>
      <c r="D2825" s="37">
        <v>42081.808622685188</v>
      </c>
      <c r="E2825" s="37">
        <v>42081.815300925926</v>
      </c>
      <c r="F2825">
        <v>1</v>
      </c>
      <c r="G2825">
        <v>2</v>
      </c>
      <c r="Q2825">
        <v>12</v>
      </c>
      <c r="V2825" s="42" t="s">
        <v>3499</v>
      </c>
      <c r="W2825" s="47">
        <v>2</v>
      </c>
    </row>
    <row r="2826" spans="1:23" hidden="1">
      <c r="A2826">
        <v>3839542135</v>
      </c>
      <c r="B2826">
        <v>57240262</v>
      </c>
      <c r="C2826" s="36" t="s">
        <v>3123</v>
      </c>
      <c r="D2826" s="37">
        <v>42081.818472222221</v>
      </c>
      <c r="E2826" s="37">
        <v>42081.821145833332</v>
      </c>
      <c r="U2826">
        <v>16</v>
      </c>
      <c r="W2826" s="47"/>
    </row>
    <row r="2827" spans="1:23" hidden="1">
      <c r="A2827">
        <v>3839567538</v>
      </c>
      <c r="B2827">
        <v>57240262</v>
      </c>
      <c r="C2827" s="36" t="s">
        <v>3124</v>
      </c>
      <c r="D2827" s="37">
        <v>42081.824930555558</v>
      </c>
      <c r="E2827" s="37">
        <v>42081.828888888886</v>
      </c>
      <c r="G2827">
        <v>2</v>
      </c>
      <c r="M2827">
        <v>8</v>
      </c>
      <c r="O2827">
        <v>10</v>
      </c>
      <c r="W2827" s="47"/>
    </row>
    <row r="2828" spans="1:23" hidden="1">
      <c r="A2828">
        <v>3839660755</v>
      </c>
      <c r="B2828">
        <v>57240262</v>
      </c>
      <c r="C2828" s="36" t="s">
        <v>3125</v>
      </c>
      <c r="D2828" s="37">
        <v>42081.849502314813</v>
      </c>
      <c r="E2828" s="37">
        <v>42081.855416666665</v>
      </c>
      <c r="U2828">
        <v>16</v>
      </c>
      <c r="W2828" s="47"/>
    </row>
    <row r="2829" spans="1:23">
      <c r="A2829">
        <v>3839796251</v>
      </c>
      <c r="B2829">
        <v>57240262</v>
      </c>
      <c r="C2829" s="36" t="s">
        <v>3126</v>
      </c>
      <c r="D2829" s="37">
        <v>42081.889884259261</v>
      </c>
      <c r="E2829" s="37">
        <v>42081.894363425927</v>
      </c>
      <c r="F2829">
        <v>1</v>
      </c>
      <c r="G2829">
        <v>2</v>
      </c>
      <c r="H2829">
        <v>3</v>
      </c>
      <c r="J2829">
        <v>5</v>
      </c>
      <c r="K2829">
        <v>6</v>
      </c>
      <c r="M2829">
        <v>8</v>
      </c>
      <c r="O2829">
        <v>10</v>
      </c>
      <c r="R2829">
        <v>13</v>
      </c>
      <c r="S2829">
        <v>14</v>
      </c>
      <c r="V2829" s="42" t="s">
        <v>3500</v>
      </c>
      <c r="W2829" s="47">
        <v>6</v>
      </c>
    </row>
    <row r="2830" spans="1:23">
      <c r="A2830">
        <v>3839966339</v>
      </c>
      <c r="B2830">
        <v>57240262</v>
      </c>
      <c r="C2830" s="36" t="s">
        <v>3127</v>
      </c>
      <c r="D2830" s="37">
        <v>42081.948599537034</v>
      </c>
      <c r="E2830" s="37">
        <v>42081.955416666664</v>
      </c>
      <c r="H2830">
        <v>3</v>
      </c>
      <c r="I2830">
        <v>4</v>
      </c>
      <c r="K2830">
        <v>6</v>
      </c>
      <c r="V2830" s="42" t="s">
        <v>109</v>
      </c>
      <c r="W2830" s="47">
        <v>3</v>
      </c>
    </row>
    <row r="2831" spans="1:23" ht="24">
      <c r="A2831">
        <v>3839991817</v>
      </c>
      <c r="B2831">
        <v>57240262</v>
      </c>
      <c r="C2831" s="36" t="s">
        <v>3128</v>
      </c>
      <c r="D2831" s="37">
        <v>42081.958449074074</v>
      </c>
      <c r="E2831" s="37">
        <v>42081.971701388888</v>
      </c>
      <c r="F2831">
        <v>1</v>
      </c>
      <c r="G2831">
        <v>2</v>
      </c>
      <c r="J2831">
        <v>5</v>
      </c>
      <c r="K2831">
        <v>6</v>
      </c>
      <c r="O2831">
        <v>10</v>
      </c>
      <c r="R2831">
        <v>13</v>
      </c>
      <c r="V2831" s="42" t="s">
        <v>3501</v>
      </c>
      <c r="W2831" s="47">
        <v>1</v>
      </c>
    </row>
    <row r="2832" spans="1:23">
      <c r="A2832">
        <v>3840656873</v>
      </c>
      <c r="B2832">
        <v>57240262</v>
      </c>
      <c r="C2832" s="36" t="s">
        <v>3129</v>
      </c>
      <c r="D2832" s="37">
        <v>42082.35900462963</v>
      </c>
      <c r="E2832" s="37">
        <v>42082.376956018517</v>
      </c>
      <c r="F2832">
        <v>1</v>
      </c>
      <c r="G2832">
        <v>2</v>
      </c>
      <c r="I2832">
        <v>4</v>
      </c>
      <c r="K2832">
        <v>6</v>
      </c>
      <c r="O2832">
        <v>10</v>
      </c>
      <c r="P2832">
        <v>11</v>
      </c>
      <c r="R2832">
        <v>13</v>
      </c>
      <c r="V2832" s="42" t="s">
        <v>3493</v>
      </c>
      <c r="W2832" s="47">
        <v>6</v>
      </c>
    </row>
    <row r="2833" spans="1:23" hidden="1">
      <c r="A2833">
        <v>3840956972</v>
      </c>
      <c r="B2833">
        <v>57240262</v>
      </c>
      <c r="C2833" s="36" t="s">
        <v>3130</v>
      </c>
      <c r="D2833" s="37">
        <v>42082.511770833335</v>
      </c>
      <c r="E2833" s="37">
        <v>42082.520682870374</v>
      </c>
      <c r="H2833">
        <v>3</v>
      </c>
      <c r="L2833">
        <v>7</v>
      </c>
      <c r="W2833" s="47"/>
    </row>
    <row r="2834" spans="1:23">
      <c r="A2834">
        <v>3840984947</v>
      </c>
      <c r="B2834">
        <v>57240262</v>
      </c>
      <c r="C2834" s="36" t="s">
        <v>3131</v>
      </c>
      <c r="D2834" s="37">
        <v>42082.521655092591</v>
      </c>
      <c r="E2834" s="37">
        <v>42082.526064814818</v>
      </c>
      <c r="K2834">
        <v>6</v>
      </c>
      <c r="M2834">
        <v>8</v>
      </c>
      <c r="V2834" s="42" t="s">
        <v>3502</v>
      </c>
      <c r="W2834" s="47">
        <v>6</v>
      </c>
    </row>
    <row r="2835" spans="1:23" hidden="1">
      <c r="A2835">
        <v>3841267490</v>
      </c>
      <c r="B2835">
        <v>57240262</v>
      </c>
      <c r="C2835" s="36" t="s">
        <v>3132</v>
      </c>
      <c r="D2835" s="37">
        <v>42082.601620370369</v>
      </c>
      <c r="E2835" s="37">
        <v>42082.61074074074</v>
      </c>
      <c r="U2835">
        <v>16</v>
      </c>
      <c r="W2835" s="47"/>
    </row>
    <row r="2836" spans="1:23" hidden="1">
      <c r="A2836">
        <v>3841356844</v>
      </c>
      <c r="B2836">
        <v>57240262</v>
      </c>
      <c r="C2836" s="36" t="s">
        <v>3133</v>
      </c>
      <c r="D2836" s="37">
        <v>42082.623171296298</v>
      </c>
      <c r="E2836" s="37">
        <v>42082.62667824074</v>
      </c>
      <c r="F2836">
        <v>1</v>
      </c>
      <c r="K2836">
        <v>6</v>
      </c>
      <c r="W2836" s="47"/>
    </row>
    <row r="2837" spans="1:23">
      <c r="A2837">
        <v>3841511251</v>
      </c>
      <c r="B2837">
        <v>57240262</v>
      </c>
      <c r="C2837" s="36" t="s">
        <v>3134</v>
      </c>
      <c r="D2837" s="37">
        <v>42082.659166666665</v>
      </c>
      <c r="E2837" s="37">
        <v>42082.675092592595</v>
      </c>
      <c r="K2837">
        <v>6</v>
      </c>
      <c r="Q2837">
        <v>12</v>
      </c>
      <c r="V2837" s="42" t="s">
        <v>3503</v>
      </c>
      <c r="W2837" s="47">
        <v>6</v>
      </c>
    </row>
    <row r="2838" spans="1:23" hidden="1">
      <c r="A2838">
        <v>3841728334</v>
      </c>
      <c r="B2838">
        <v>57240262</v>
      </c>
      <c r="C2838" s="36" t="s">
        <v>3135</v>
      </c>
      <c r="D2838" s="37">
        <v>42082.713159722225</v>
      </c>
      <c r="E2838" s="37">
        <v>42082.724456018521</v>
      </c>
      <c r="F2838">
        <v>1</v>
      </c>
      <c r="G2838">
        <v>2</v>
      </c>
      <c r="W2838" s="47"/>
    </row>
    <row r="2839" spans="1:23" hidden="1">
      <c r="A2839">
        <v>3842268591</v>
      </c>
      <c r="B2839">
        <v>57240262</v>
      </c>
      <c r="C2839" s="36" t="s">
        <v>3136</v>
      </c>
      <c r="D2839" s="37">
        <v>42082.854930555557</v>
      </c>
      <c r="E2839" s="37">
        <v>42082.858796296299</v>
      </c>
      <c r="M2839">
        <v>8</v>
      </c>
      <c r="O2839">
        <v>10</v>
      </c>
      <c r="W2839" s="47"/>
    </row>
    <row r="2840" spans="1:23" hidden="1">
      <c r="A2840">
        <v>3842351405</v>
      </c>
      <c r="B2840">
        <v>57240262</v>
      </c>
      <c r="C2840" s="36" t="s">
        <v>3137</v>
      </c>
      <c r="D2840" s="37">
        <v>42082.879016203704</v>
      </c>
      <c r="E2840" s="37">
        <v>42082.910879629628</v>
      </c>
      <c r="O2840">
        <v>10</v>
      </c>
      <c r="W2840" s="47"/>
    </row>
    <row r="2841" spans="1:23">
      <c r="A2841">
        <v>3843120957</v>
      </c>
      <c r="B2841">
        <v>57240262</v>
      </c>
      <c r="C2841" s="36" t="s">
        <v>3138</v>
      </c>
      <c r="D2841" s="37">
        <v>42083.320636574077</v>
      </c>
      <c r="E2841" s="37">
        <v>42083.334074074075</v>
      </c>
      <c r="F2841">
        <v>1</v>
      </c>
      <c r="H2841">
        <v>3</v>
      </c>
      <c r="I2841">
        <v>4</v>
      </c>
      <c r="K2841">
        <v>6</v>
      </c>
      <c r="M2841">
        <v>8</v>
      </c>
      <c r="O2841">
        <v>10</v>
      </c>
      <c r="P2841">
        <v>11</v>
      </c>
      <c r="Q2841">
        <v>12</v>
      </c>
      <c r="V2841" s="42" t="s">
        <v>43</v>
      </c>
      <c r="W2841" s="47">
        <v>4</v>
      </c>
    </row>
    <row r="2842" spans="1:23" hidden="1">
      <c r="A2842">
        <v>3843270890</v>
      </c>
      <c r="B2842">
        <v>57240262</v>
      </c>
      <c r="C2842" s="36" t="s">
        <v>3139</v>
      </c>
      <c r="D2842" s="37">
        <v>42083.425324074073</v>
      </c>
      <c r="E2842" s="37">
        <v>42083.426724537036</v>
      </c>
      <c r="I2842">
        <v>4</v>
      </c>
      <c r="W2842" s="47"/>
    </row>
    <row r="2843" spans="1:23" hidden="1">
      <c r="A2843">
        <v>3843325809</v>
      </c>
      <c r="B2843">
        <v>57240262</v>
      </c>
      <c r="C2843" s="36" t="s">
        <v>3140</v>
      </c>
      <c r="D2843" s="37">
        <v>42083.455636574072</v>
      </c>
      <c r="E2843" s="37">
        <v>42083.459722222222</v>
      </c>
      <c r="H2843">
        <v>3</v>
      </c>
      <c r="W2843" s="47"/>
    </row>
    <row r="2844" spans="1:23" hidden="1">
      <c r="A2844">
        <v>3843442535</v>
      </c>
      <c r="B2844">
        <v>57240262</v>
      </c>
      <c r="C2844" s="36" t="s">
        <v>3141</v>
      </c>
      <c r="D2844" s="37">
        <v>42083.509571759256</v>
      </c>
      <c r="E2844" s="37">
        <v>42083.516608796293</v>
      </c>
      <c r="I2844">
        <v>4</v>
      </c>
      <c r="W2844" s="47"/>
    </row>
    <row r="2845" spans="1:23" hidden="1">
      <c r="A2845">
        <v>3843446324</v>
      </c>
      <c r="B2845">
        <v>57240262</v>
      </c>
      <c r="C2845" s="36" t="s">
        <v>3142</v>
      </c>
      <c r="D2845" s="37">
        <v>42083.511006944442</v>
      </c>
      <c r="E2845" s="37">
        <v>42083.517187500001</v>
      </c>
      <c r="F2845">
        <v>1</v>
      </c>
      <c r="H2845">
        <v>3</v>
      </c>
      <c r="W2845" s="47"/>
    </row>
    <row r="2846" spans="1:23" ht="24">
      <c r="A2846">
        <v>3843530441</v>
      </c>
      <c r="B2846">
        <v>57240262</v>
      </c>
      <c r="C2846" s="36" t="s">
        <v>3143</v>
      </c>
      <c r="D2846" s="37">
        <v>42083.540590277778</v>
      </c>
      <c r="E2846" s="37">
        <v>42083.546759259261</v>
      </c>
      <c r="G2846">
        <v>2</v>
      </c>
      <c r="N2846">
        <v>9</v>
      </c>
      <c r="V2846" s="42" t="s">
        <v>3504</v>
      </c>
      <c r="W2846" s="47">
        <v>2</v>
      </c>
    </row>
    <row r="2847" spans="1:23" hidden="1">
      <c r="A2847">
        <v>3843733419</v>
      </c>
      <c r="B2847">
        <v>57240262</v>
      </c>
      <c r="C2847" s="36" t="s">
        <v>3144</v>
      </c>
      <c r="D2847" s="37">
        <v>42083.596331018518</v>
      </c>
      <c r="E2847" s="37">
        <v>42083.598935185182</v>
      </c>
      <c r="U2847">
        <v>16</v>
      </c>
      <c r="W2847" s="47"/>
    </row>
    <row r="2848" spans="1:23" hidden="1">
      <c r="A2848">
        <v>3843831918</v>
      </c>
      <c r="B2848">
        <v>57240262</v>
      </c>
      <c r="C2848" s="36" t="s">
        <v>3145</v>
      </c>
      <c r="D2848" s="37">
        <v>42083.620578703703</v>
      </c>
      <c r="E2848" s="37">
        <v>42083.623298611114</v>
      </c>
      <c r="H2848">
        <v>3</v>
      </c>
      <c r="W2848" s="47"/>
    </row>
    <row r="2849" spans="1:23" ht="24">
      <c r="A2849">
        <v>3843379517</v>
      </c>
      <c r="B2849">
        <v>57240262</v>
      </c>
      <c r="C2849" s="36" t="s">
        <v>3146</v>
      </c>
      <c r="D2849" s="37">
        <v>42083.482870370368</v>
      </c>
      <c r="E2849" s="37">
        <v>42083.638356481482</v>
      </c>
      <c r="F2849">
        <v>1</v>
      </c>
      <c r="N2849">
        <v>9</v>
      </c>
      <c r="V2849" s="42" t="s">
        <v>3505</v>
      </c>
      <c r="W2849" s="47">
        <v>1</v>
      </c>
    </row>
    <row r="2850" spans="1:23" hidden="1">
      <c r="A2850">
        <v>3844003573</v>
      </c>
      <c r="B2850">
        <v>57240262</v>
      </c>
      <c r="C2850" s="36" t="s">
        <v>3147</v>
      </c>
      <c r="D2850" s="37">
        <v>42083.663807870369</v>
      </c>
      <c r="E2850" s="37">
        <v>42083.684004629627</v>
      </c>
      <c r="G2850">
        <v>2</v>
      </c>
      <c r="W2850" s="47"/>
    </row>
    <row r="2851" spans="1:23" hidden="1">
      <c r="A2851">
        <v>3844079728</v>
      </c>
      <c r="B2851">
        <v>57240262</v>
      </c>
      <c r="C2851" s="36" t="s">
        <v>3148</v>
      </c>
      <c r="D2851" s="37">
        <v>42083.683749999997</v>
      </c>
      <c r="E2851" s="37">
        <v>42083.687268518515</v>
      </c>
      <c r="U2851">
        <v>16</v>
      </c>
      <c r="W2851" s="47"/>
    </row>
    <row r="2852" spans="1:23" ht="24">
      <c r="A2852">
        <v>3844192372</v>
      </c>
      <c r="B2852">
        <v>57240262</v>
      </c>
      <c r="C2852" s="36" t="s">
        <v>3149</v>
      </c>
      <c r="D2852" s="37">
        <v>42083.714803240742</v>
      </c>
      <c r="E2852" s="37">
        <v>42083.724108796298</v>
      </c>
      <c r="F2852">
        <v>1</v>
      </c>
      <c r="G2852">
        <v>2</v>
      </c>
      <c r="H2852">
        <v>3</v>
      </c>
      <c r="O2852">
        <v>10</v>
      </c>
      <c r="R2852">
        <v>13</v>
      </c>
      <c r="V2852" s="42" t="s">
        <v>3506</v>
      </c>
      <c r="W2852" s="47">
        <v>2</v>
      </c>
    </row>
    <row r="2853" spans="1:23" hidden="1">
      <c r="A2853">
        <v>3844214209</v>
      </c>
      <c r="B2853">
        <v>57240262</v>
      </c>
      <c r="C2853" s="36" t="s">
        <v>3150</v>
      </c>
      <c r="D2853" s="37">
        <v>42083.721145833333</v>
      </c>
      <c r="E2853" s="37">
        <v>42083.724907407406</v>
      </c>
      <c r="U2853">
        <v>16</v>
      </c>
      <c r="W2853" s="47"/>
    </row>
    <row r="2854" spans="1:23">
      <c r="A2854">
        <v>3844529898</v>
      </c>
      <c r="B2854">
        <v>57240262</v>
      </c>
      <c r="C2854" s="36" t="s">
        <v>3151</v>
      </c>
      <c r="D2854" s="37">
        <v>42083.815995370373</v>
      </c>
      <c r="E2854" s="37">
        <v>42083.827986111108</v>
      </c>
      <c r="G2854">
        <v>2</v>
      </c>
      <c r="J2854">
        <v>5</v>
      </c>
      <c r="K2854">
        <v>6</v>
      </c>
      <c r="M2854">
        <v>8</v>
      </c>
      <c r="V2854" s="42" t="s">
        <v>231</v>
      </c>
      <c r="W2854" s="47">
        <v>6</v>
      </c>
    </row>
    <row r="2855" spans="1:23" hidden="1">
      <c r="A2855">
        <v>3844601758</v>
      </c>
      <c r="B2855">
        <v>57240262</v>
      </c>
      <c r="C2855" s="36" t="s">
        <v>3152</v>
      </c>
      <c r="D2855" s="37">
        <v>42083.839467592596</v>
      </c>
      <c r="E2855" s="37">
        <v>42083.843449074076</v>
      </c>
      <c r="U2855">
        <v>16</v>
      </c>
      <c r="W2855" s="47"/>
    </row>
    <row r="2856" spans="1:23" hidden="1">
      <c r="A2856">
        <v>3844630047</v>
      </c>
      <c r="B2856">
        <v>57240262</v>
      </c>
      <c r="C2856" s="36" t="s">
        <v>3153</v>
      </c>
      <c r="D2856" s="37">
        <v>42083.848726851851</v>
      </c>
      <c r="E2856" s="37">
        <v>42083.850069444445</v>
      </c>
      <c r="G2856">
        <v>2</v>
      </c>
      <c r="W2856" s="47"/>
    </row>
    <row r="2857" spans="1:23" hidden="1">
      <c r="A2857">
        <v>3844635547</v>
      </c>
      <c r="B2857">
        <v>57240262</v>
      </c>
      <c r="C2857" s="36" t="s">
        <v>3154</v>
      </c>
      <c r="D2857" s="37">
        <v>42083.851006944446</v>
      </c>
      <c r="E2857" s="37">
        <v>42083.856273148151</v>
      </c>
      <c r="G2857">
        <v>2</v>
      </c>
      <c r="W2857" s="47"/>
    </row>
    <row r="2858" spans="1:23" hidden="1">
      <c r="A2858">
        <v>3844687486</v>
      </c>
      <c r="B2858">
        <v>57240262</v>
      </c>
      <c r="C2858" s="36" t="s">
        <v>3155</v>
      </c>
      <c r="D2858" s="37">
        <v>42083.869166666664</v>
      </c>
      <c r="E2858" s="37">
        <v>42083.872604166667</v>
      </c>
      <c r="U2858">
        <v>16</v>
      </c>
      <c r="W2858" s="47"/>
    </row>
    <row r="2859" spans="1:23" hidden="1">
      <c r="A2859">
        <v>3844678773</v>
      </c>
      <c r="B2859">
        <v>57240262</v>
      </c>
      <c r="C2859" s="36" t="s">
        <v>3156</v>
      </c>
      <c r="D2859" s="37">
        <v>42083.865717592591</v>
      </c>
      <c r="E2859" s="37">
        <v>42083.873194444444</v>
      </c>
      <c r="F2859">
        <v>1</v>
      </c>
      <c r="N2859">
        <v>9</v>
      </c>
      <c r="W2859" s="47"/>
    </row>
    <row r="2860" spans="1:23" hidden="1">
      <c r="A2860">
        <v>3844686096</v>
      </c>
      <c r="B2860">
        <v>57240262</v>
      </c>
      <c r="C2860" s="36" t="s">
        <v>3157</v>
      </c>
      <c r="D2860" s="37">
        <v>42083.868587962963</v>
      </c>
      <c r="E2860" s="37">
        <v>42083.873310185183</v>
      </c>
      <c r="U2860">
        <v>16</v>
      </c>
      <c r="W2860" s="47"/>
    </row>
    <row r="2861" spans="1:23" hidden="1">
      <c r="A2861">
        <v>3844689413</v>
      </c>
      <c r="B2861">
        <v>57240262</v>
      </c>
      <c r="C2861" s="36" t="s">
        <v>3158</v>
      </c>
      <c r="D2861" s="37">
        <v>42083.86991898148</v>
      </c>
      <c r="E2861" s="37">
        <v>42083.875578703701</v>
      </c>
      <c r="K2861">
        <v>6</v>
      </c>
      <c r="W2861" s="47"/>
    </row>
    <row r="2862" spans="1:23" hidden="1">
      <c r="A2862">
        <v>3844692021</v>
      </c>
      <c r="B2862">
        <v>57240262</v>
      </c>
      <c r="C2862" s="36" t="s">
        <v>3159</v>
      </c>
      <c r="D2862" s="37">
        <v>42083.870567129627</v>
      </c>
      <c r="E2862" s="37">
        <v>42083.875763888886</v>
      </c>
      <c r="U2862">
        <v>16</v>
      </c>
      <c r="W2862" s="47"/>
    </row>
    <row r="2863" spans="1:23">
      <c r="A2863">
        <v>3844681786</v>
      </c>
      <c r="B2863">
        <v>57240262</v>
      </c>
      <c r="C2863" s="36" t="s">
        <v>3160</v>
      </c>
      <c r="D2863" s="37">
        <v>42083.866331018522</v>
      </c>
      <c r="E2863" s="37">
        <v>42083.877569444441</v>
      </c>
      <c r="F2863">
        <v>1</v>
      </c>
      <c r="R2863">
        <v>13</v>
      </c>
      <c r="V2863" s="42" t="s">
        <v>174</v>
      </c>
      <c r="W2863" s="47">
        <v>13</v>
      </c>
    </row>
    <row r="2864" spans="1:23" hidden="1">
      <c r="A2864">
        <v>3844697692</v>
      </c>
      <c r="B2864">
        <v>57240262</v>
      </c>
      <c r="C2864" s="36" t="s">
        <v>3161</v>
      </c>
      <c r="D2864" s="37">
        <v>42083.872858796298</v>
      </c>
      <c r="E2864" s="37">
        <v>42083.878842592596</v>
      </c>
      <c r="U2864">
        <v>16</v>
      </c>
      <c r="W2864" s="47"/>
    </row>
    <row r="2865" spans="1:23" hidden="1">
      <c r="A2865">
        <v>3844707343</v>
      </c>
      <c r="B2865">
        <v>57240262</v>
      </c>
      <c r="C2865" s="36" t="s">
        <v>3162</v>
      </c>
      <c r="D2865" s="37">
        <v>42083.876481481479</v>
      </c>
      <c r="E2865" s="37">
        <v>42083.881099537037</v>
      </c>
      <c r="J2865">
        <v>5</v>
      </c>
      <c r="O2865">
        <v>10</v>
      </c>
      <c r="Q2865">
        <v>12</v>
      </c>
      <c r="W2865" s="47"/>
    </row>
    <row r="2866" spans="1:23" hidden="1">
      <c r="A2866">
        <v>3844721049</v>
      </c>
      <c r="B2866">
        <v>57240262</v>
      </c>
      <c r="C2866" s="36" t="s">
        <v>3163</v>
      </c>
      <c r="D2866" s="37">
        <v>42083.881990740738</v>
      </c>
      <c r="E2866" s="37">
        <v>42083.889432870368</v>
      </c>
      <c r="F2866">
        <v>1</v>
      </c>
      <c r="W2866" s="47"/>
    </row>
    <row r="2867" spans="1:23" hidden="1">
      <c r="A2867">
        <v>3844739661</v>
      </c>
      <c r="B2867">
        <v>57240262</v>
      </c>
      <c r="C2867" s="36" t="s">
        <v>3164</v>
      </c>
      <c r="D2867" s="37">
        <v>42083.889409722222</v>
      </c>
      <c r="E2867" s="37">
        <v>42083.892326388886</v>
      </c>
      <c r="U2867">
        <v>16</v>
      </c>
      <c r="W2867" s="47"/>
    </row>
    <row r="2868" spans="1:23" hidden="1">
      <c r="A2868">
        <v>3844736700</v>
      </c>
      <c r="B2868">
        <v>57240262</v>
      </c>
      <c r="C2868" s="36" t="s">
        <v>3165</v>
      </c>
      <c r="D2868" s="37">
        <v>42083.88826388889</v>
      </c>
      <c r="E2868" s="37">
        <v>42083.893773148149</v>
      </c>
      <c r="U2868">
        <v>16</v>
      </c>
      <c r="W2868" s="47"/>
    </row>
    <row r="2869" spans="1:23" hidden="1">
      <c r="A2869">
        <v>3844743545</v>
      </c>
      <c r="B2869">
        <v>57240262</v>
      </c>
      <c r="C2869" s="36" t="s">
        <v>3166</v>
      </c>
      <c r="D2869" s="37">
        <v>42083.891018518516</v>
      </c>
      <c r="E2869" s="37">
        <v>42083.894016203703</v>
      </c>
      <c r="Q2869">
        <v>12</v>
      </c>
      <c r="W2869" s="47"/>
    </row>
    <row r="2870" spans="1:23">
      <c r="A2870">
        <v>3844762995</v>
      </c>
      <c r="B2870">
        <v>57240262</v>
      </c>
      <c r="C2870" s="36" t="s">
        <v>3167</v>
      </c>
      <c r="D2870" s="37">
        <v>42083.898831018516</v>
      </c>
      <c r="E2870" s="37">
        <v>42083.901898148149</v>
      </c>
      <c r="I2870">
        <v>4</v>
      </c>
      <c r="J2870">
        <v>5</v>
      </c>
      <c r="N2870">
        <v>9</v>
      </c>
      <c r="P2870">
        <v>11</v>
      </c>
      <c r="V2870" s="42" t="s">
        <v>79</v>
      </c>
      <c r="W2870" s="47">
        <v>11</v>
      </c>
    </row>
    <row r="2871" spans="1:23" hidden="1">
      <c r="A2871">
        <v>3844788358</v>
      </c>
      <c r="B2871">
        <v>57240262</v>
      </c>
      <c r="C2871" s="36" t="s">
        <v>3168</v>
      </c>
      <c r="D2871" s="37">
        <v>42083.909560185188</v>
      </c>
      <c r="E2871" s="37">
        <v>42083.913680555554</v>
      </c>
      <c r="U2871">
        <v>16</v>
      </c>
      <c r="W2871" s="47"/>
    </row>
    <row r="2872" spans="1:23" hidden="1">
      <c r="A2872">
        <v>3844830216</v>
      </c>
      <c r="B2872">
        <v>57240262</v>
      </c>
      <c r="C2872" s="36" t="s">
        <v>3169</v>
      </c>
      <c r="D2872" s="37">
        <v>42083.929039351853</v>
      </c>
      <c r="E2872" s="37">
        <v>42083.935208333336</v>
      </c>
      <c r="I2872">
        <v>4</v>
      </c>
      <c r="K2872">
        <v>6</v>
      </c>
      <c r="N2872">
        <v>9</v>
      </c>
      <c r="W2872" s="47"/>
    </row>
    <row r="2873" spans="1:23" hidden="1">
      <c r="A2873">
        <v>3844842144</v>
      </c>
      <c r="B2873">
        <v>57240262</v>
      </c>
      <c r="C2873" s="36" t="s">
        <v>3170</v>
      </c>
      <c r="D2873" s="37">
        <v>42083.934895833336</v>
      </c>
      <c r="E2873" s="37">
        <v>42083.938645833332</v>
      </c>
      <c r="U2873">
        <v>16</v>
      </c>
      <c r="W2873" s="47"/>
    </row>
    <row r="2874" spans="1:23" hidden="1">
      <c r="A2874">
        <v>3844854216</v>
      </c>
      <c r="B2874">
        <v>57240262</v>
      </c>
      <c r="C2874" s="36" t="s">
        <v>3171</v>
      </c>
      <c r="D2874" s="37">
        <v>42083.940937500003</v>
      </c>
      <c r="E2874" s="37">
        <v>42083.944548611114</v>
      </c>
      <c r="U2874">
        <v>16</v>
      </c>
      <c r="W2874" s="47"/>
    </row>
    <row r="2875" spans="1:23" hidden="1">
      <c r="A2875">
        <v>3844851139</v>
      </c>
      <c r="B2875">
        <v>57240262</v>
      </c>
      <c r="C2875" s="36" t="s">
        <v>3172</v>
      </c>
      <c r="D2875" s="37">
        <v>42083.939097222225</v>
      </c>
      <c r="E2875" s="37">
        <v>42083.956701388888</v>
      </c>
      <c r="F2875">
        <v>1</v>
      </c>
      <c r="G2875">
        <v>2</v>
      </c>
      <c r="O2875">
        <v>10</v>
      </c>
      <c r="W2875" s="47"/>
    </row>
    <row r="2876" spans="1:23">
      <c r="A2876">
        <v>3845019097</v>
      </c>
      <c r="B2876">
        <v>57240262</v>
      </c>
      <c r="C2876" s="36" t="s">
        <v>3173</v>
      </c>
      <c r="D2876" s="37">
        <v>42084.045312499999</v>
      </c>
      <c r="E2876" s="37">
        <v>42084.055266203701</v>
      </c>
      <c r="G2876">
        <v>2</v>
      </c>
      <c r="I2876">
        <v>4</v>
      </c>
      <c r="S2876">
        <v>14</v>
      </c>
      <c r="V2876" s="42" t="s">
        <v>3507</v>
      </c>
      <c r="W2876" s="47">
        <v>14</v>
      </c>
    </row>
    <row r="2877" spans="1:23" ht="24">
      <c r="A2877">
        <v>3845016333</v>
      </c>
      <c r="B2877">
        <v>57240262</v>
      </c>
      <c r="C2877" s="36" t="s">
        <v>3174</v>
      </c>
      <c r="D2877" s="37">
        <v>42084.043576388889</v>
      </c>
      <c r="E2877" s="37">
        <v>42084.055960648147</v>
      </c>
      <c r="F2877">
        <v>1</v>
      </c>
      <c r="G2877">
        <v>2</v>
      </c>
      <c r="R2877">
        <v>13</v>
      </c>
      <c r="V2877" s="42" t="s">
        <v>3508</v>
      </c>
      <c r="W2877" s="47">
        <v>2</v>
      </c>
    </row>
    <row r="2878" spans="1:23" hidden="1">
      <c r="A2878">
        <v>3845032430</v>
      </c>
      <c r="B2878">
        <v>57240262</v>
      </c>
      <c r="C2878" s="36" t="s">
        <v>3175</v>
      </c>
      <c r="D2878" s="37">
        <v>42084.05605324074</v>
      </c>
      <c r="E2878" s="37">
        <v>42084.07234953704</v>
      </c>
      <c r="F2878">
        <v>1</v>
      </c>
      <c r="G2878">
        <v>2</v>
      </c>
      <c r="M2878">
        <v>8</v>
      </c>
      <c r="O2878">
        <v>10</v>
      </c>
      <c r="R2878">
        <v>13</v>
      </c>
      <c r="W2878" s="47"/>
    </row>
    <row r="2879" spans="1:23" hidden="1">
      <c r="A2879">
        <v>3845044775</v>
      </c>
      <c r="B2879">
        <v>57240262</v>
      </c>
      <c r="C2879" s="36" t="s">
        <v>3176</v>
      </c>
      <c r="D2879" s="37">
        <v>42084.06590277778</v>
      </c>
      <c r="E2879" s="37">
        <v>42084.073472222219</v>
      </c>
      <c r="G2879">
        <v>2</v>
      </c>
      <c r="W2879" s="47"/>
    </row>
    <row r="2880" spans="1:23">
      <c r="A2880">
        <v>3845053920</v>
      </c>
      <c r="B2880">
        <v>57240262</v>
      </c>
      <c r="C2880" s="36" t="s">
        <v>3177</v>
      </c>
      <c r="D2880" s="37">
        <v>42084.073113425926</v>
      </c>
      <c r="E2880" s="37">
        <v>42084.087685185186</v>
      </c>
      <c r="G2880">
        <v>2</v>
      </c>
      <c r="K2880">
        <v>6</v>
      </c>
      <c r="O2880">
        <v>10</v>
      </c>
      <c r="V2880" s="42" t="s">
        <v>34</v>
      </c>
      <c r="W2880" s="47">
        <v>6</v>
      </c>
    </row>
    <row r="2881" spans="1:23" hidden="1">
      <c r="A2881">
        <v>3845347630</v>
      </c>
      <c r="B2881">
        <v>57240262</v>
      </c>
      <c r="C2881" s="36" t="s">
        <v>3178</v>
      </c>
      <c r="D2881" s="37">
        <v>42084.285983796297</v>
      </c>
      <c r="E2881" s="37">
        <v>42084.288819444446</v>
      </c>
      <c r="U2881">
        <v>16</v>
      </c>
      <c r="W2881" s="47"/>
    </row>
    <row r="2882" spans="1:23">
      <c r="A2882">
        <v>3845346008</v>
      </c>
      <c r="B2882">
        <v>57240262</v>
      </c>
      <c r="C2882" s="36" t="s">
        <v>3179</v>
      </c>
      <c r="D2882" s="37">
        <v>42084.285185185188</v>
      </c>
      <c r="E2882" s="37">
        <v>42084.293680555558</v>
      </c>
      <c r="G2882">
        <v>2</v>
      </c>
      <c r="O2882">
        <v>10</v>
      </c>
      <c r="V2882" s="42" t="s">
        <v>3509</v>
      </c>
      <c r="W2882" s="47">
        <v>2</v>
      </c>
    </row>
    <row r="2883" spans="1:23" hidden="1">
      <c r="A2883">
        <v>3845421178</v>
      </c>
      <c r="B2883">
        <v>57240262</v>
      </c>
      <c r="C2883" s="36" t="s">
        <v>3180</v>
      </c>
      <c r="D2883" s="37">
        <v>42084.324953703705</v>
      </c>
      <c r="E2883" s="37">
        <v>42084.330706018518</v>
      </c>
      <c r="U2883">
        <v>16</v>
      </c>
      <c r="W2883" s="47"/>
    </row>
    <row r="2884" spans="1:23" hidden="1">
      <c r="A2884">
        <v>3845440846</v>
      </c>
      <c r="B2884">
        <v>57240262</v>
      </c>
      <c r="C2884" s="36" t="s">
        <v>3181</v>
      </c>
      <c r="D2884" s="37">
        <v>42084.33489583333</v>
      </c>
      <c r="E2884" s="37">
        <v>42084.336400462962</v>
      </c>
      <c r="O2884">
        <v>10</v>
      </c>
      <c r="W2884" s="47"/>
    </row>
    <row r="2885" spans="1:23" hidden="1">
      <c r="A2885">
        <v>3845469081</v>
      </c>
      <c r="B2885">
        <v>57240262</v>
      </c>
      <c r="C2885" s="36" t="s">
        <v>3182</v>
      </c>
      <c r="D2885" s="37">
        <v>42084.349224537036</v>
      </c>
      <c r="E2885" s="37">
        <v>42084.355000000003</v>
      </c>
      <c r="U2885">
        <v>16</v>
      </c>
      <c r="W2885" s="47"/>
    </row>
    <row r="2886" spans="1:23">
      <c r="A2886">
        <v>3845523667</v>
      </c>
      <c r="B2886">
        <v>57240262</v>
      </c>
      <c r="C2886" s="36" t="s">
        <v>3183</v>
      </c>
      <c r="D2886" s="37">
        <v>42084.377743055556</v>
      </c>
      <c r="E2886" s="37">
        <v>42084.394976851851</v>
      </c>
      <c r="F2886">
        <v>1</v>
      </c>
      <c r="G2886">
        <v>2</v>
      </c>
      <c r="I2886">
        <v>4</v>
      </c>
      <c r="O2886">
        <v>10</v>
      </c>
      <c r="P2886">
        <v>11</v>
      </c>
      <c r="V2886" s="42" t="s">
        <v>84</v>
      </c>
      <c r="W2886" s="47">
        <v>1</v>
      </c>
    </row>
    <row r="2887" spans="1:23">
      <c r="A2887">
        <v>3845536053</v>
      </c>
      <c r="B2887">
        <v>57240262</v>
      </c>
      <c r="C2887" s="36" t="s">
        <v>3184</v>
      </c>
      <c r="D2887" s="37">
        <v>42084.384826388887</v>
      </c>
      <c r="E2887" s="37">
        <v>42084.396354166667</v>
      </c>
      <c r="I2887">
        <v>4</v>
      </c>
      <c r="K2887">
        <v>6</v>
      </c>
      <c r="O2887">
        <v>10</v>
      </c>
      <c r="P2887">
        <v>11</v>
      </c>
      <c r="V2887" s="42" t="s">
        <v>3510</v>
      </c>
      <c r="W2887" s="47">
        <v>4</v>
      </c>
    </row>
    <row r="2888" spans="1:23" hidden="1">
      <c r="A2888">
        <v>3845570073</v>
      </c>
      <c r="B2888">
        <v>57240262</v>
      </c>
      <c r="C2888" s="36" t="s">
        <v>3185</v>
      </c>
      <c r="D2888" s="37">
        <v>42084.419976851852</v>
      </c>
      <c r="E2888" s="37">
        <v>42084.42690972222</v>
      </c>
      <c r="O2888">
        <v>10</v>
      </c>
      <c r="W2888" s="47"/>
    </row>
    <row r="2889" spans="1:23" hidden="1">
      <c r="A2889">
        <v>3845579802</v>
      </c>
      <c r="B2889">
        <v>57240262</v>
      </c>
      <c r="C2889" s="36" t="s">
        <v>3186</v>
      </c>
      <c r="D2889" s="37">
        <v>42084.43072916667</v>
      </c>
      <c r="E2889" s="37">
        <v>42084.433993055558</v>
      </c>
      <c r="U2889">
        <v>16</v>
      </c>
      <c r="W2889" s="47"/>
    </row>
    <row r="2890" spans="1:23" hidden="1">
      <c r="A2890">
        <v>3845584609</v>
      </c>
      <c r="B2890">
        <v>57240262</v>
      </c>
      <c r="C2890" s="36" t="s">
        <v>3187</v>
      </c>
      <c r="D2890" s="37">
        <v>42084.435763888891</v>
      </c>
      <c r="E2890" s="37">
        <v>42084.436724537038</v>
      </c>
      <c r="U2890">
        <v>16</v>
      </c>
      <c r="W2890" s="47"/>
    </row>
    <row r="2891" spans="1:23">
      <c r="A2891">
        <v>3845582827</v>
      </c>
      <c r="B2891">
        <v>57240262</v>
      </c>
      <c r="C2891" s="36" t="s">
        <v>3188</v>
      </c>
      <c r="D2891" s="37">
        <v>42084.433923611112</v>
      </c>
      <c r="E2891" s="37">
        <v>42084.441469907404</v>
      </c>
      <c r="F2891">
        <v>1</v>
      </c>
      <c r="O2891">
        <v>10</v>
      </c>
      <c r="V2891" s="42" t="s">
        <v>3511</v>
      </c>
      <c r="W2891" s="47">
        <v>10</v>
      </c>
    </row>
    <row r="2892" spans="1:23" hidden="1">
      <c r="A2892">
        <v>3845607472</v>
      </c>
      <c r="B2892">
        <v>57240262</v>
      </c>
      <c r="C2892" s="36" t="s">
        <v>3189</v>
      </c>
      <c r="D2892" s="37">
        <v>42084.459629629629</v>
      </c>
      <c r="E2892" s="37">
        <v>42084.463310185187</v>
      </c>
      <c r="U2892">
        <v>16</v>
      </c>
      <c r="W2892" s="47"/>
    </row>
    <row r="2893" spans="1:23" hidden="1">
      <c r="A2893">
        <v>3845618187</v>
      </c>
      <c r="B2893">
        <v>57240262</v>
      </c>
      <c r="C2893" s="36" t="s">
        <v>3190</v>
      </c>
      <c r="D2893" s="37">
        <v>42084.460833333331</v>
      </c>
      <c r="E2893" s="37">
        <v>42084.47446759259</v>
      </c>
      <c r="U2893">
        <v>16</v>
      </c>
      <c r="W2893" s="47"/>
    </row>
    <row r="2894" spans="1:23" hidden="1">
      <c r="A2894">
        <v>3845698053</v>
      </c>
      <c r="B2894">
        <v>57240262</v>
      </c>
      <c r="C2894" s="36" t="s">
        <v>3191</v>
      </c>
      <c r="D2894" s="37">
        <v>42084.539849537039</v>
      </c>
      <c r="E2894" s="37">
        <v>42084.540393518517</v>
      </c>
      <c r="W2894" s="47"/>
    </row>
    <row r="2895" spans="1:23" hidden="1">
      <c r="A2895">
        <v>3845704998</v>
      </c>
      <c r="B2895">
        <v>57240262</v>
      </c>
      <c r="C2895" s="36" t="s">
        <v>3192</v>
      </c>
      <c r="D2895" s="37">
        <v>42084.545034722221</v>
      </c>
      <c r="E2895" s="37">
        <v>42084.545590277776</v>
      </c>
      <c r="W2895" s="47"/>
    </row>
    <row r="2896" spans="1:23" hidden="1">
      <c r="A2896">
        <v>3845709986</v>
      </c>
      <c r="B2896">
        <v>57240262</v>
      </c>
      <c r="C2896" s="36" t="s">
        <v>3193</v>
      </c>
      <c r="D2896" s="37">
        <v>42084.548449074071</v>
      </c>
      <c r="E2896" s="37">
        <v>42084.549212962964</v>
      </c>
      <c r="W2896" s="47"/>
    </row>
    <row r="2897" spans="1:23">
      <c r="A2897">
        <v>3845708283</v>
      </c>
      <c r="B2897">
        <v>57240262</v>
      </c>
      <c r="C2897" s="36" t="s">
        <v>3194</v>
      </c>
      <c r="D2897" s="37">
        <v>42084.547476851854</v>
      </c>
      <c r="E2897" s="37">
        <v>42084.55364583333</v>
      </c>
      <c r="I2897">
        <v>4</v>
      </c>
      <c r="J2897">
        <v>5</v>
      </c>
      <c r="K2897">
        <v>6</v>
      </c>
      <c r="V2897" s="42" t="s">
        <v>3512</v>
      </c>
      <c r="W2897" s="47">
        <v>5</v>
      </c>
    </row>
    <row r="2898" spans="1:23" hidden="1">
      <c r="A2898">
        <v>3845729674</v>
      </c>
      <c r="B2898">
        <v>57240262</v>
      </c>
      <c r="C2898" s="36" t="s">
        <v>3195</v>
      </c>
      <c r="D2898" s="37">
        <v>42084.562638888892</v>
      </c>
      <c r="E2898" s="37">
        <v>42084.568391203706</v>
      </c>
      <c r="G2898">
        <v>2</v>
      </c>
      <c r="W2898" s="47"/>
    </row>
    <row r="2899" spans="1:23" hidden="1">
      <c r="A2899">
        <v>3846040018</v>
      </c>
      <c r="B2899">
        <v>57240262</v>
      </c>
      <c r="C2899" s="36" t="s">
        <v>3196</v>
      </c>
      <c r="D2899" s="37">
        <v>42084.767858796295</v>
      </c>
      <c r="E2899" s="37">
        <v>42084.772314814814</v>
      </c>
      <c r="M2899">
        <v>8</v>
      </c>
      <c r="W2899" s="47"/>
    </row>
    <row r="2900" spans="1:23" hidden="1">
      <c r="A2900">
        <v>3846042486</v>
      </c>
      <c r="B2900">
        <v>57240262</v>
      </c>
      <c r="C2900" s="36" t="s">
        <v>3197</v>
      </c>
      <c r="D2900" s="37">
        <v>42084.769548611112</v>
      </c>
      <c r="E2900" s="37">
        <v>42084.774386574078</v>
      </c>
      <c r="U2900">
        <v>16</v>
      </c>
      <c r="W2900" s="47"/>
    </row>
    <row r="2901" spans="1:23" hidden="1">
      <c r="A2901">
        <v>3846042691</v>
      </c>
      <c r="B2901">
        <v>57240262</v>
      </c>
      <c r="C2901" s="36" t="s">
        <v>3198</v>
      </c>
      <c r="D2901" s="37">
        <v>42084.769884259258</v>
      </c>
      <c r="E2901" s="37">
        <v>42084.77480324074</v>
      </c>
      <c r="G2901">
        <v>2</v>
      </c>
      <c r="W2901" s="47"/>
    </row>
    <row r="2902" spans="1:23" hidden="1">
      <c r="A2902">
        <v>3846040925</v>
      </c>
      <c r="B2902">
        <v>57240262</v>
      </c>
      <c r="C2902" s="36" t="s">
        <v>3199</v>
      </c>
      <c r="D2902" s="37">
        <v>42084.768587962964</v>
      </c>
      <c r="E2902" s="37">
        <v>42084.777094907404</v>
      </c>
      <c r="O2902">
        <v>10</v>
      </c>
      <c r="W2902" s="47"/>
    </row>
    <row r="2903" spans="1:23" hidden="1">
      <c r="A2903">
        <v>3846041347</v>
      </c>
      <c r="B2903">
        <v>57240262</v>
      </c>
      <c r="C2903" s="36" t="s">
        <v>3200</v>
      </c>
      <c r="D2903" s="37">
        <v>42084.76871527778</v>
      </c>
      <c r="E2903" s="37">
        <v>42084.781157407408</v>
      </c>
      <c r="G2903">
        <v>2</v>
      </c>
      <c r="W2903" s="47"/>
    </row>
    <row r="2904" spans="1:23" hidden="1">
      <c r="A2904">
        <v>3846050048</v>
      </c>
      <c r="B2904">
        <v>57240262</v>
      </c>
      <c r="C2904" s="36" t="s">
        <v>3201</v>
      </c>
      <c r="D2904" s="37">
        <v>42084.775243055556</v>
      </c>
      <c r="E2904" s="37">
        <v>42084.781643518516</v>
      </c>
      <c r="Q2904">
        <v>12</v>
      </c>
      <c r="W2904" s="47"/>
    </row>
    <row r="2905" spans="1:23" hidden="1">
      <c r="A2905">
        <v>3846054802</v>
      </c>
      <c r="B2905">
        <v>57240262</v>
      </c>
      <c r="C2905" s="36" t="s">
        <v>3202</v>
      </c>
      <c r="D2905" s="37">
        <v>42084.778784722221</v>
      </c>
      <c r="E2905" s="37">
        <v>42084.783877314818</v>
      </c>
      <c r="U2905">
        <v>16</v>
      </c>
      <c r="W2905" s="47"/>
    </row>
    <row r="2906" spans="1:23" hidden="1">
      <c r="A2906">
        <v>3846041362</v>
      </c>
      <c r="B2906">
        <v>57240262</v>
      </c>
      <c r="C2906" s="36" t="s">
        <v>3203</v>
      </c>
      <c r="D2906" s="37">
        <v>42084.768958333334</v>
      </c>
      <c r="E2906" s="37">
        <v>42084.784305555557</v>
      </c>
      <c r="F2906">
        <v>1</v>
      </c>
      <c r="G2906">
        <v>2</v>
      </c>
      <c r="M2906">
        <v>8</v>
      </c>
      <c r="O2906">
        <v>10</v>
      </c>
      <c r="Q2906">
        <v>12</v>
      </c>
      <c r="W2906" s="47"/>
    </row>
    <row r="2907" spans="1:23" ht="24">
      <c r="A2907">
        <v>3846081991</v>
      </c>
      <c r="B2907">
        <v>57240262</v>
      </c>
      <c r="C2907" s="36" t="s">
        <v>3204</v>
      </c>
      <c r="D2907" s="37">
        <v>42084.798217592594</v>
      </c>
      <c r="E2907" s="37">
        <v>42084.805567129632</v>
      </c>
      <c r="J2907">
        <v>5</v>
      </c>
      <c r="Q2907">
        <v>12</v>
      </c>
      <c r="V2907" s="42" t="s">
        <v>3513</v>
      </c>
      <c r="W2907" s="47">
        <v>5</v>
      </c>
    </row>
    <row r="2908" spans="1:23" hidden="1">
      <c r="A2908">
        <v>3846097764</v>
      </c>
      <c r="B2908">
        <v>57240262</v>
      </c>
      <c r="C2908" s="36" t="s">
        <v>3205</v>
      </c>
      <c r="D2908" s="37">
        <v>42084.810034722221</v>
      </c>
      <c r="E2908" s="37">
        <v>42084.810624999998</v>
      </c>
      <c r="W2908" s="47"/>
    </row>
    <row r="2909" spans="1:23">
      <c r="A2909">
        <v>3846100551</v>
      </c>
      <c r="B2909">
        <v>57240262</v>
      </c>
      <c r="C2909" s="36" t="s">
        <v>3206</v>
      </c>
      <c r="D2909" s="37">
        <v>42084.812361111108</v>
      </c>
      <c r="E2909" s="37">
        <v>42084.820972222224</v>
      </c>
      <c r="F2909">
        <v>1</v>
      </c>
      <c r="L2909">
        <v>7</v>
      </c>
      <c r="V2909" s="42" t="s">
        <v>3514</v>
      </c>
      <c r="W2909" s="47">
        <v>7</v>
      </c>
    </row>
    <row r="2910" spans="1:23" hidden="1">
      <c r="A2910">
        <v>3846101735</v>
      </c>
      <c r="B2910">
        <v>57240262</v>
      </c>
      <c r="C2910" s="36" t="s">
        <v>3207</v>
      </c>
      <c r="D2910" s="37">
        <v>42084.813113425924</v>
      </c>
      <c r="E2910" s="37">
        <v>42084.825104166666</v>
      </c>
      <c r="K2910">
        <v>6</v>
      </c>
      <c r="W2910" s="47"/>
    </row>
    <row r="2911" spans="1:23" hidden="1">
      <c r="A2911">
        <v>3846124829</v>
      </c>
      <c r="B2911">
        <v>57240262</v>
      </c>
      <c r="C2911" s="36" t="s">
        <v>3208</v>
      </c>
      <c r="D2911" s="37">
        <v>42084.830439814818</v>
      </c>
      <c r="E2911" s="37">
        <v>42084.832060185188</v>
      </c>
      <c r="F2911">
        <v>1</v>
      </c>
      <c r="W2911" s="47"/>
    </row>
    <row r="2912" spans="1:23" hidden="1">
      <c r="A2912">
        <v>3846154304</v>
      </c>
      <c r="B2912">
        <v>57240262</v>
      </c>
      <c r="C2912" s="36" t="s">
        <v>3209</v>
      </c>
      <c r="D2912" s="37">
        <v>42084.85255787037</v>
      </c>
      <c r="E2912" s="37">
        <v>42084.857523148145</v>
      </c>
      <c r="H2912">
        <v>3</v>
      </c>
      <c r="Q2912">
        <v>12</v>
      </c>
      <c r="W2912" s="47"/>
    </row>
    <row r="2913" spans="1:23">
      <c r="A2913">
        <v>3846216384</v>
      </c>
      <c r="B2913">
        <v>57240262</v>
      </c>
      <c r="C2913" s="36" t="s">
        <v>3210</v>
      </c>
      <c r="D2913" s="37">
        <v>42084.907256944447</v>
      </c>
      <c r="E2913" s="37">
        <v>42084.913182870368</v>
      </c>
      <c r="H2913">
        <v>3</v>
      </c>
      <c r="N2913">
        <v>9</v>
      </c>
      <c r="V2913" s="42" t="s">
        <v>91</v>
      </c>
      <c r="W2913" s="47">
        <v>9</v>
      </c>
    </row>
    <row r="2914" spans="1:23" hidden="1">
      <c r="A2914">
        <v>3846219217</v>
      </c>
      <c r="B2914">
        <v>57240262</v>
      </c>
      <c r="C2914" s="36" t="s">
        <v>3211</v>
      </c>
      <c r="D2914" s="37">
        <v>42084.909270833334</v>
      </c>
      <c r="E2914" s="37">
        <v>42084.914652777778</v>
      </c>
      <c r="U2914">
        <v>16</v>
      </c>
      <c r="W2914" s="47"/>
    </row>
    <row r="2915" spans="1:23" hidden="1">
      <c r="A2915">
        <v>3846237969</v>
      </c>
      <c r="B2915">
        <v>57240262</v>
      </c>
      <c r="C2915" s="36" t="s">
        <v>3212</v>
      </c>
      <c r="D2915" s="37">
        <v>42084.927662037036</v>
      </c>
      <c r="E2915" s="37">
        <v>42084.930937500001</v>
      </c>
      <c r="F2915">
        <v>1</v>
      </c>
      <c r="N2915">
        <v>9</v>
      </c>
      <c r="W2915" s="47"/>
    </row>
    <row r="2916" spans="1:23" hidden="1">
      <c r="A2916">
        <v>3846239067</v>
      </c>
      <c r="B2916">
        <v>57240262</v>
      </c>
      <c r="C2916" s="36" t="s">
        <v>3213</v>
      </c>
      <c r="D2916" s="37">
        <v>42084.92869212963</v>
      </c>
      <c r="E2916" s="37">
        <v>42084.93209490741</v>
      </c>
      <c r="G2916">
        <v>2</v>
      </c>
      <c r="K2916">
        <v>6</v>
      </c>
      <c r="W2916" s="47"/>
    </row>
    <row r="2917" spans="1:23">
      <c r="A2917">
        <v>3846247898</v>
      </c>
      <c r="B2917">
        <v>57240262</v>
      </c>
      <c r="C2917" s="36" t="s">
        <v>3214</v>
      </c>
      <c r="D2917" s="37">
        <v>42084.937245370369</v>
      </c>
      <c r="E2917" s="37">
        <v>42084.939270833333</v>
      </c>
      <c r="F2917">
        <v>1</v>
      </c>
      <c r="G2917">
        <v>2</v>
      </c>
      <c r="I2917">
        <v>4</v>
      </c>
      <c r="Q2917">
        <v>12</v>
      </c>
      <c r="V2917" s="42" t="s">
        <v>26</v>
      </c>
      <c r="W2917" s="47">
        <v>4</v>
      </c>
    </row>
    <row r="2918" spans="1:23" hidden="1">
      <c r="A2918">
        <v>3846246242</v>
      </c>
      <c r="B2918">
        <v>57240262</v>
      </c>
      <c r="C2918" s="36" t="s">
        <v>3215</v>
      </c>
      <c r="D2918" s="37">
        <v>42084.935659722221</v>
      </c>
      <c r="E2918" s="37">
        <v>42084.940393518518</v>
      </c>
      <c r="U2918">
        <v>16</v>
      </c>
      <c r="W2918" s="47"/>
    </row>
    <row r="2919" spans="1:23">
      <c r="A2919">
        <v>3846246244</v>
      </c>
      <c r="B2919">
        <v>57240262</v>
      </c>
      <c r="C2919" s="36" t="s">
        <v>3216</v>
      </c>
      <c r="D2919" s="37">
        <v>42084.93546296296</v>
      </c>
      <c r="E2919" s="37">
        <v>42084.943726851852</v>
      </c>
      <c r="F2919">
        <v>1</v>
      </c>
      <c r="G2919">
        <v>2</v>
      </c>
      <c r="K2919">
        <v>6</v>
      </c>
      <c r="V2919" s="42" t="s">
        <v>30</v>
      </c>
      <c r="W2919" s="47">
        <v>2</v>
      </c>
    </row>
    <row r="2920" spans="1:23">
      <c r="A2920">
        <v>3846458000</v>
      </c>
      <c r="B2920">
        <v>57240262</v>
      </c>
      <c r="C2920" s="36" t="s">
        <v>3217</v>
      </c>
      <c r="D2920" s="37">
        <v>42085.179618055554</v>
      </c>
      <c r="E2920" s="37">
        <v>42085.185567129629</v>
      </c>
      <c r="G2920">
        <v>2</v>
      </c>
      <c r="L2920">
        <v>7</v>
      </c>
      <c r="O2920">
        <v>10</v>
      </c>
      <c r="V2920" s="42" t="s">
        <v>30</v>
      </c>
      <c r="W2920" s="47">
        <v>2</v>
      </c>
    </row>
    <row r="2921" spans="1:23" hidden="1">
      <c r="A2921">
        <v>3846572446</v>
      </c>
      <c r="B2921">
        <v>57240262</v>
      </c>
      <c r="C2921" s="36" t="s">
        <v>3218</v>
      </c>
      <c r="D2921" s="37">
        <v>42085.351712962962</v>
      </c>
      <c r="E2921" s="37">
        <v>42085.361076388886</v>
      </c>
      <c r="W2921" s="47"/>
    </row>
    <row r="2922" spans="1:23" hidden="1">
      <c r="A2922">
        <v>3846685173</v>
      </c>
      <c r="B2922">
        <v>57240262</v>
      </c>
      <c r="C2922" s="36" t="s">
        <v>3219</v>
      </c>
      <c r="D2922" s="37">
        <v>42085.492361111108</v>
      </c>
      <c r="E2922" s="37">
        <v>42085.503842592596</v>
      </c>
      <c r="Q2922">
        <v>12</v>
      </c>
      <c r="W2922" s="47"/>
    </row>
    <row r="2923" spans="1:23" hidden="1">
      <c r="A2923">
        <v>3846775362</v>
      </c>
      <c r="B2923">
        <v>57240262</v>
      </c>
      <c r="C2923" s="36" t="s">
        <v>3220</v>
      </c>
      <c r="D2923" s="37">
        <v>42085.576168981483</v>
      </c>
      <c r="E2923" s="37">
        <v>42085.582175925927</v>
      </c>
      <c r="U2923">
        <v>16</v>
      </c>
      <c r="W2923" s="47"/>
    </row>
    <row r="2924" spans="1:23" hidden="1">
      <c r="A2924">
        <v>3846826118</v>
      </c>
      <c r="B2924">
        <v>57240262</v>
      </c>
      <c r="C2924" s="36" t="s">
        <v>3221</v>
      </c>
      <c r="D2924" s="37">
        <v>42085.618460648147</v>
      </c>
      <c r="E2924" s="37">
        <v>42085.621539351851</v>
      </c>
      <c r="U2924">
        <v>16</v>
      </c>
      <c r="W2924" s="47"/>
    </row>
    <row r="2925" spans="1:23" hidden="1">
      <c r="A2925">
        <v>3846883346</v>
      </c>
      <c r="B2925">
        <v>57240262</v>
      </c>
      <c r="C2925" s="36" t="s">
        <v>3222</v>
      </c>
      <c r="D2925" s="37">
        <v>42085.663356481484</v>
      </c>
      <c r="E2925" s="37">
        <v>42085.671840277777</v>
      </c>
      <c r="G2925">
        <v>2</v>
      </c>
      <c r="W2925" s="47"/>
    </row>
    <row r="2926" spans="1:23" hidden="1">
      <c r="A2926">
        <v>3846887700</v>
      </c>
      <c r="B2926">
        <v>57240262</v>
      </c>
      <c r="C2926" s="36" t="s">
        <v>3223</v>
      </c>
      <c r="D2926" s="37">
        <v>42085.66679398148</v>
      </c>
      <c r="E2926" s="37">
        <v>42085.672962962963</v>
      </c>
      <c r="U2926">
        <v>16</v>
      </c>
      <c r="W2926" s="47"/>
    </row>
    <row r="2927" spans="1:23" hidden="1">
      <c r="A2927">
        <v>3847091442</v>
      </c>
      <c r="B2927">
        <v>57240262</v>
      </c>
      <c r="C2927" s="36" t="s">
        <v>3224</v>
      </c>
      <c r="D2927" s="37">
        <v>42085.807430555556</v>
      </c>
      <c r="E2927" s="37">
        <v>42085.812962962962</v>
      </c>
      <c r="U2927">
        <v>16</v>
      </c>
      <c r="W2927" s="47"/>
    </row>
    <row r="2928" spans="1:23" hidden="1">
      <c r="A2928">
        <v>3847799992</v>
      </c>
      <c r="B2928">
        <v>57240262</v>
      </c>
      <c r="C2928" s="36" t="s">
        <v>3225</v>
      </c>
      <c r="D2928" s="37">
        <v>42086.360625000001</v>
      </c>
      <c r="E2928" s="37">
        <v>42086.361921296295</v>
      </c>
      <c r="O2928">
        <v>10</v>
      </c>
      <c r="W2928" s="47"/>
    </row>
    <row r="2929" spans="1:23">
      <c r="A2929">
        <v>3847888644</v>
      </c>
      <c r="B2929">
        <v>57240262</v>
      </c>
      <c r="C2929" s="36" t="s">
        <v>3226</v>
      </c>
      <c r="D2929" s="37">
        <v>42086.409432870372</v>
      </c>
      <c r="E2929" s="37">
        <v>42086.418842592589</v>
      </c>
      <c r="F2929">
        <v>1</v>
      </c>
      <c r="N2929">
        <v>9</v>
      </c>
      <c r="R2929">
        <v>13</v>
      </c>
      <c r="V2929" s="42" t="s">
        <v>223</v>
      </c>
      <c r="W2929" s="47">
        <v>13</v>
      </c>
    </row>
    <row r="2930" spans="1:23">
      <c r="A2930">
        <v>3847983028</v>
      </c>
      <c r="B2930">
        <v>57240262</v>
      </c>
      <c r="C2930" s="36" t="s">
        <v>3227</v>
      </c>
      <c r="D2930" s="37">
        <v>42086.45890046296</v>
      </c>
      <c r="E2930" s="37">
        <v>42086.460925925923</v>
      </c>
      <c r="F2930">
        <v>1</v>
      </c>
      <c r="G2930">
        <v>2</v>
      </c>
      <c r="N2930">
        <v>9</v>
      </c>
      <c r="O2930">
        <v>10</v>
      </c>
      <c r="V2930" s="42" t="s">
        <v>25</v>
      </c>
      <c r="W2930" s="47">
        <v>1</v>
      </c>
    </row>
    <row r="2931" spans="1:23" hidden="1">
      <c r="A2931">
        <v>3848021901</v>
      </c>
      <c r="B2931">
        <v>57240262</v>
      </c>
      <c r="C2931" s="36" t="s">
        <v>3228</v>
      </c>
      <c r="D2931" s="37">
        <v>42086.477800925924</v>
      </c>
      <c r="E2931" s="37">
        <v>42086.480879629627</v>
      </c>
      <c r="U2931">
        <v>16</v>
      </c>
      <c r="W2931" s="47"/>
    </row>
    <row r="2932" spans="1:23" hidden="1">
      <c r="A2932">
        <v>3848600521</v>
      </c>
      <c r="B2932">
        <v>57240262</v>
      </c>
      <c r="C2932" s="36" t="s">
        <v>3229</v>
      </c>
      <c r="D2932" s="37">
        <v>42086.640763888892</v>
      </c>
      <c r="E2932" s="37">
        <v>42086.641377314816</v>
      </c>
      <c r="H2932">
        <v>3</v>
      </c>
      <c r="K2932">
        <v>6</v>
      </c>
      <c r="W2932" s="47"/>
    </row>
    <row r="2933" spans="1:23" hidden="1">
      <c r="A2933">
        <v>3848669041</v>
      </c>
      <c r="B2933">
        <v>57240262</v>
      </c>
      <c r="C2933" s="36" t="s">
        <v>3230</v>
      </c>
      <c r="D2933" s="37">
        <v>42086.656307870369</v>
      </c>
      <c r="E2933" s="37">
        <v>42086.660740740743</v>
      </c>
      <c r="U2933">
        <v>16</v>
      </c>
      <c r="W2933" s="47"/>
    </row>
    <row r="2934" spans="1:23" hidden="1">
      <c r="A2934">
        <v>3848728816</v>
      </c>
      <c r="B2934">
        <v>57240262</v>
      </c>
      <c r="C2934" s="36" t="s">
        <v>3231</v>
      </c>
      <c r="D2934" s="37">
        <v>42086.670034722221</v>
      </c>
      <c r="E2934" s="37">
        <v>42086.673587962963</v>
      </c>
      <c r="F2934">
        <v>1</v>
      </c>
      <c r="G2934">
        <v>2</v>
      </c>
      <c r="W2934" s="47"/>
    </row>
    <row r="2935" spans="1:23" hidden="1">
      <c r="A2935">
        <v>3850504520</v>
      </c>
      <c r="B2935">
        <v>57240262</v>
      </c>
      <c r="C2935" s="36" t="s">
        <v>3232</v>
      </c>
      <c r="D2935" s="37">
        <v>42087.37667824074</v>
      </c>
      <c r="E2935" s="37">
        <v>42087.380925925929</v>
      </c>
      <c r="U2935">
        <v>16</v>
      </c>
      <c r="W2935" s="47"/>
    </row>
    <row r="2936" spans="1:23" hidden="1">
      <c r="A2936">
        <v>3850506816</v>
      </c>
      <c r="B2936">
        <v>57240262</v>
      </c>
      <c r="C2936" s="36" t="s">
        <v>3233</v>
      </c>
      <c r="D2936" s="37">
        <v>42087.377800925926</v>
      </c>
      <c r="E2936" s="37">
        <v>42087.381597222222</v>
      </c>
      <c r="U2936">
        <v>16</v>
      </c>
      <c r="W2936" s="47"/>
    </row>
    <row r="2937" spans="1:23" hidden="1">
      <c r="A2937">
        <v>3850562321</v>
      </c>
      <c r="B2937">
        <v>57240262</v>
      </c>
      <c r="C2937" s="36" t="s">
        <v>3234</v>
      </c>
      <c r="D2937" s="37">
        <v>42087.407337962963</v>
      </c>
      <c r="E2937" s="37">
        <v>42087.412106481483</v>
      </c>
      <c r="N2937">
        <v>9</v>
      </c>
      <c r="W2937" s="47"/>
    </row>
    <row r="2938" spans="1:23" hidden="1">
      <c r="A2938">
        <v>3850582014</v>
      </c>
      <c r="B2938">
        <v>57240262</v>
      </c>
      <c r="C2938" s="36" t="s">
        <v>3235</v>
      </c>
      <c r="D2938" s="37">
        <v>42087.417662037034</v>
      </c>
      <c r="E2938" s="37">
        <v>42087.418298611112</v>
      </c>
      <c r="F2938">
        <v>1</v>
      </c>
      <c r="I2938">
        <v>4</v>
      </c>
      <c r="N2938">
        <v>9</v>
      </c>
      <c r="O2938">
        <v>10</v>
      </c>
      <c r="W2938" s="47"/>
    </row>
    <row r="2939" spans="1:23" hidden="1">
      <c r="A2939">
        <v>3850581668</v>
      </c>
      <c r="B2939">
        <v>57240262</v>
      </c>
      <c r="C2939" s="36" t="s">
        <v>3236</v>
      </c>
      <c r="D2939" s="37">
        <v>42087.417291666665</v>
      </c>
      <c r="E2939" s="37">
        <v>42087.422407407408</v>
      </c>
      <c r="U2939">
        <v>16</v>
      </c>
      <c r="W2939" s="47"/>
    </row>
    <row r="2940" spans="1:23" hidden="1">
      <c r="A2940">
        <v>3850609607</v>
      </c>
      <c r="B2940">
        <v>57240262</v>
      </c>
      <c r="C2940" s="36" t="s">
        <v>3237</v>
      </c>
      <c r="D2940" s="37">
        <v>42087.43141203704</v>
      </c>
      <c r="E2940" s="37">
        <v>42087.435324074075</v>
      </c>
      <c r="H2940">
        <v>3</v>
      </c>
      <c r="I2940">
        <v>4</v>
      </c>
      <c r="W2940" s="47"/>
    </row>
    <row r="2941" spans="1:23" hidden="1">
      <c r="A2941">
        <v>3850719132</v>
      </c>
      <c r="B2941">
        <v>57240262</v>
      </c>
      <c r="C2941" s="36" t="s">
        <v>3238</v>
      </c>
      <c r="D2941" s="37">
        <v>42087.482430555552</v>
      </c>
      <c r="E2941" s="37">
        <v>42087.487569444442</v>
      </c>
      <c r="F2941">
        <v>1</v>
      </c>
      <c r="W2941" s="47"/>
    </row>
    <row r="2942" spans="1:23" hidden="1">
      <c r="A2942">
        <v>3850821543</v>
      </c>
      <c r="B2942">
        <v>57240262</v>
      </c>
      <c r="C2942" s="36" t="s">
        <v>3239</v>
      </c>
      <c r="D2942" s="37">
        <v>42087.519930555558</v>
      </c>
      <c r="E2942" s="37">
        <v>42087.52516203704</v>
      </c>
      <c r="G2942">
        <v>2</v>
      </c>
      <c r="W2942" s="47"/>
    </row>
    <row r="2943" spans="1:23" hidden="1">
      <c r="A2943">
        <v>3851093746</v>
      </c>
      <c r="B2943">
        <v>57240262</v>
      </c>
      <c r="C2943" s="36" t="s">
        <v>3240</v>
      </c>
      <c r="D2943" s="37">
        <v>42087.591446759259</v>
      </c>
      <c r="E2943" s="37">
        <v>42087.598067129627</v>
      </c>
      <c r="U2943">
        <v>16</v>
      </c>
      <c r="W2943" s="47"/>
    </row>
    <row r="2944" spans="1:23" hidden="1">
      <c r="A2944">
        <v>3851211031</v>
      </c>
      <c r="B2944">
        <v>57240262</v>
      </c>
      <c r="C2944" s="36" t="s">
        <v>3241</v>
      </c>
      <c r="D2944" s="37">
        <v>42087.619062500002</v>
      </c>
      <c r="E2944" s="37">
        <v>42087.624016203707</v>
      </c>
      <c r="U2944">
        <v>16</v>
      </c>
      <c r="W2944" s="47"/>
    </row>
    <row r="2945" spans="1:23" hidden="1">
      <c r="A2945">
        <v>3851254748</v>
      </c>
      <c r="B2945">
        <v>57240262</v>
      </c>
      <c r="C2945" s="36" t="s">
        <v>3242</v>
      </c>
      <c r="D2945" s="37">
        <v>42087.629317129627</v>
      </c>
      <c r="E2945" s="37">
        <v>42087.630416666667</v>
      </c>
      <c r="W2945" s="47"/>
    </row>
    <row r="2946" spans="1:23" hidden="1">
      <c r="A2946">
        <v>3851273178</v>
      </c>
      <c r="B2946">
        <v>57240262</v>
      </c>
      <c r="C2946" s="36" t="s">
        <v>3243</v>
      </c>
      <c r="D2946" s="37">
        <v>42087.628101851849</v>
      </c>
      <c r="E2946" s="37">
        <v>42087.637002314812</v>
      </c>
      <c r="U2946">
        <v>16</v>
      </c>
      <c r="W2946" s="47"/>
    </row>
    <row r="2947" spans="1:23">
      <c r="A2947">
        <v>3851321221</v>
      </c>
      <c r="B2947">
        <v>57240262</v>
      </c>
      <c r="C2947" s="36" t="s">
        <v>3244</v>
      </c>
      <c r="D2947" s="37">
        <v>42087.644513888888</v>
      </c>
      <c r="E2947" s="37">
        <v>42087.650949074072</v>
      </c>
      <c r="I2947">
        <v>4</v>
      </c>
      <c r="J2947">
        <v>5</v>
      </c>
      <c r="V2947" s="42" t="s">
        <v>43</v>
      </c>
      <c r="W2947" s="47">
        <v>4</v>
      </c>
    </row>
    <row r="2948" spans="1:23" hidden="1">
      <c r="A2948">
        <v>3851349668</v>
      </c>
      <c r="B2948">
        <v>57240262</v>
      </c>
      <c r="C2948" s="36" t="s">
        <v>3245</v>
      </c>
      <c r="D2948" s="37">
        <v>42087.651099537034</v>
      </c>
      <c r="E2948" s="37">
        <v>42087.655405092592</v>
      </c>
      <c r="U2948">
        <v>16</v>
      </c>
      <c r="W2948" s="47"/>
    </row>
    <row r="2949" spans="1:23">
      <c r="A2949">
        <v>3851597963</v>
      </c>
      <c r="B2949">
        <v>57240262</v>
      </c>
      <c r="C2949" s="36" t="s">
        <v>3246</v>
      </c>
      <c r="D2949" s="37">
        <v>42087.709664351853</v>
      </c>
      <c r="E2949" s="37">
        <v>42087.717650462961</v>
      </c>
      <c r="K2949">
        <v>6</v>
      </c>
      <c r="Q2949">
        <v>12</v>
      </c>
      <c r="V2949" s="42" t="s">
        <v>3515</v>
      </c>
      <c r="W2949" s="47">
        <v>6</v>
      </c>
    </row>
    <row r="2950" spans="1:23">
      <c r="A2950">
        <v>3851662150</v>
      </c>
      <c r="B2950">
        <v>57240262</v>
      </c>
      <c r="C2950" s="36" t="s">
        <v>3247</v>
      </c>
      <c r="D2950" s="37">
        <v>42087.725486111114</v>
      </c>
      <c r="E2950" s="37">
        <v>42087.737650462965</v>
      </c>
      <c r="O2950">
        <v>10</v>
      </c>
      <c r="S2950">
        <v>14</v>
      </c>
      <c r="V2950" s="42" t="s">
        <v>3516</v>
      </c>
      <c r="W2950" s="47">
        <v>14</v>
      </c>
    </row>
    <row r="2951" spans="1:23" hidden="1">
      <c r="A2951">
        <v>3851751653</v>
      </c>
      <c r="B2951">
        <v>57240262</v>
      </c>
      <c r="C2951" s="36" t="s">
        <v>3248</v>
      </c>
      <c r="D2951" s="37">
        <v>42087.747835648152</v>
      </c>
      <c r="E2951" s="37">
        <v>42087.752129629633</v>
      </c>
      <c r="F2951">
        <v>1</v>
      </c>
      <c r="W2951" s="47"/>
    </row>
    <row r="2952" spans="1:23" hidden="1">
      <c r="A2952">
        <v>3851776960</v>
      </c>
      <c r="B2952">
        <v>57240262</v>
      </c>
      <c r="C2952" s="36" t="s">
        <v>3249</v>
      </c>
      <c r="D2952" s="37">
        <v>42087.754166666666</v>
      </c>
      <c r="E2952" s="37">
        <v>42087.757199074076</v>
      </c>
      <c r="U2952">
        <v>16</v>
      </c>
      <c r="W2952" s="47"/>
    </row>
    <row r="2953" spans="1:23" hidden="1">
      <c r="A2953">
        <v>3852056435</v>
      </c>
      <c r="B2953">
        <v>57240262</v>
      </c>
      <c r="C2953" s="36" t="s">
        <v>3250</v>
      </c>
      <c r="D2953" s="37">
        <v>42087.825092592589</v>
      </c>
      <c r="E2953" s="37">
        <v>42087.831273148149</v>
      </c>
      <c r="G2953">
        <v>2</v>
      </c>
      <c r="Q2953">
        <v>12</v>
      </c>
      <c r="S2953">
        <v>14</v>
      </c>
      <c r="W2953" s="47"/>
    </row>
    <row r="2954" spans="1:23">
      <c r="A2954">
        <v>3852063847</v>
      </c>
      <c r="B2954">
        <v>57240262</v>
      </c>
      <c r="C2954" s="36" t="s">
        <v>3251</v>
      </c>
      <c r="D2954" s="37">
        <v>42087.826979166668</v>
      </c>
      <c r="E2954" s="37">
        <v>42087.832372685189</v>
      </c>
      <c r="F2954">
        <v>1</v>
      </c>
      <c r="G2954">
        <v>2</v>
      </c>
      <c r="V2954" s="42" t="s">
        <v>30</v>
      </c>
      <c r="W2954" s="47">
        <v>2</v>
      </c>
    </row>
    <row r="2955" spans="1:23" hidden="1">
      <c r="A2955">
        <v>3852105086</v>
      </c>
      <c r="B2955">
        <v>57240262</v>
      </c>
      <c r="C2955" s="36" t="s">
        <v>3252</v>
      </c>
      <c r="D2955" s="37">
        <v>42087.837592592594</v>
      </c>
      <c r="E2955" s="37">
        <v>42087.839270833334</v>
      </c>
      <c r="F2955">
        <v>1</v>
      </c>
      <c r="W2955" s="47"/>
    </row>
    <row r="2956" spans="1:23" hidden="1">
      <c r="A2956">
        <v>3852312385</v>
      </c>
      <c r="B2956">
        <v>57240262</v>
      </c>
      <c r="C2956" s="36" t="s">
        <v>3253</v>
      </c>
      <c r="D2956" s="37">
        <v>42087.89640046296</v>
      </c>
      <c r="E2956" s="37">
        <v>42087.899305555555</v>
      </c>
      <c r="F2956">
        <v>1</v>
      </c>
      <c r="G2956">
        <v>2</v>
      </c>
      <c r="M2956">
        <v>8</v>
      </c>
      <c r="O2956">
        <v>10</v>
      </c>
      <c r="W2956" s="47"/>
    </row>
    <row r="2957" spans="1:23" hidden="1">
      <c r="A2957">
        <v>3852525416</v>
      </c>
      <c r="B2957">
        <v>57240262</v>
      </c>
      <c r="C2957" s="36" t="s">
        <v>3254</v>
      </c>
      <c r="D2957" s="37">
        <v>42087.972361111111</v>
      </c>
      <c r="E2957" s="37">
        <v>42087.978402777779</v>
      </c>
      <c r="G2957">
        <v>2</v>
      </c>
      <c r="W2957" s="47"/>
    </row>
    <row r="2958" spans="1:23" hidden="1">
      <c r="A2958">
        <v>3852563781</v>
      </c>
      <c r="B2958">
        <v>57240262</v>
      </c>
      <c r="C2958" s="36" t="s">
        <v>3255</v>
      </c>
      <c r="D2958" s="37">
        <v>42087.987858796296</v>
      </c>
      <c r="E2958" s="37">
        <v>42087.997673611113</v>
      </c>
      <c r="U2958">
        <v>16</v>
      </c>
      <c r="W2958" s="47"/>
    </row>
    <row r="2959" spans="1:23" ht="24">
      <c r="A2959">
        <v>3852638265</v>
      </c>
      <c r="B2959">
        <v>57240262</v>
      </c>
      <c r="C2959" s="36" t="s">
        <v>3256</v>
      </c>
      <c r="D2959" s="37">
        <v>42088.01939814815</v>
      </c>
      <c r="E2959" s="37">
        <v>42088.030844907407</v>
      </c>
      <c r="G2959">
        <v>2</v>
      </c>
      <c r="H2959">
        <v>3</v>
      </c>
      <c r="M2959">
        <v>8</v>
      </c>
      <c r="O2959">
        <v>10</v>
      </c>
      <c r="P2959">
        <v>11</v>
      </c>
      <c r="V2959" s="42" t="s">
        <v>3517</v>
      </c>
      <c r="W2959" s="47">
        <v>15</v>
      </c>
    </row>
    <row r="2960" spans="1:23" hidden="1">
      <c r="A2960">
        <v>3852727823</v>
      </c>
      <c r="B2960">
        <v>57240262</v>
      </c>
      <c r="C2960" s="36" t="s">
        <v>3257</v>
      </c>
      <c r="D2960" s="37">
        <v>42088.060590277775</v>
      </c>
      <c r="E2960" s="37">
        <v>42088.064097222225</v>
      </c>
      <c r="U2960">
        <v>16</v>
      </c>
      <c r="W2960" s="47"/>
    </row>
    <row r="2961" spans="1:23" hidden="1">
      <c r="A2961">
        <v>3853137576</v>
      </c>
      <c r="B2961">
        <v>57240262</v>
      </c>
      <c r="C2961" s="36" t="s">
        <v>3258</v>
      </c>
      <c r="D2961" s="37">
        <v>42088.339236111111</v>
      </c>
      <c r="E2961" s="37">
        <v>42088.346747685187</v>
      </c>
      <c r="J2961">
        <v>5</v>
      </c>
      <c r="K2961">
        <v>6</v>
      </c>
      <c r="W2961" s="47"/>
    </row>
    <row r="2962" spans="1:23">
      <c r="A2962">
        <v>3853203158</v>
      </c>
      <c r="B2962">
        <v>57240262</v>
      </c>
      <c r="C2962" s="36" t="s">
        <v>3259</v>
      </c>
      <c r="D2962" s="37">
        <v>42088.378680555557</v>
      </c>
      <c r="E2962" s="37">
        <v>42088.383877314816</v>
      </c>
      <c r="I2962">
        <v>4</v>
      </c>
      <c r="K2962">
        <v>6</v>
      </c>
      <c r="V2962" s="42" t="s">
        <v>3518</v>
      </c>
      <c r="W2962" s="47">
        <v>6</v>
      </c>
    </row>
    <row r="2963" spans="1:23" ht="24">
      <c r="A2963">
        <v>3853288577</v>
      </c>
      <c r="B2963">
        <v>57240262</v>
      </c>
      <c r="C2963" s="36" t="s">
        <v>3260</v>
      </c>
      <c r="D2963" s="37">
        <v>42088.422627314816</v>
      </c>
      <c r="E2963" s="37">
        <v>42088.435069444444</v>
      </c>
      <c r="K2963">
        <v>6</v>
      </c>
      <c r="N2963">
        <v>9</v>
      </c>
      <c r="O2963">
        <v>10</v>
      </c>
      <c r="V2963" s="42" t="s">
        <v>111</v>
      </c>
      <c r="W2963" s="47">
        <v>10</v>
      </c>
    </row>
    <row r="2964" spans="1:23" hidden="1">
      <c r="A2964">
        <v>3853342102</v>
      </c>
      <c r="B2964">
        <v>57240262</v>
      </c>
      <c r="C2964" s="36" t="s">
        <v>3261</v>
      </c>
      <c r="D2964" s="37">
        <v>42088.448784722219</v>
      </c>
      <c r="E2964" s="37">
        <v>42088.460578703707</v>
      </c>
      <c r="U2964">
        <v>16</v>
      </c>
      <c r="W2964" s="47"/>
    </row>
    <row r="2965" spans="1:23" hidden="1">
      <c r="A2965">
        <v>3853470322</v>
      </c>
      <c r="B2965">
        <v>57240262</v>
      </c>
      <c r="C2965" s="36" t="s">
        <v>3262</v>
      </c>
      <c r="D2965" s="37">
        <v>42088.503379629627</v>
      </c>
      <c r="E2965" s="37">
        <v>42088.507384259261</v>
      </c>
      <c r="U2965">
        <v>16</v>
      </c>
      <c r="W2965" s="47"/>
    </row>
    <row r="2966" spans="1:23">
      <c r="A2966">
        <v>3853698181</v>
      </c>
      <c r="B2966">
        <v>57240262</v>
      </c>
      <c r="C2966" s="36" t="s">
        <v>3263</v>
      </c>
      <c r="D2966" s="37">
        <v>42088.567118055558</v>
      </c>
      <c r="E2966" s="37">
        <v>42088.571840277778</v>
      </c>
      <c r="F2966">
        <v>1</v>
      </c>
      <c r="J2966">
        <v>5</v>
      </c>
      <c r="M2966">
        <v>8</v>
      </c>
      <c r="Q2966">
        <v>12</v>
      </c>
      <c r="R2966">
        <v>13</v>
      </c>
      <c r="V2966" s="42" t="s">
        <v>40</v>
      </c>
      <c r="W2966" s="47">
        <v>12</v>
      </c>
    </row>
    <row r="2967" spans="1:23" hidden="1">
      <c r="A2967">
        <v>3853727077</v>
      </c>
      <c r="B2967">
        <v>57240262</v>
      </c>
      <c r="C2967" s="36" t="s">
        <v>3264</v>
      </c>
      <c r="D2967" s="37">
        <v>42088.574421296296</v>
      </c>
      <c r="E2967" s="37">
        <v>42088.5784375</v>
      </c>
      <c r="U2967">
        <v>16</v>
      </c>
      <c r="W2967" s="47"/>
    </row>
    <row r="2968" spans="1:23" hidden="1">
      <c r="A2968">
        <v>3853811340</v>
      </c>
      <c r="B2968">
        <v>57240262</v>
      </c>
      <c r="C2968" s="36" t="s">
        <v>3265</v>
      </c>
      <c r="D2968" s="37">
        <v>42088.586215277777</v>
      </c>
      <c r="E2968" s="37">
        <v>42088.598749999997</v>
      </c>
      <c r="F2968">
        <v>1</v>
      </c>
      <c r="G2968">
        <v>2</v>
      </c>
      <c r="K2968">
        <v>6</v>
      </c>
      <c r="W2968" s="47"/>
    </row>
    <row r="2969" spans="1:23" hidden="1">
      <c r="A2969">
        <v>3854432670</v>
      </c>
      <c r="B2969">
        <v>57240262</v>
      </c>
      <c r="C2969" s="36" t="s">
        <v>3266</v>
      </c>
      <c r="D2969" s="37">
        <v>42088.737557870372</v>
      </c>
      <c r="E2969" s="37">
        <v>42088.742766203701</v>
      </c>
      <c r="U2969">
        <v>16</v>
      </c>
      <c r="W2969" s="47"/>
    </row>
    <row r="2970" spans="1:23" hidden="1">
      <c r="A2970">
        <v>3854549399</v>
      </c>
      <c r="B2970">
        <v>57240262</v>
      </c>
      <c r="C2970" s="36" t="s">
        <v>3267</v>
      </c>
      <c r="D2970" s="37">
        <v>42088.769537037035</v>
      </c>
      <c r="E2970" s="37">
        <v>42088.776990740742</v>
      </c>
      <c r="U2970">
        <v>16</v>
      </c>
      <c r="W2970" s="47"/>
    </row>
    <row r="2971" spans="1:23" hidden="1">
      <c r="A2971">
        <v>3854750734</v>
      </c>
      <c r="B2971">
        <v>57240262</v>
      </c>
      <c r="C2971" s="36" t="s">
        <v>3268</v>
      </c>
      <c r="D2971" s="37">
        <v>42088.821805555555</v>
      </c>
      <c r="E2971" s="37">
        <v>42088.82408564815</v>
      </c>
      <c r="U2971">
        <v>16</v>
      </c>
      <c r="W2971" s="47"/>
    </row>
    <row r="2972" spans="1:23" hidden="1">
      <c r="A2972">
        <v>3854882627</v>
      </c>
      <c r="B2972">
        <v>57240262</v>
      </c>
      <c r="C2972" s="36" t="s">
        <v>3269</v>
      </c>
      <c r="D2972" s="37">
        <v>42088.857442129629</v>
      </c>
      <c r="E2972" s="37">
        <v>42088.870613425926</v>
      </c>
      <c r="U2972">
        <v>16</v>
      </c>
      <c r="W2972" s="47"/>
    </row>
    <row r="2973" spans="1:23" hidden="1">
      <c r="A2973">
        <v>3854942634</v>
      </c>
      <c r="B2973">
        <v>57240262</v>
      </c>
      <c r="C2973" s="36" t="s">
        <v>3270</v>
      </c>
      <c r="D2973" s="37">
        <v>42088.87537037037</v>
      </c>
      <c r="E2973" s="37">
        <v>42088.881979166668</v>
      </c>
      <c r="G2973">
        <v>2</v>
      </c>
      <c r="O2973">
        <v>10</v>
      </c>
      <c r="W2973" s="47"/>
    </row>
    <row r="2974" spans="1:23" hidden="1">
      <c r="A2974">
        <v>3855726621</v>
      </c>
      <c r="B2974">
        <v>57240262</v>
      </c>
      <c r="C2974" s="36" t="s">
        <v>3271</v>
      </c>
      <c r="D2974" s="37">
        <v>42089.290034722224</v>
      </c>
      <c r="E2974" s="37">
        <v>42089.290509259263</v>
      </c>
      <c r="W2974" s="47"/>
    </row>
    <row r="2975" spans="1:23" hidden="1">
      <c r="A2975">
        <v>3855822810</v>
      </c>
      <c r="B2975">
        <v>57240262</v>
      </c>
      <c r="C2975" s="36" t="s">
        <v>3272</v>
      </c>
      <c r="D2975" s="37">
        <v>42089.363043981481</v>
      </c>
      <c r="E2975" s="37">
        <v>42089.365023148152</v>
      </c>
      <c r="U2975">
        <v>16</v>
      </c>
      <c r="W2975" s="47"/>
    </row>
    <row r="2976" spans="1:23" hidden="1">
      <c r="A2976">
        <v>3855859850</v>
      </c>
      <c r="B2976">
        <v>57240262</v>
      </c>
      <c r="C2976" s="36" t="s">
        <v>3273</v>
      </c>
      <c r="D2976" s="37">
        <v>42089.384363425925</v>
      </c>
      <c r="E2976" s="37">
        <v>42089.385879629626</v>
      </c>
      <c r="F2976">
        <v>1</v>
      </c>
      <c r="W2976" s="47"/>
    </row>
    <row r="2977" spans="1:23">
      <c r="A2977">
        <v>3855834104</v>
      </c>
      <c r="B2977">
        <v>57240262</v>
      </c>
      <c r="C2977" s="36" t="s">
        <v>3274</v>
      </c>
      <c r="D2977" s="37">
        <v>42089.369629629633</v>
      </c>
      <c r="E2977" s="37">
        <v>42089.391412037039</v>
      </c>
      <c r="K2977">
        <v>6</v>
      </c>
      <c r="N2977">
        <v>9</v>
      </c>
      <c r="V2977" s="42" t="s">
        <v>3519</v>
      </c>
      <c r="W2977" s="47">
        <v>6</v>
      </c>
    </row>
    <row r="2978" spans="1:23" hidden="1">
      <c r="A2978">
        <v>3855881014</v>
      </c>
      <c r="B2978">
        <v>57240262</v>
      </c>
      <c r="C2978" s="36" t="s">
        <v>3275</v>
      </c>
      <c r="D2978" s="37">
        <v>42089.396215277775</v>
      </c>
      <c r="E2978" s="37">
        <v>42089.414212962962</v>
      </c>
      <c r="O2978">
        <v>10</v>
      </c>
      <c r="W2978" s="47"/>
    </row>
    <row r="2979" spans="1:23" hidden="1">
      <c r="A2979">
        <v>3855915645</v>
      </c>
      <c r="B2979">
        <v>57240262</v>
      </c>
      <c r="C2979" s="36" t="s">
        <v>3276</v>
      </c>
      <c r="D2979" s="37">
        <v>42089.415625000001</v>
      </c>
      <c r="E2979" s="37">
        <v>42089.419861111113</v>
      </c>
      <c r="L2979">
        <v>7</v>
      </c>
      <c r="R2979">
        <v>13</v>
      </c>
      <c r="W2979" s="47"/>
    </row>
    <row r="2980" spans="1:23" hidden="1">
      <c r="A2980">
        <v>3855938435</v>
      </c>
      <c r="B2980">
        <v>57240262</v>
      </c>
      <c r="C2980" s="36" t="s">
        <v>3277</v>
      </c>
      <c r="D2980" s="37">
        <v>42089.428402777776</v>
      </c>
      <c r="E2980" s="37">
        <v>42089.432187500002</v>
      </c>
      <c r="G2980">
        <v>2</v>
      </c>
      <c r="W2980" s="47"/>
    </row>
    <row r="2981" spans="1:23">
      <c r="A2981">
        <v>3855906738</v>
      </c>
      <c r="B2981">
        <v>57240262</v>
      </c>
      <c r="C2981" s="36" t="s">
        <v>3278</v>
      </c>
      <c r="D2981" s="37">
        <v>42089.410949074074</v>
      </c>
      <c r="E2981" s="37">
        <v>42089.44021990741</v>
      </c>
      <c r="F2981">
        <v>1</v>
      </c>
      <c r="K2981">
        <v>6</v>
      </c>
      <c r="M2981">
        <v>8</v>
      </c>
      <c r="O2981">
        <v>10</v>
      </c>
      <c r="V2981" s="42" t="s">
        <v>84</v>
      </c>
      <c r="W2981" s="47">
        <v>1</v>
      </c>
    </row>
    <row r="2982" spans="1:23">
      <c r="A2982">
        <v>3855972391</v>
      </c>
      <c r="B2982">
        <v>57240262</v>
      </c>
      <c r="C2982" s="36" t="s">
        <v>3279</v>
      </c>
      <c r="D2982" s="37">
        <v>42089.446898148148</v>
      </c>
      <c r="E2982" s="37">
        <v>42089.458090277774</v>
      </c>
      <c r="I2982">
        <v>4</v>
      </c>
      <c r="O2982">
        <v>10</v>
      </c>
      <c r="V2982" s="42" t="s">
        <v>3520</v>
      </c>
      <c r="W2982" s="47">
        <v>4</v>
      </c>
    </row>
    <row r="2983" spans="1:23" hidden="1">
      <c r="A2983">
        <v>3855990746</v>
      </c>
      <c r="B2983">
        <v>57240262</v>
      </c>
      <c r="C2983" s="36" t="s">
        <v>3280</v>
      </c>
      <c r="D2983" s="37">
        <v>42089.456342592595</v>
      </c>
      <c r="E2983" s="37">
        <v>42089.488287037035</v>
      </c>
      <c r="U2983">
        <v>16</v>
      </c>
      <c r="W2983" s="47"/>
    </row>
    <row r="2984" spans="1:23" hidden="1">
      <c r="A2984">
        <v>3856144037</v>
      </c>
      <c r="B2984">
        <v>57240262</v>
      </c>
      <c r="C2984" s="36" t="s">
        <v>3281</v>
      </c>
      <c r="D2984" s="37">
        <v>42089.518969907411</v>
      </c>
      <c r="E2984" s="37">
        <v>42089.523263888892</v>
      </c>
      <c r="I2984">
        <v>4</v>
      </c>
      <c r="W2984" s="47"/>
    </row>
    <row r="2985" spans="1:23" hidden="1">
      <c r="A2985">
        <v>3856420270</v>
      </c>
      <c r="B2985">
        <v>57240262</v>
      </c>
      <c r="C2985" s="36" t="s">
        <v>3282</v>
      </c>
      <c r="D2985" s="37">
        <v>42089.594884259262</v>
      </c>
      <c r="E2985" s="37">
        <v>42089.599456018521</v>
      </c>
      <c r="M2985">
        <v>8</v>
      </c>
      <c r="W2985" s="47"/>
    </row>
    <row r="2986" spans="1:23" hidden="1">
      <c r="A2986">
        <v>3856465351</v>
      </c>
      <c r="B2986">
        <v>57240262</v>
      </c>
      <c r="C2986" s="36" t="s">
        <v>3283</v>
      </c>
      <c r="D2986" s="37">
        <v>42089.605543981481</v>
      </c>
      <c r="E2986" s="37">
        <v>42089.606724537036</v>
      </c>
      <c r="I2986">
        <v>4</v>
      </c>
      <c r="W2986" s="47"/>
    </row>
    <row r="2987" spans="1:23" hidden="1">
      <c r="A2987">
        <v>3856584097</v>
      </c>
      <c r="B2987">
        <v>57240262</v>
      </c>
      <c r="C2987" s="36" t="s">
        <v>3284</v>
      </c>
      <c r="D2987" s="37">
        <v>42089.633842592593</v>
      </c>
      <c r="E2987" s="37">
        <v>42089.664976851855</v>
      </c>
      <c r="G2987">
        <v>2</v>
      </c>
      <c r="O2987">
        <v>10</v>
      </c>
      <c r="W2987" s="47"/>
    </row>
    <row r="2988" spans="1:23" hidden="1">
      <c r="A2988">
        <v>3856975036</v>
      </c>
      <c r="B2988">
        <v>57240262</v>
      </c>
      <c r="C2988" s="36" t="s">
        <v>3285</v>
      </c>
      <c r="D2988" s="37">
        <v>42089.727858796294</v>
      </c>
      <c r="E2988" s="37">
        <v>42089.733136574076</v>
      </c>
      <c r="U2988">
        <v>16</v>
      </c>
      <c r="W2988" s="47"/>
    </row>
    <row r="2989" spans="1:23">
      <c r="A2989">
        <v>3857026015</v>
      </c>
      <c r="B2989">
        <v>57240262</v>
      </c>
      <c r="C2989" s="36" t="s">
        <v>3286</v>
      </c>
      <c r="D2989" s="37">
        <v>42089.740891203706</v>
      </c>
      <c r="E2989" s="37">
        <v>42089.746365740742</v>
      </c>
      <c r="I2989">
        <v>4</v>
      </c>
      <c r="K2989">
        <v>6</v>
      </c>
      <c r="O2989">
        <v>10</v>
      </c>
      <c r="V2989" s="42" t="s">
        <v>26</v>
      </c>
      <c r="W2989" s="47">
        <v>4</v>
      </c>
    </row>
    <row r="2990" spans="1:23">
      <c r="A2990">
        <v>3857123131</v>
      </c>
      <c r="B2990">
        <v>57240262</v>
      </c>
      <c r="C2990" s="36" t="s">
        <v>3287</v>
      </c>
      <c r="D2990" s="37">
        <v>42089.766064814816</v>
      </c>
      <c r="E2990" s="37">
        <v>42089.774282407408</v>
      </c>
      <c r="F2990">
        <v>1</v>
      </c>
      <c r="G2990">
        <v>2</v>
      </c>
      <c r="K2990">
        <v>6</v>
      </c>
      <c r="M2990">
        <v>8</v>
      </c>
      <c r="O2990">
        <v>10</v>
      </c>
      <c r="P2990">
        <v>11</v>
      </c>
      <c r="V2990" s="42" t="s">
        <v>3521</v>
      </c>
      <c r="W2990" s="47">
        <v>10</v>
      </c>
    </row>
    <row r="2991" spans="1:23">
      <c r="A2991">
        <v>3857662579</v>
      </c>
      <c r="B2991">
        <v>57240262</v>
      </c>
      <c r="C2991" s="36" t="s">
        <v>3288</v>
      </c>
      <c r="D2991" s="37">
        <v>42089.921446759261</v>
      </c>
      <c r="E2991" s="37">
        <v>42089.933495370373</v>
      </c>
      <c r="G2991">
        <v>2</v>
      </c>
      <c r="M2991">
        <v>8</v>
      </c>
      <c r="V2991" s="42" t="s">
        <v>30</v>
      </c>
      <c r="W2991" s="47">
        <v>2</v>
      </c>
    </row>
    <row r="2992" spans="1:23" ht="24">
      <c r="A2992">
        <v>3858003929</v>
      </c>
      <c r="B2992">
        <v>57240262</v>
      </c>
      <c r="C2992" s="36" t="s">
        <v>3289</v>
      </c>
      <c r="D2992" s="37">
        <v>42090.073229166665</v>
      </c>
      <c r="E2992" s="37">
        <v>42090.095370370371</v>
      </c>
      <c r="G2992">
        <v>2</v>
      </c>
      <c r="H2992">
        <v>3</v>
      </c>
      <c r="K2992">
        <v>6</v>
      </c>
      <c r="O2992">
        <v>10</v>
      </c>
      <c r="P2992">
        <v>11</v>
      </c>
      <c r="R2992">
        <v>13</v>
      </c>
      <c r="V2992" s="42" t="s">
        <v>3522</v>
      </c>
      <c r="W2992" s="47">
        <v>3</v>
      </c>
    </row>
    <row r="2993" spans="1:23" hidden="1">
      <c r="A2993">
        <v>3858091973</v>
      </c>
      <c r="B2993">
        <v>57240262</v>
      </c>
      <c r="C2993" s="36" t="s">
        <v>3290</v>
      </c>
      <c r="D2993" s="37">
        <v>42090.124398148146</v>
      </c>
      <c r="E2993" s="37">
        <v>42090.127141203702</v>
      </c>
      <c r="U2993">
        <v>16</v>
      </c>
      <c r="W2993" s="47"/>
    </row>
    <row r="2994" spans="1:23" hidden="1">
      <c r="A2994">
        <v>3858449675</v>
      </c>
      <c r="B2994">
        <v>57240262</v>
      </c>
      <c r="C2994" s="36" t="s">
        <v>3291</v>
      </c>
      <c r="D2994" s="37">
        <v>42090.405393518522</v>
      </c>
      <c r="E2994" s="37">
        <v>42090.414247685185</v>
      </c>
      <c r="N2994">
        <v>9</v>
      </c>
      <c r="W2994" s="47"/>
    </row>
    <row r="2995" spans="1:23" hidden="1">
      <c r="A2995">
        <v>3858458423</v>
      </c>
      <c r="B2995">
        <v>57240262</v>
      </c>
      <c r="C2995" s="36" t="s">
        <v>3292</v>
      </c>
      <c r="D2995" s="37">
        <v>42090.410543981481</v>
      </c>
      <c r="E2995" s="37">
        <v>42090.414722222224</v>
      </c>
      <c r="O2995">
        <v>10</v>
      </c>
      <c r="W2995" s="47"/>
    </row>
    <row r="2996" spans="1:23" hidden="1">
      <c r="A2996">
        <v>3858500526</v>
      </c>
      <c r="B2996">
        <v>57240262</v>
      </c>
      <c r="C2996" s="36" t="s">
        <v>3293</v>
      </c>
      <c r="D2996" s="37">
        <v>42090.434189814812</v>
      </c>
      <c r="E2996" s="37">
        <v>42090.439525462964</v>
      </c>
      <c r="F2996">
        <v>1</v>
      </c>
      <c r="G2996">
        <v>2</v>
      </c>
      <c r="O2996">
        <v>10</v>
      </c>
      <c r="Q2996">
        <v>12</v>
      </c>
      <c r="W2996" s="47"/>
    </row>
    <row r="2997" spans="1:23" hidden="1">
      <c r="A2997">
        <v>3858608592</v>
      </c>
      <c r="B2997">
        <v>57240262</v>
      </c>
      <c r="C2997" s="36" t="s">
        <v>3294</v>
      </c>
      <c r="D2997" s="37">
        <v>42090.48578703704</v>
      </c>
      <c r="E2997" s="37">
        <v>42090.491400462961</v>
      </c>
      <c r="U2997">
        <v>16</v>
      </c>
      <c r="W2997" s="47"/>
    </row>
    <row r="2998" spans="1:23" hidden="1">
      <c r="A2998">
        <v>3858699360</v>
      </c>
      <c r="B2998">
        <v>57240262</v>
      </c>
      <c r="C2998" s="36" t="s">
        <v>3295</v>
      </c>
      <c r="D2998" s="37">
        <v>42090.519328703704</v>
      </c>
      <c r="E2998" s="37">
        <v>42090.522986111115</v>
      </c>
      <c r="R2998">
        <v>13</v>
      </c>
      <c r="W2998" s="47"/>
    </row>
    <row r="2999" spans="1:23" hidden="1">
      <c r="A2999">
        <v>3858782900</v>
      </c>
      <c r="B2999">
        <v>57240262</v>
      </c>
      <c r="C2999" s="36" t="s">
        <v>3296</v>
      </c>
      <c r="D2999" s="37">
        <v>42090.545775462961</v>
      </c>
      <c r="E2999" s="37">
        <v>42090.557037037041</v>
      </c>
      <c r="U2999">
        <v>16</v>
      </c>
      <c r="W2999" s="47"/>
    </row>
    <row r="3000" spans="1:23" hidden="1">
      <c r="A3000">
        <v>3859112239</v>
      </c>
      <c r="B3000">
        <v>57240262</v>
      </c>
      <c r="C3000" s="36" t="s">
        <v>3297</v>
      </c>
      <c r="D3000" s="37">
        <v>42090.630104166667</v>
      </c>
      <c r="E3000" s="37">
        <v>42090.634733796294</v>
      </c>
      <c r="M3000">
        <v>8</v>
      </c>
      <c r="W3000" s="47"/>
    </row>
    <row r="3001" spans="1:23" hidden="1">
      <c r="A3001">
        <v>3859292600</v>
      </c>
      <c r="B3001">
        <v>57240262</v>
      </c>
      <c r="C3001" s="36" t="s">
        <v>3298</v>
      </c>
      <c r="D3001" s="37">
        <v>42090.675000000003</v>
      </c>
      <c r="E3001" s="37">
        <v>42090.680381944447</v>
      </c>
      <c r="K3001">
        <v>6</v>
      </c>
      <c r="M3001">
        <v>8</v>
      </c>
      <c r="W3001" s="47"/>
    </row>
    <row r="3002" spans="1:23" hidden="1">
      <c r="A3002">
        <v>3859297878</v>
      </c>
      <c r="B3002">
        <v>57240262</v>
      </c>
      <c r="C3002" s="36" t="s">
        <v>3299</v>
      </c>
      <c r="D3002" s="37">
        <v>42090.676527777781</v>
      </c>
      <c r="E3002" s="37">
        <v>42090.681226851855</v>
      </c>
      <c r="U3002">
        <v>16</v>
      </c>
      <c r="W3002" s="47"/>
    </row>
    <row r="3003" spans="1:23" hidden="1">
      <c r="A3003">
        <v>3859312950</v>
      </c>
      <c r="B3003">
        <v>57240262</v>
      </c>
      <c r="C3003" s="36" t="s">
        <v>3300</v>
      </c>
      <c r="D3003" s="37">
        <v>42090.680555555555</v>
      </c>
      <c r="E3003" s="37">
        <v>42090.683599537035</v>
      </c>
      <c r="U3003">
        <v>16</v>
      </c>
      <c r="W3003" s="47"/>
    </row>
    <row r="3004" spans="1:23" hidden="1">
      <c r="A3004">
        <v>3859671405</v>
      </c>
      <c r="B3004">
        <v>57240262</v>
      </c>
      <c r="C3004" s="36" t="s">
        <v>3301</v>
      </c>
      <c r="D3004" s="37">
        <v>42090.774710648147</v>
      </c>
      <c r="E3004" s="37">
        <v>42090.791122685187</v>
      </c>
      <c r="U3004">
        <v>16</v>
      </c>
      <c r="W3004" s="47"/>
    </row>
    <row r="3005" spans="1:23" hidden="1">
      <c r="A3005">
        <v>3859990880</v>
      </c>
      <c r="B3005">
        <v>57240262</v>
      </c>
      <c r="C3005" s="36" t="s">
        <v>3302</v>
      </c>
      <c r="D3005" s="37">
        <v>42090.882430555554</v>
      </c>
      <c r="E3005" s="37">
        <v>42090.887233796297</v>
      </c>
      <c r="U3005">
        <v>16</v>
      </c>
      <c r="W3005" s="47"/>
    </row>
    <row r="3006" spans="1:23" hidden="1">
      <c r="A3006">
        <v>3860562114</v>
      </c>
      <c r="B3006">
        <v>57240262</v>
      </c>
      <c r="C3006" s="36" t="s">
        <v>3303</v>
      </c>
      <c r="D3006" s="37">
        <v>42091.372013888889</v>
      </c>
      <c r="E3006" s="37">
        <v>42091.377500000002</v>
      </c>
      <c r="F3006">
        <v>1</v>
      </c>
      <c r="G3006">
        <v>2</v>
      </c>
      <c r="H3006">
        <v>3</v>
      </c>
      <c r="K3006">
        <v>6</v>
      </c>
      <c r="O3006">
        <v>10</v>
      </c>
      <c r="W3006" s="47"/>
    </row>
    <row r="3007" spans="1:23">
      <c r="A3007">
        <v>3860597742</v>
      </c>
      <c r="B3007">
        <v>57240262</v>
      </c>
      <c r="C3007" s="36" t="s">
        <v>3304</v>
      </c>
      <c r="D3007" s="37">
        <v>42091.417581018519</v>
      </c>
      <c r="E3007" s="37">
        <v>42091.424259259256</v>
      </c>
      <c r="F3007">
        <v>1</v>
      </c>
      <c r="G3007">
        <v>2</v>
      </c>
      <c r="K3007">
        <v>6</v>
      </c>
      <c r="V3007" s="42" t="s">
        <v>92</v>
      </c>
      <c r="W3007" s="47">
        <v>2</v>
      </c>
    </row>
    <row r="3008" spans="1:23" hidden="1">
      <c r="A3008">
        <v>3860602059</v>
      </c>
      <c r="B3008">
        <v>57240262</v>
      </c>
      <c r="C3008" s="36" t="s">
        <v>3305</v>
      </c>
      <c r="D3008" s="37">
        <v>42091.422777777778</v>
      </c>
      <c r="E3008" s="37">
        <v>42091.425844907404</v>
      </c>
      <c r="O3008">
        <v>10</v>
      </c>
      <c r="W3008" s="47"/>
    </row>
    <row r="3009" spans="1:23" hidden="1">
      <c r="A3009">
        <v>3860757912</v>
      </c>
      <c r="B3009">
        <v>57240262</v>
      </c>
      <c r="C3009" s="36" t="s">
        <v>3306</v>
      </c>
      <c r="D3009" s="37">
        <v>42091.572650462964</v>
      </c>
      <c r="E3009" s="37">
        <v>42091.576539351852</v>
      </c>
      <c r="U3009">
        <v>16</v>
      </c>
      <c r="W3009" s="47"/>
    </row>
    <row r="3010" spans="1:23" hidden="1">
      <c r="A3010">
        <v>3860798217</v>
      </c>
      <c r="B3010">
        <v>57240262</v>
      </c>
      <c r="C3010" s="36" t="s">
        <v>3307</v>
      </c>
      <c r="D3010" s="37">
        <v>42091.601412037038</v>
      </c>
      <c r="E3010" s="37">
        <v>42091.607951388891</v>
      </c>
      <c r="K3010">
        <v>6</v>
      </c>
      <c r="N3010">
        <v>9</v>
      </c>
      <c r="W3010" s="47"/>
    </row>
    <row r="3011" spans="1:23" hidden="1">
      <c r="A3011">
        <v>3860812548</v>
      </c>
      <c r="B3011">
        <v>57240262</v>
      </c>
      <c r="C3011" s="36" t="s">
        <v>3308</v>
      </c>
      <c r="D3011" s="37">
        <v>42091.611539351848</v>
      </c>
      <c r="E3011" s="37">
        <v>42091.617002314815</v>
      </c>
      <c r="G3011">
        <v>2</v>
      </c>
      <c r="H3011">
        <v>3</v>
      </c>
      <c r="J3011">
        <v>5</v>
      </c>
      <c r="K3011">
        <v>6</v>
      </c>
      <c r="O3011">
        <v>10</v>
      </c>
      <c r="P3011">
        <v>11</v>
      </c>
      <c r="Q3011">
        <v>12</v>
      </c>
      <c r="W3011" s="47"/>
    </row>
    <row r="3012" spans="1:23" hidden="1">
      <c r="A3012">
        <v>3860814717</v>
      </c>
      <c r="B3012">
        <v>57240262</v>
      </c>
      <c r="C3012" s="36" t="s">
        <v>3309</v>
      </c>
      <c r="D3012" s="37">
        <v>42091.612766203703</v>
      </c>
      <c r="E3012" s="37">
        <v>42091.618067129632</v>
      </c>
      <c r="F3012">
        <v>1</v>
      </c>
      <c r="I3012">
        <v>4</v>
      </c>
      <c r="K3012">
        <v>6</v>
      </c>
      <c r="W3012" s="47"/>
    </row>
    <row r="3013" spans="1:23">
      <c r="A3013">
        <v>3861477706</v>
      </c>
      <c r="B3013">
        <v>57240262</v>
      </c>
      <c r="C3013" s="36" t="s">
        <v>3310</v>
      </c>
      <c r="D3013" s="37">
        <v>42092.326157407406</v>
      </c>
      <c r="E3013" s="37">
        <v>42092.341215277775</v>
      </c>
      <c r="F3013">
        <v>1</v>
      </c>
      <c r="P3013">
        <v>11</v>
      </c>
      <c r="V3013" s="42" t="s">
        <v>198</v>
      </c>
      <c r="W3013" s="47">
        <v>4</v>
      </c>
    </row>
    <row r="3014" spans="1:23">
      <c r="A3014">
        <v>3861513708</v>
      </c>
      <c r="B3014">
        <v>57240262</v>
      </c>
      <c r="C3014" s="36" t="s">
        <v>3311</v>
      </c>
      <c r="D3014" s="37">
        <v>42092.379340277781</v>
      </c>
      <c r="E3014" s="37">
        <v>42092.383599537039</v>
      </c>
      <c r="F3014">
        <v>1</v>
      </c>
      <c r="M3014">
        <v>8</v>
      </c>
      <c r="N3014">
        <v>9</v>
      </c>
      <c r="O3014">
        <v>10</v>
      </c>
      <c r="Q3014">
        <v>12</v>
      </c>
      <c r="V3014" s="42" t="s">
        <v>28</v>
      </c>
      <c r="W3014" s="47">
        <v>1</v>
      </c>
    </row>
    <row r="3015" spans="1:23" hidden="1">
      <c r="A3015">
        <v>3861558266</v>
      </c>
      <c r="B3015">
        <v>57240262</v>
      </c>
      <c r="C3015" s="36" t="s">
        <v>3312</v>
      </c>
      <c r="D3015" s="37">
        <v>42092.440057870372</v>
      </c>
      <c r="E3015" s="37">
        <v>42092.445</v>
      </c>
      <c r="U3015">
        <v>16</v>
      </c>
      <c r="W3015" s="47"/>
    </row>
    <row r="3016" spans="1:23">
      <c r="A3016">
        <v>3861620101</v>
      </c>
      <c r="B3016">
        <v>57240262</v>
      </c>
      <c r="C3016" s="36" t="s">
        <v>3313</v>
      </c>
      <c r="D3016" s="37">
        <v>42092.512719907405</v>
      </c>
      <c r="E3016" s="37">
        <v>42092.519201388888</v>
      </c>
      <c r="F3016">
        <v>1</v>
      </c>
      <c r="G3016">
        <v>2</v>
      </c>
      <c r="M3016">
        <v>8</v>
      </c>
      <c r="O3016">
        <v>10</v>
      </c>
      <c r="Q3016">
        <v>12</v>
      </c>
      <c r="V3016" s="42" t="s">
        <v>100</v>
      </c>
      <c r="W3016" s="47">
        <v>1</v>
      </c>
    </row>
    <row r="3017" spans="1:23" hidden="1">
      <c r="A3017">
        <v>3861727925</v>
      </c>
      <c r="B3017">
        <v>57240262</v>
      </c>
      <c r="C3017" s="36" t="s">
        <v>3314</v>
      </c>
      <c r="D3017" s="37">
        <v>42092.615081018521</v>
      </c>
      <c r="E3017" s="37">
        <v>42092.620254629626</v>
      </c>
      <c r="Q3017">
        <v>12</v>
      </c>
      <c r="W3017" s="47"/>
    </row>
    <row r="3018" spans="1:23" hidden="1">
      <c r="A3018">
        <v>3861928023</v>
      </c>
      <c r="B3018">
        <v>57240262</v>
      </c>
      <c r="C3018" s="36" t="s">
        <v>3315</v>
      </c>
      <c r="D3018" s="37">
        <v>42092.782581018517</v>
      </c>
      <c r="E3018" s="37">
        <v>42092.800706018519</v>
      </c>
      <c r="O3018">
        <v>10</v>
      </c>
      <c r="W3018" s="47"/>
    </row>
    <row r="3019" spans="1:23" hidden="1">
      <c r="A3019">
        <v>3861949603</v>
      </c>
      <c r="B3019">
        <v>57240262</v>
      </c>
      <c r="C3019" s="36" t="s">
        <v>3316</v>
      </c>
      <c r="D3019" s="37">
        <v>42092.801469907405</v>
      </c>
      <c r="E3019" s="37">
        <v>42092.806666666664</v>
      </c>
      <c r="U3019">
        <v>16</v>
      </c>
      <c r="W3019" s="47"/>
    </row>
    <row r="3020" spans="1:23" hidden="1">
      <c r="A3020">
        <v>3862021448</v>
      </c>
      <c r="B3020">
        <v>57240262</v>
      </c>
      <c r="C3020" s="36" t="s">
        <v>3317</v>
      </c>
      <c r="D3020" s="37">
        <v>42092.863009259258</v>
      </c>
      <c r="E3020" s="37">
        <v>42092.868981481479</v>
      </c>
      <c r="K3020">
        <v>6</v>
      </c>
      <c r="W3020" s="47"/>
    </row>
    <row r="3021" spans="1:23" hidden="1">
      <c r="A3021">
        <v>3862026304</v>
      </c>
      <c r="B3021">
        <v>57240262</v>
      </c>
      <c r="C3021" s="36" t="s">
        <v>3318</v>
      </c>
      <c r="D3021" s="37">
        <v>42092.867430555554</v>
      </c>
      <c r="E3021" s="37">
        <v>42092.871793981481</v>
      </c>
      <c r="K3021">
        <v>6</v>
      </c>
      <c r="W3021" s="47"/>
    </row>
    <row r="3022" spans="1:23" hidden="1">
      <c r="A3022">
        <v>3862032139</v>
      </c>
      <c r="B3022">
        <v>57240262</v>
      </c>
      <c r="C3022" s="36" t="s">
        <v>3319</v>
      </c>
      <c r="D3022" s="37">
        <v>42092.872523148151</v>
      </c>
      <c r="E3022" s="37">
        <v>42092.874027777776</v>
      </c>
      <c r="U3022">
        <v>16</v>
      </c>
      <c r="W3022" s="47"/>
    </row>
    <row r="3023" spans="1:23" hidden="1">
      <c r="A3023">
        <v>3862049478</v>
      </c>
      <c r="B3023">
        <v>57240262</v>
      </c>
      <c r="C3023" s="36" t="s">
        <v>3320</v>
      </c>
      <c r="D3023" s="37">
        <v>42092.887199074074</v>
      </c>
      <c r="E3023" s="37">
        <v>42092.895509259259</v>
      </c>
      <c r="U3023">
        <v>16</v>
      </c>
      <c r="W3023" s="47"/>
    </row>
    <row r="3024" spans="1:23">
      <c r="A3024">
        <v>3862115927</v>
      </c>
      <c r="B3024">
        <v>57240262</v>
      </c>
      <c r="C3024" s="36" t="s">
        <v>3321</v>
      </c>
      <c r="D3024" s="37">
        <v>42092.943784722222</v>
      </c>
      <c r="E3024" s="37">
        <v>42092.949652777781</v>
      </c>
      <c r="F3024">
        <v>1</v>
      </c>
      <c r="G3024">
        <v>2</v>
      </c>
      <c r="H3024">
        <v>3</v>
      </c>
      <c r="V3024" s="42" t="s">
        <v>107</v>
      </c>
      <c r="W3024" s="47">
        <v>3</v>
      </c>
    </row>
    <row r="3025" spans="1:23" hidden="1">
      <c r="A3025">
        <v>3862124221</v>
      </c>
      <c r="B3025">
        <v>57240262</v>
      </c>
      <c r="C3025" s="36" t="s">
        <v>3322</v>
      </c>
      <c r="D3025" s="37">
        <v>42092.951481481483</v>
      </c>
      <c r="E3025" s="37">
        <v>42092.963159722225</v>
      </c>
      <c r="F3025">
        <v>1</v>
      </c>
      <c r="G3025">
        <v>2</v>
      </c>
      <c r="H3025">
        <v>3</v>
      </c>
      <c r="W3025" s="47"/>
    </row>
    <row r="3026" spans="1:23">
      <c r="A3026">
        <v>3862560753</v>
      </c>
      <c r="B3026">
        <v>57240262</v>
      </c>
      <c r="C3026" s="36" t="s">
        <v>3323</v>
      </c>
      <c r="D3026" s="37">
        <v>42093.309340277781</v>
      </c>
      <c r="E3026" s="37">
        <v>42093.319305555553</v>
      </c>
      <c r="F3026">
        <v>1</v>
      </c>
      <c r="K3026">
        <v>6</v>
      </c>
      <c r="M3026">
        <v>8</v>
      </c>
      <c r="R3026">
        <v>13</v>
      </c>
      <c r="V3026" s="42" t="s">
        <v>3458</v>
      </c>
      <c r="W3026" s="47">
        <v>6</v>
      </c>
    </row>
    <row r="3027" spans="1:23">
      <c r="A3027">
        <v>3862644876</v>
      </c>
      <c r="B3027">
        <v>57240262</v>
      </c>
      <c r="C3027" s="36" t="s">
        <v>3324</v>
      </c>
      <c r="D3027" s="37">
        <v>42093.362210648149</v>
      </c>
      <c r="E3027" s="37">
        <v>42093.370717592596</v>
      </c>
      <c r="H3027">
        <v>3</v>
      </c>
      <c r="M3027">
        <v>8</v>
      </c>
      <c r="Q3027">
        <v>12</v>
      </c>
      <c r="V3027" s="42" t="s">
        <v>3523</v>
      </c>
      <c r="W3027" s="47">
        <v>8</v>
      </c>
    </row>
    <row r="3028" spans="1:23" hidden="1">
      <c r="A3028">
        <v>3862646516</v>
      </c>
      <c r="B3028">
        <v>57240262</v>
      </c>
      <c r="C3028" s="36" t="s">
        <v>3325</v>
      </c>
      <c r="D3028" s="37">
        <v>42093.363009259258</v>
      </c>
      <c r="E3028" s="37">
        <v>42093.370891203704</v>
      </c>
      <c r="G3028">
        <v>2</v>
      </c>
      <c r="H3028">
        <v>3</v>
      </c>
      <c r="J3028">
        <v>5</v>
      </c>
      <c r="W3028" s="47"/>
    </row>
    <row r="3029" spans="1:23" hidden="1">
      <c r="A3029">
        <v>3862722128</v>
      </c>
      <c r="B3029">
        <v>57240262</v>
      </c>
      <c r="C3029" s="36" t="s">
        <v>3326</v>
      </c>
      <c r="D3029" s="37">
        <v>42093.407453703701</v>
      </c>
      <c r="E3029" s="37">
        <v>42093.412719907406</v>
      </c>
      <c r="U3029">
        <v>16</v>
      </c>
      <c r="W3029" s="47"/>
    </row>
    <row r="3030" spans="1:23" hidden="1">
      <c r="A3030">
        <v>3862711346</v>
      </c>
      <c r="B3030">
        <v>57240262</v>
      </c>
      <c r="C3030" s="36" t="s">
        <v>3327</v>
      </c>
      <c r="D3030" s="37">
        <v>42093.40115740741</v>
      </c>
      <c r="E3030" s="37">
        <v>42093.417615740742</v>
      </c>
      <c r="G3030">
        <v>2</v>
      </c>
      <c r="W3030" s="47"/>
    </row>
    <row r="3031" spans="1:23" hidden="1">
      <c r="A3031">
        <v>3862796399</v>
      </c>
      <c r="B3031">
        <v>57240262</v>
      </c>
      <c r="C3031" s="36" t="s">
        <v>3328</v>
      </c>
      <c r="D3031" s="37">
        <v>42093.449664351851</v>
      </c>
      <c r="E3031" s="37">
        <v>42093.455462962964</v>
      </c>
      <c r="U3031">
        <v>16</v>
      </c>
      <c r="W3031" s="47"/>
    </row>
    <row r="3032" spans="1:23" hidden="1">
      <c r="A3032">
        <v>3862809167</v>
      </c>
      <c r="B3032">
        <v>57240262</v>
      </c>
      <c r="C3032" s="36" t="s">
        <v>3329</v>
      </c>
      <c r="D3032" s="37">
        <v>42093.456261574072</v>
      </c>
      <c r="E3032" s="37">
        <v>42093.463090277779</v>
      </c>
      <c r="U3032">
        <v>16</v>
      </c>
      <c r="W3032" s="47"/>
    </row>
    <row r="3033" spans="1:23" hidden="1">
      <c r="A3033">
        <v>3862807972</v>
      </c>
      <c r="B3033">
        <v>57240262</v>
      </c>
      <c r="C3033" s="36" t="s">
        <v>3330</v>
      </c>
      <c r="D3033" s="37">
        <v>42093.455787037034</v>
      </c>
      <c r="E3033" s="37">
        <v>42093.463379629633</v>
      </c>
      <c r="K3033">
        <v>6</v>
      </c>
      <c r="W3033" s="47"/>
    </row>
    <row r="3034" spans="1:23" hidden="1">
      <c r="A3034">
        <v>3862809521</v>
      </c>
      <c r="B3034">
        <v>57240262</v>
      </c>
      <c r="C3034" s="36" t="s">
        <v>3331</v>
      </c>
      <c r="D3034" s="37">
        <v>42093.45652777778</v>
      </c>
      <c r="E3034" s="37">
        <v>42093.490624999999</v>
      </c>
      <c r="Q3034">
        <v>12</v>
      </c>
      <c r="W3034" s="47"/>
    </row>
    <row r="3035" spans="1:23" hidden="1">
      <c r="A3035">
        <v>3862910675</v>
      </c>
      <c r="B3035">
        <v>57240262</v>
      </c>
      <c r="C3035" s="36" t="s">
        <v>3332</v>
      </c>
      <c r="D3035" s="37">
        <v>42093.502766203703</v>
      </c>
      <c r="E3035" s="37">
        <v>42093.508148148147</v>
      </c>
      <c r="K3035">
        <v>6</v>
      </c>
      <c r="W3035" s="47"/>
    </row>
    <row r="3036" spans="1:23" hidden="1">
      <c r="A3036">
        <v>3862938426</v>
      </c>
      <c r="B3036">
        <v>57240262</v>
      </c>
      <c r="C3036" s="36" t="s">
        <v>3333</v>
      </c>
      <c r="D3036" s="37">
        <v>42093.513321759259</v>
      </c>
      <c r="E3036" s="37">
        <v>42093.517256944448</v>
      </c>
      <c r="Q3036">
        <v>12</v>
      </c>
      <c r="W3036" s="47"/>
    </row>
    <row r="3037" spans="1:23" hidden="1">
      <c r="A3037">
        <v>3863050445</v>
      </c>
      <c r="B3037">
        <v>57240262</v>
      </c>
      <c r="C3037" s="36" t="s">
        <v>3334</v>
      </c>
      <c r="D3037" s="37">
        <v>42093.549004629633</v>
      </c>
      <c r="E3037" s="37">
        <v>42093.552916666667</v>
      </c>
      <c r="U3037">
        <v>16</v>
      </c>
      <c r="W3037" s="47"/>
    </row>
    <row r="3038" spans="1:23" hidden="1">
      <c r="A3038">
        <v>3863240351</v>
      </c>
      <c r="B3038">
        <v>57240262</v>
      </c>
      <c r="C3038" s="36" t="s">
        <v>3335</v>
      </c>
      <c r="D3038" s="37">
        <v>42093.598854166667</v>
      </c>
      <c r="E3038" s="37">
        <v>42093.599583333336</v>
      </c>
      <c r="W3038" s="47"/>
    </row>
    <row r="3039" spans="1:23" hidden="1">
      <c r="A3039">
        <v>3863245687</v>
      </c>
      <c r="B3039">
        <v>57240262</v>
      </c>
      <c r="C3039" s="36" t="s">
        <v>3336</v>
      </c>
      <c r="D3039" s="37">
        <v>42093.600115740737</v>
      </c>
      <c r="E3039" s="37">
        <v>42093.607604166667</v>
      </c>
      <c r="F3039">
        <v>1</v>
      </c>
      <c r="K3039">
        <v>6</v>
      </c>
      <c r="W3039" s="47"/>
    </row>
    <row r="3040" spans="1:23" hidden="1">
      <c r="A3040">
        <v>3863328237</v>
      </c>
      <c r="B3040">
        <v>57240262</v>
      </c>
      <c r="C3040" s="36" t="s">
        <v>3337</v>
      </c>
      <c r="D3040" s="37">
        <v>42093.620023148149</v>
      </c>
      <c r="E3040" s="37">
        <v>42093.62809027778</v>
      </c>
      <c r="I3040">
        <v>4</v>
      </c>
      <c r="P3040">
        <v>11</v>
      </c>
      <c r="W3040" s="47"/>
    </row>
    <row r="3041" spans="1:23" hidden="1">
      <c r="A3041">
        <v>3863473596</v>
      </c>
      <c r="B3041">
        <v>57240262</v>
      </c>
      <c r="C3041" s="36" t="s">
        <v>3338</v>
      </c>
      <c r="D3041" s="37">
        <v>42093.654074074075</v>
      </c>
      <c r="E3041" s="37">
        <v>42093.662997685184</v>
      </c>
      <c r="U3041">
        <v>16</v>
      </c>
      <c r="W3041" s="47"/>
    </row>
    <row r="3042" spans="1:23" hidden="1">
      <c r="A3042">
        <v>3863703092</v>
      </c>
      <c r="B3042">
        <v>57240262</v>
      </c>
      <c r="C3042" s="36" t="s">
        <v>3339</v>
      </c>
      <c r="D3042" s="37">
        <v>42093.712395833332</v>
      </c>
      <c r="E3042" s="37">
        <v>42093.726423611108</v>
      </c>
      <c r="F3042">
        <v>1</v>
      </c>
      <c r="G3042">
        <v>2</v>
      </c>
      <c r="W3042" s="47"/>
    </row>
    <row r="3043" spans="1:23" hidden="1">
      <c r="A3043">
        <v>3863967279</v>
      </c>
      <c r="B3043">
        <v>57240262</v>
      </c>
      <c r="C3043" s="36" t="s">
        <v>3340</v>
      </c>
      <c r="D3043" s="37">
        <v>42093.7815625</v>
      </c>
      <c r="E3043" s="37">
        <v>42093.782094907408</v>
      </c>
      <c r="W3043" s="47"/>
    </row>
    <row r="3044" spans="1:23" hidden="1">
      <c r="A3044">
        <v>3864024990</v>
      </c>
      <c r="B3044">
        <v>57240262</v>
      </c>
      <c r="C3044" s="36" t="s">
        <v>3341</v>
      </c>
      <c r="D3044" s="37">
        <v>42093.796064814815</v>
      </c>
      <c r="E3044" s="37">
        <v>42093.800266203703</v>
      </c>
      <c r="U3044">
        <v>16</v>
      </c>
      <c r="W3044" s="47"/>
    </row>
    <row r="3045" spans="1:23" hidden="1">
      <c r="A3045">
        <v>3864033853</v>
      </c>
      <c r="B3045">
        <v>57240262</v>
      </c>
      <c r="C3045" s="36" t="s">
        <v>3342</v>
      </c>
      <c r="D3045" s="37">
        <v>42093.798611111109</v>
      </c>
      <c r="E3045" s="37">
        <v>42093.812581018516</v>
      </c>
      <c r="F3045">
        <v>1</v>
      </c>
      <c r="O3045">
        <v>10</v>
      </c>
      <c r="W3045" s="47"/>
    </row>
    <row r="3046" spans="1:23">
      <c r="A3046">
        <v>3864086275</v>
      </c>
      <c r="B3046">
        <v>57240262</v>
      </c>
      <c r="C3046" s="36" t="s">
        <v>3343</v>
      </c>
      <c r="D3046" s="37">
        <v>42093.812615740739</v>
      </c>
      <c r="E3046" s="37">
        <v>42093.814305555556</v>
      </c>
      <c r="F3046">
        <v>1</v>
      </c>
      <c r="G3046">
        <v>2</v>
      </c>
      <c r="N3046">
        <v>9</v>
      </c>
      <c r="O3046">
        <v>10</v>
      </c>
      <c r="V3046" s="42" t="s">
        <v>25</v>
      </c>
      <c r="W3046" s="47">
        <v>1</v>
      </c>
    </row>
    <row r="3047" spans="1:23" hidden="1">
      <c r="A3047">
        <v>3864123021</v>
      </c>
      <c r="B3047">
        <v>57240262</v>
      </c>
      <c r="C3047" s="36" t="s">
        <v>3344</v>
      </c>
      <c r="D3047" s="37">
        <v>42093.822546296295</v>
      </c>
      <c r="E3047" s="37">
        <v>42093.828773148147</v>
      </c>
      <c r="K3047">
        <v>6</v>
      </c>
      <c r="W3047" s="47"/>
    </row>
    <row r="3048" spans="1:23" hidden="1">
      <c r="A3048">
        <v>3864162511</v>
      </c>
      <c r="B3048">
        <v>57240262</v>
      </c>
      <c r="C3048" s="36" t="s">
        <v>3345</v>
      </c>
      <c r="D3048" s="37">
        <v>42093.832939814813</v>
      </c>
      <c r="E3048" s="37">
        <v>42093.834131944444</v>
      </c>
      <c r="G3048">
        <v>2</v>
      </c>
      <c r="W3048" s="47"/>
    </row>
    <row r="3049" spans="1:23">
      <c r="A3049">
        <v>3864090411</v>
      </c>
      <c r="B3049">
        <v>57240262</v>
      </c>
      <c r="C3049" s="36" t="s">
        <v>3346</v>
      </c>
      <c r="D3049" s="37">
        <v>42093.81355324074</v>
      </c>
      <c r="E3049" s="37">
        <v>42093.844444444447</v>
      </c>
      <c r="F3049">
        <v>1</v>
      </c>
      <c r="G3049">
        <v>2</v>
      </c>
      <c r="I3049">
        <v>4</v>
      </c>
      <c r="K3049">
        <v>6</v>
      </c>
      <c r="O3049">
        <v>10</v>
      </c>
      <c r="V3049" s="42" t="s">
        <v>9</v>
      </c>
      <c r="W3049" s="47">
        <v>6</v>
      </c>
    </row>
    <row r="3050" spans="1:23" hidden="1">
      <c r="A3050">
        <v>3864156358</v>
      </c>
      <c r="B3050">
        <v>57240262</v>
      </c>
      <c r="C3050" s="36" t="s">
        <v>3347</v>
      </c>
      <c r="D3050" s="37">
        <v>42093.831261574072</v>
      </c>
      <c r="E3050" s="37">
        <v>42093.848483796297</v>
      </c>
      <c r="U3050">
        <v>16</v>
      </c>
      <c r="W3050" s="47"/>
    </row>
    <row r="3051" spans="1:23" hidden="1">
      <c r="A3051">
        <v>3864233234</v>
      </c>
      <c r="B3051">
        <v>57240262</v>
      </c>
      <c r="C3051" s="36" t="s">
        <v>3348</v>
      </c>
      <c r="D3051" s="37">
        <v>42093.849444444444</v>
      </c>
      <c r="E3051" s="37">
        <v>42093.857442129629</v>
      </c>
      <c r="H3051">
        <v>3</v>
      </c>
      <c r="W3051" s="47"/>
    </row>
    <row r="3052" spans="1:23" hidden="1">
      <c r="A3052">
        <v>3864372457</v>
      </c>
      <c r="B3052">
        <v>57240262</v>
      </c>
      <c r="C3052" s="36" t="s">
        <v>3349</v>
      </c>
      <c r="D3052" s="37">
        <v>42093.893483796295</v>
      </c>
      <c r="E3052" s="37">
        <v>42093.897800925923</v>
      </c>
      <c r="U3052">
        <v>16</v>
      </c>
      <c r="W3052" s="47"/>
    </row>
    <row r="3053" spans="1:23">
      <c r="A3053">
        <v>3864658094</v>
      </c>
      <c r="B3053">
        <v>57240262</v>
      </c>
      <c r="C3053" s="36" t="s">
        <v>3350</v>
      </c>
      <c r="D3053" s="37">
        <v>42094.0078587963</v>
      </c>
      <c r="E3053" s="37">
        <v>42094.041550925926</v>
      </c>
      <c r="G3053">
        <v>2</v>
      </c>
      <c r="H3053">
        <v>3</v>
      </c>
      <c r="L3053">
        <v>7</v>
      </c>
      <c r="O3053">
        <v>10</v>
      </c>
      <c r="P3053">
        <v>11</v>
      </c>
      <c r="R3053">
        <v>13</v>
      </c>
      <c r="S3053">
        <v>14</v>
      </c>
      <c r="V3053" s="42" t="s">
        <v>3524</v>
      </c>
      <c r="W3053" s="47">
        <v>3</v>
      </c>
    </row>
    <row r="3054" spans="1:23" hidden="1">
      <c r="A3054">
        <v>3865011667</v>
      </c>
      <c r="B3054">
        <v>57240262</v>
      </c>
      <c r="C3054" s="36" t="s">
        <v>3351</v>
      </c>
      <c r="D3054" s="37">
        <v>42094.206157407411</v>
      </c>
      <c r="E3054" s="37">
        <v>42094.20689814815</v>
      </c>
      <c r="W3054" s="47"/>
    </row>
    <row r="3055" spans="1:23" hidden="1">
      <c r="A3055">
        <v>3865047548</v>
      </c>
      <c r="B3055">
        <v>57240262</v>
      </c>
      <c r="C3055" s="36" t="s">
        <v>3352</v>
      </c>
      <c r="D3055" s="37">
        <v>42094.235601851855</v>
      </c>
      <c r="E3055" s="37">
        <v>42094.245775462965</v>
      </c>
      <c r="O3055">
        <v>10</v>
      </c>
      <c r="W3055" s="47"/>
    </row>
    <row r="3056" spans="1:23" hidden="1">
      <c r="A3056">
        <v>3865090409</v>
      </c>
      <c r="B3056">
        <v>57240262</v>
      </c>
      <c r="C3056" s="36" t="s">
        <v>3353</v>
      </c>
      <c r="D3056" s="37">
        <v>42094.268958333334</v>
      </c>
      <c r="E3056" s="37">
        <v>42094.274560185186</v>
      </c>
      <c r="U3056">
        <v>16</v>
      </c>
      <c r="W3056" s="47"/>
    </row>
    <row r="3057" spans="1:23" hidden="1">
      <c r="A3057">
        <v>3865107411</v>
      </c>
      <c r="B3057">
        <v>57240262</v>
      </c>
      <c r="C3057" s="36" t="s">
        <v>3354</v>
      </c>
      <c r="D3057" s="37">
        <v>42094.282129629632</v>
      </c>
      <c r="E3057" s="37">
        <v>42094.288136574076</v>
      </c>
      <c r="U3057">
        <v>16</v>
      </c>
      <c r="W3057" s="47"/>
    </row>
    <row r="3058" spans="1:23" hidden="1">
      <c r="A3058">
        <v>3865118862</v>
      </c>
      <c r="B3058">
        <v>57240262</v>
      </c>
      <c r="C3058" s="36" t="s">
        <v>3355</v>
      </c>
      <c r="D3058" s="37">
        <v>42094.290497685186</v>
      </c>
      <c r="E3058" s="37">
        <v>42094.294965277775</v>
      </c>
      <c r="U3058">
        <v>16</v>
      </c>
      <c r="W3058" s="47"/>
    </row>
    <row r="3059" spans="1:23" hidden="1">
      <c r="A3059">
        <v>3865299760</v>
      </c>
      <c r="B3059">
        <v>57240262</v>
      </c>
      <c r="C3059" s="36" t="s">
        <v>3356</v>
      </c>
      <c r="D3059" s="37">
        <v>42094.400543981479</v>
      </c>
      <c r="E3059" s="37">
        <v>42094.411562499998</v>
      </c>
      <c r="M3059">
        <v>8</v>
      </c>
      <c r="W3059" s="47"/>
    </row>
    <row r="3060" spans="1:23" hidden="1">
      <c r="A3060">
        <v>3865361588</v>
      </c>
      <c r="B3060">
        <v>57240262</v>
      </c>
      <c r="C3060" s="36" t="s">
        <v>3357</v>
      </c>
      <c r="D3060" s="37">
        <v>42094.435486111113</v>
      </c>
      <c r="E3060" s="37">
        <v>42094.436122685183</v>
      </c>
      <c r="W3060" s="47"/>
    </row>
    <row r="3061" spans="1:23" ht="24">
      <c r="A3061">
        <v>3865446623</v>
      </c>
      <c r="B3061">
        <v>57240262</v>
      </c>
      <c r="C3061" s="36" t="s">
        <v>3358</v>
      </c>
      <c r="D3061" s="37">
        <v>42094.477951388886</v>
      </c>
      <c r="E3061" s="37">
        <v>42094.486307870371</v>
      </c>
      <c r="F3061">
        <v>1</v>
      </c>
      <c r="G3061">
        <v>2</v>
      </c>
      <c r="O3061">
        <v>10</v>
      </c>
      <c r="V3061" s="42" t="s">
        <v>3525</v>
      </c>
      <c r="W3061" s="47">
        <v>2</v>
      </c>
    </row>
    <row r="3062" spans="1:23" hidden="1">
      <c r="A3062">
        <v>3865622764</v>
      </c>
      <c r="B3062">
        <v>57240262</v>
      </c>
      <c r="C3062" s="36" t="s">
        <v>3359</v>
      </c>
      <c r="D3062" s="37">
        <v>42094.543055555558</v>
      </c>
      <c r="E3062" s="37">
        <v>42094.548263888886</v>
      </c>
      <c r="U3062">
        <v>16</v>
      </c>
      <c r="W3062" s="47"/>
    </row>
    <row r="3063" spans="1:23" hidden="1">
      <c r="A3063">
        <v>3865687424</v>
      </c>
      <c r="B3063">
        <v>57240262</v>
      </c>
      <c r="C3063" s="36" t="s">
        <v>3360</v>
      </c>
      <c r="D3063" s="37">
        <v>42094.560520833336</v>
      </c>
      <c r="E3063" s="37">
        <v>42094.565891203703</v>
      </c>
      <c r="F3063">
        <v>1</v>
      </c>
      <c r="G3063">
        <v>2</v>
      </c>
      <c r="W3063" s="47"/>
    </row>
    <row r="3064" spans="1:23" hidden="1">
      <c r="A3064">
        <v>3865730578</v>
      </c>
      <c r="B3064">
        <v>57240262</v>
      </c>
      <c r="C3064" s="36" t="s">
        <v>3361</v>
      </c>
      <c r="D3064" s="37">
        <v>42094.572187500002</v>
      </c>
      <c r="E3064" s="37">
        <v>42094.576423611114</v>
      </c>
      <c r="Q3064">
        <v>12</v>
      </c>
      <c r="W3064" s="47"/>
    </row>
    <row r="3065" spans="1:23">
      <c r="A3065">
        <v>3865748414</v>
      </c>
      <c r="B3065">
        <v>57240262</v>
      </c>
      <c r="C3065" s="36" t="s">
        <v>3362</v>
      </c>
      <c r="D3065" s="37">
        <v>42094.576817129629</v>
      </c>
      <c r="E3065" s="37">
        <v>42094.583611111113</v>
      </c>
      <c r="F3065">
        <v>1</v>
      </c>
      <c r="Q3065">
        <v>12</v>
      </c>
      <c r="V3065" s="42" t="s">
        <v>3526</v>
      </c>
      <c r="W3065" s="47">
        <v>1</v>
      </c>
    </row>
    <row r="3066" spans="1:23">
      <c r="A3066">
        <v>3865796937</v>
      </c>
      <c r="B3066">
        <v>57240262</v>
      </c>
      <c r="C3066" s="36" t="s">
        <v>3363</v>
      </c>
      <c r="D3066" s="37">
        <v>42094.589282407411</v>
      </c>
      <c r="E3066" s="37">
        <v>42094.594027777777</v>
      </c>
      <c r="F3066">
        <v>1</v>
      </c>
      <c r="R3066">
        <v>13</v>
      </c>
      <c r="S3066">
        <v>14</v>
      </c>
      <c r="V3066" s="42" t="s">
        <v>25</v>
      </c>
      <c r="W3066" s="47">
        <v>1</v>
      </c>
    </row>
    <row r="3067" spans="1:23" hidden="1">
      <c r="A3067">
        <v>3865815803</v>
      </c>
      <c r="B3067">
        <v>57240262</v>
      </c>
      <c r="C3067" s="36" t="s">
        <v>3364</v>
      </c>
      <c r="D3067" s="37">
        <v>42094.594085648147</v>
      </c>
      <c r="E3067" s="37">
        <v>42094.597442129627</v>
      </c>
      <c r="I3067">
        <v>4</v>
      </c>
      <c r="W3067" s="47"/>
    </row>
    <row r="3068" spans="1:23" hidden="1">
      <c r="A3068">
        <v>3865829115</v>
      </c>
      <c r="B3068">
        <v>57240262</v>
      </c>
      <c r="C3068" s="36" t="s">
        <v>3365</v>
      </c>
      <c r="D3068" s="37">
        <v>42094.597500000003</v>
      </c>
      <c r="E3068" s="37">
        <v>42094.600127314814</v>
      </c>
      <c r="U3068">
        <v>16</v>
      </c>
      <c r="W3068" s="47"/>
    </row>
    <row r="3069" spans="1:23" hidden="1">
      <c r="A3069">
        <v>3865840297</v>
      </c>
      <c r="B3069">
        <v>57240262</v>
      </c>
      <c r="C3069" s="36" t="s">
        <v>3366</v>
      </c>
      <c r="D3069" s="37">
        <v>42094.600358796299</v>
      </c>
      <c r="E3069" s="37">
        <v>42094.606423611112</v>
      </c>
      <c r="F3069">
        <v>1</v>
      </c>
      <c r="W3069" s="47"/>
    </row>
    <row r="3070" spans="1:23" hidden="1">
      <c r="A3070">
        <v>3865891673</v>
      </c>
      <c r="B3070">
        <v>57240262</v>
      </c>
      <c r="C3070" s="36" t="s">
        <v>3367</v>
      </c>
      <c r="D3070" s="37">
        <v>42094.613182870373</v>
      </c>
      <c r="E3070" s="37">
        <v>42094.618495370371</v>
      </c>
      <c r="F3070">
        <v>1</v>
      </c>
      <c r="G3070">
        <v>2</v>
      </c>
      <c r="O3070">
        <v>10</v>
      </c>
      <c r="Q3070">
        <v>12</v>
      </c>
      <c r="W3070" s="47"/>
    </row>
    <row r="3071" spans="1:23" hidden="1">
      <c r="A3071">
        <v>3865914031</v>
      </c>
      <c r="B3071">
        <v>57240262</v>
      </c>
      <c r="C3071" s="36" t="s">
        <v>3368</v>
      </c>
      <c r="D3071" s="37">
        <v>42094.618622685186</v>
      </c>
      <c r="E3071" s="37">
        <v>42094.621793981481</v>
      </c>
      <c r="G3071">
        <v>2</v>
      </c>
      <c r="M3071">
        <v>8</v>
      </c>
      <c r="W3071" s="47"/>
    </row>
    <row r="3072" spans="1:23" hidden="1">
      <c r="A3072">
        <v>3866051285</v>
      </c>
      <c r="B3072">
        <v>57240262</v>
      </c>
      <c r="C3072" s="36" t="s">
        <v>3369</v>
      </c>
      <c r="D3072" s="37">
        <v>42094.652083333334</v>
      </c>
      <c r="E3072" s="37">
        <v>42094.660092592596</v>
      </c>
      <c r="K3072">
        <v>6</v>
      </c>
      <c r="W3072" s="47"/>
    </row>
    <row r="3073" spans="1:23" ht="24">
      <c r="A3073">
        <v>3866048075</v>
      </c>
      <c r="B3073">
        <v>57240262</v>
      </c>
      <c r="C3073" s="36" t="s">
        <v>3370</v>
      </c>
      <c r="D3073" s="37">
        <v>42094.650937500002</v>
      </c>
      <c r="E3073" s="37">
        <v>42094.661944444444</v>
      </c>
      <c r="G3073">
        <v>2</v>
      </c>
      <c r="H3073">
        <v>3</v>
      </c>
      <c r="O3073">
        <v>10</v>
      </c>
      <c r="R3073">
        <v>13</v>
      </c>
      <c r="V3073" s="42" t="s">
        <v>3527</v>
      </c>
      <c r="W3073" s="47">
        <v>2</v>
      </c>
    </row>
    <row r="3074" spans="1:23" hidden="1">
      <c r="A3074">
        <v>3866480373</v>
      </c>
      <c r="B3074">
        <v>57240262</v>
      </c>
      <c r="C3074" s="36" t="s">
        <v>3371</v>
      </c>
      <c r="D3074" s="37">
        <v>42094.763969907406</v>
      </c>
      <c r="E3074" s="37">
        <v>42094.768483796295</v>
      </c>
      <c r="F3074">
        <v>1</v>
      </c>
      <c r="G3074">
        <v>2</v>
      </c>
      <c r="O3074">
        <v>10</v>
      </c>
      <c r="W3074" s="47"/>
    </row>
    <row r="3075" spans="1:23" hidden="1">
      <c r="A3075">
        <v>3866479881</v>
      </c>
      <c r="B3075">
        <v>57240262</v>
      </c>
      <c r="C3075" s="36" t="s">
        <v>3372</v>
      </c>
      <c r="D3075" s="37">
        <v>42094.763784722221</v>
      </c>
      <c r="E3075" s="37">
        <v>42094.769618055558</v>
      </c>
      <c r="F3075">
        <v>1</v>
      </c>
      <c r="G3075">
        <v>2</v>
      </c>
      <c r="O3075">
        <v>10</v>
      </c>
      <c r="W3075" s="47"/>
    </row>
    <row r="3076" spans="1:23" hidden="1">
      <c r="A3076">
        <v>3866508482</v>
      </c>
      <c r="B3076">
        <v>57240262</v>
      </c>
      <c r="C3076" s="36" t="s">
        <v>3373</v>
      </c>
      <c r="D3076" s="37">
        <v>42094.771412037036</v>
      </c>
      <c r="E3076" s="37">
        <v>42094.772083333337</v>
      </c>
      <c r="U3076">
        <v>16</v>
      </c>
      <c r="W3076" s="47"/>
    </row>
    <row r="3077" spans="1:23">
      <c r="A3077">
        <v>3866527075</v>
      </c>
      <c r="B3077">
        <v>57240262</v>
      </c>
      <c r="C3077" s="36" t="s">
        <v>3374</v>
      </c>
      <c r="D3077" s="37">
        <v>42094.776180555556</v>
      </c>
      <c r="E3077" s="37">
        <v>42094.782719907409</v>
      </c>
      <c r="H3077">
        <v>3</v>
      </c>
      <c r="Q3077">
        <v>12</v>
      </c>
      <c r="V3077" s="42" t="s">
        <v>159</v>
      </c>
      <c r="W3077" s="47">
        <v>3</v>
      </c>
    </row>
    <row r="3078" spans="1:23" hidden="1">
      <c r="A3078">
        <v>3866690538</v>
      </c>
      <c r="B3078">
        <v>57240262</v>
      </c>
      <c r="C3078" s="36" t="s">
        <v>3375</v>
      </c>
      <c r="D3078" s="37">
        <v>42094.815347222226</v>
      </c>
      <c r="E3078" s="37">
        <v>42094.815983796296</v>
      </c>
      <c r="W3078" s="47"/>
    </row>
    <row r="3079" spans="1:23" hidden="1">
      <c r="A3079">
        <v>3866697686</v>
      </c>
      <c r="B3079">
        <v>57240262</v>
      </c>
      <c r="C3079" s="36" t="s">
        <v>3376</v>
      </c>
      <c r="D3079" s="37">
        <v>42094.816886574074</v>
      </c>
      <c r="E3079" s="37">
        <v>42094.823287037034</v>
      </c>
      <c r="U3079">
        <v>16</v>
      </c>
      <c r="W3079" s="47"/>
    </row>
    <row r="3080" spans="1:23" hidden="1">
      <c r="A3080">
        <v>3866730031</v>
      </c>
      <c r="B3080">
        <v>57240262</v>
      </c>
      <c r="C3080" s="36" t="s">
        <v>3377</v>
      </c>
      <c r="D3080" s="37">
        <v>42094.82534722222</v>
      </c>
      <c r="E3080" s="37">
        <v>42094.835856481484</v>
      </c>
      <c r="U3080">
        <v>16</v>
      </c>
      <c r="W3080" s="47"/>
    </row>
    <row r="3081" spans="1:23">
      <c r="A3081">
        <v>3866748198</v>
      </c>
      <c r="B3081">
        <v>57240262</v>
      </c>
      <c r="C3081" s="36" t="s">
        <v>3378</v>
      </c>
      <c r="D3081" s="37">
        <v>42094.829861111109</v>
      </c>
      <c r="E3081" s="37">
        <v>42094.836168981485</v>
      </c>
      <c r="F3081">
        <v>1</v>
      </c>
      <c r="J3081">
        <v>5</v>
      </c>
      <c r="R3081">
        <v>13</v>
      </c>
      <c r="V3081" s="42" t="s">
        <v>25</v>
      </c>
      <c r="W3081" s="47">
        <v>1</v>
      </c>
    </row>
    <row r="3082" spans="1:23" hidden="1">
      <c r="A3082">
        <v>3866830156</v>
      </c>
      <c r="B3082">
        <v>57240262</v>
      </c>
      <c r="C3082" s="36" t="s">
        <v>3379</v>
      </c>
      <c r="D3082" s="37">
        <v>42094.850555555553</v>
      </c>
      <c r="E3082" s="37">
        <v>42094.851701388892</v>
      </c>
      <c r="U3082">
        <v>16</v>
      </c>
      <c r="W3082" s="47"/>
    </row>
    <row r="3083" spans="1:23" hidden="1">
      <c r="A3083">
        <v>3866843827</v>
      </c>
      <c r="B3083">
        <v>57240262</v>
      </c>
      <c r="C3083" s="36" t="s">
        <v>3380</v>
      </c>
      <c r="D3083" s="37">
        <v>42094.854143518518</v>
      </c>
      <c r="E3083" s="37">
        <v>42094.856828703705</v>
      </c>
      <c r="I3083">
        <v>4</v>
      </c>
      <c r="W3083" s="47"/>
    </row>
    <row r="3084" spans="1:23" hidden="1">
      <c r="A3084">
        <v>3866864349</v>
      </c>
      <c r="B3084">
        <v>57240262</v>
      </c>
      <c r="C3084" s="36" t="s">
        <v>3381</v>
      </c>
      <c r="D3084" s="37">
        <v>42094.859432870369</v>
      </c>
      <c r="E3084" s="37">
        <v>42094.860254629632</v>
      </c>
      <c r="F3084">
        <v>1</v>
      </c>
      <c r="W3084" s="47"/>
    </row>
    <row r="3085" spans="1:23" hidden="1">
      <c r="A3085">
        <v>3866880046</v>
      </c>
      <c r="B3085">
        <v>57240262</v>
      </c>
      <c r="C3085" s="36" t="s">
        <v>3382</v>
      </c>
      <c r="D3085" s="37">
        <v>42094.863368055558</v>
      </c>
      <c r="E3085" s="37">
        <v>42094.86440972222</v>
      </c>
      <c r="J3085">
        <v>5</v>
      </c>
      <c r="K3085">
        <v>6</v>
      </c>
      <c r="W3085" s="47"/>
    </row>
    <row r="3086" spans="1:23" hidden="1">
      <c r="A3086">
        <v>3866870975</v>
      </c>
      <c r="B3086">
        <v>57240262</v>
      </c>
      <c r="C3086" s="36" t="s">
        <v>3383</v>
      </c>
      <c r="D3086" s="37">
        <v>42094.860763888886</v>
      </c>
      <c r="E3086" s="37">
        <v>42094.86582175926</v>
      </c>
      <c r="H3086">
        <v>3</v>
      </c>
      <c r="J3086">
        <v>5</v>
      </c>
      <c r="N3086">
        <v>9</v>
      </c>
      <c r="W3086" s="47"/>
    </row>
    <row r="3087" spans="1:23" hidden="1">
      <c r="A3087">
        <v>3866900863</v>
      </c>
      <c r="B3087">
        <v>57240262</v>
      </c>
      <c r="C3087" s="36" t="s">
        <v>3384</v>
      </c>
      <c r="D3087" s="37">
        <v>42094.868981481479</v>
      </c>
      <c r="E3087" s="37">
        <v>42094.873981481483</v>
      </c>
      <c r="H3087">
        <v>3</v>
      </c>
      <c r="W3087" s="47"/>
    </row>
    <row r="3088" spans="1:23" hidden="1">
      <c r="A3088">
        <v>3866933730</v>
      </c>
      <c r="B3088">
        <v>57240262</v>
      </c>
      <c r="C3088" s="36" t="s">
        <v>3385</v>
      </c>
      <c r="D3088" s="37">
        <v>42094.878240740742</v>
      </c>
      <c r="E3088" s="37">
        <v>42094.879780092589</v>
      </c>
      <c r="U3088">
        <v>16</v>
      </c>
      <c r="W3088" s="47"/>
    </row>
    <row r="3089" spans="1:23" hidden="1">
      <c r="A3089">
        <v>3866972996</v>
      </c>
      <c r="B3089">
        <v>57240262</v>
      </c>
      <c r="C3089" s="36" t="s">
        <v>3386</v>
      </c>
      <c r="D3089" s="37">
        <v>42094.88958333333</v>
      </c>
      <c r="E3089" s="37">
        <v>42094.894467592596</v>
      </c>
      <c r="F3089">
        <v>1</v>
      </c>
      <c r="W3089" s="47"/>
    </row>
    <row r="3090" spans="1:23" hidden="1">
      <c r="A3090">
        <v>3867018912</v>
      </c>
      <c r="B3090">
        <v>57240262</v>
      </c>
      <c r="C3090" s="36" t="s">
        <v>3387</v>
      </c>
      <c r="D3090" s="37">
        <v>42094.903043981481</v>
      </c>
      <c r="E3090" s="37">
        <v>42094.909861111111</v>
      </c>
      <c r="R3090">
        <v>13</v>
      </c>
      <c r="W3090" s="47"/>
    </row>
    <row r="3091" spans="1:23" hidden="1">
      <c r="A3091">
        <v>3867101915</v>
      </c>
      <c r="B3091">
        <v>57240262</v>
      </c>
      <c r="C3091" s="36" t="s">
        <v>3388</v>
      </c>
      <c r="D3091" s="37">
        <v>42094.931481481479</v>
      </c>
      <c r="E3091" s="37">
        <v>42094.936481481483</v>
      </c>
      <c r="U3091">
        <v>16</v>
      </c>
      <c r="W3091" s="47"/>
    </row>
    <row r="3092" spans="1:23" hidden="1">
      <c r="A3092">
        <v>3867100458</v>
      </c>
      <c r="B3092">
        <v>57240262</v>
      </c>
      <c r="C3092" s="36" t="s">
        <v>3389</v>
      </c>
      <c r="D3092" s="37">
        <v>42094.931018518517</v>
      </c>
      <c r="E3092" s="37">
        <v>42094.936782407407</v>
      </c>
      <c r="U3092">
        <v>16</v>
      </c>
      <c r="W3092" s="47"/>
    </row>
    <row r="3093" spans="1:23">
      <c r="A3093">
        <v>3867115859</v>
      </c>
      <c r="B3093">
        <v>57240262</v>
      </c>
      <c r="C3093" s="36" t="s">
        <v>3390</v>
      </c>
      <c r="D3093" s="37">
        <v>42094.936793981484</v>
      </c>
      <c r="E3093" s="37">
        <v>42094.946458333332</v>
      </c>
      <c r="F3093">
        <v>1</v>
      </c>
      <c r="G3093">
        <v>2</v>
      </c>
      <c r="O3093">
        <v>10</v>
      </c>
      <c r="V3093" s="42" t="s">
        <v>3528</v>
      </c>
      <c r="W3093" s="47">
        <v>2</v>
      </c>
    </row>
    <row r="3094" spans="1:23" hidden="1">
      <c r="A3094">
        <v>3867158786</v>
      </c>
      <c r="B3094">
        <v>57240262</v>
      </c>
      <c r="C3094" s="36" t="s">
        <v>3391</v>
      </c>
      <c r="D3094" s="37">
        <v>42094.9530787037</v>
      </c>
      <c r="E3094" s="37">
        <v>42094.954247685186</v>
      </c>
      <c r="F3094">
        <v>1</v>
      </c>
      <c r="G3094">
        <v>2</v>
      </c>
      <c r="H3094">
        <v>3</v>
      </c>
      <c r="R3094">
        <v>13</v>
      </c>
      <c r="W3094" s="47"/>
    </row>
    <row r="3095" spans="1:23" hidden="1">
      <c r="A3095">
        <v>3867159229</v>
      </c>
      <c r="B3095">
        <v>57240262</v>
      </c>
      <c r="C3095" s="36" t="s">
        <v>3392</v>
      </c>
      <c r="D3095" s="37">
        <v>42094.9531712963</v>
      </c>
      <c r="E3095" s="37">
        <v>42094.958425925928</v>
      </c>
      <c r="K3095">
        <v>6</v>
      </c>
      <c r="W3095" s="47"/>
    </row>
    <row r="3096" spans="1:23" hidden="1">
      <c r="A3096">
        <v>3867167266</v>
      </c>
      <c r="B3096">
        <v>57240262</v>
      </c>
      <c r="C3096" s="36" t="s">
        <v>3393</v>
      </c>
      <c r="D3096" s="37">
        <v>42094.956377314818</v>
      </c>
      <c r="E3096" s="37">
        <v>42094.959340277775</v>
      </c>
      <c r="M3096">
        <v>8</v>
      </c>
      <c r="W3096" s="47"/>
    </row>
    <row r="3097" spans="1:23">
      <c r="A3097">
        <v>3867165297</v>
      </c>
      <c r="B3097">
        <v>57240262</v>
      </c>
      <c r="C3097" s="36" t="s">
        <v>3394</v>
      </c>
      <c r="D3097" s="37">
        <v>42094.955474537041</v>
      </c>
      <c r="E3097" s="37">
        <v>42094.961851851855</v>
      </c>
      <c r="F3097">
        <v>1</v>
      </c>
      <c r="H3097">
        <v>3</v>
      </c>
      <c r="J3097">
        <v>5</v>
      </c>
      <c r="K3097">
        <v>6</v>
      </c>
      <c r="L3097">
        <v>7</v>
      </c>
      <c r="P3097">
        <v>11</v>
      </c>
      <c r="Q3097">
        <v>12</v>
      </c>
      <c r="V3097" s="42" t="s">
        <v>40</v>
      </c>
      <c r="W3097" s="47">
        <v>12</v>
      </c>
    </row>
    <row r="3098" spans="1:23" hidden="1">
      <c r="A3098">
        <v>3870578862</v>
      </c>
      <c r="B3098">
        <v>66383833</v>
      </c>
      <c r="C3098" s="36" t="s">
        <v>3395</v>
      </c>
      <c r="D3098" s="37">
        <v>42096.402905092589</v>
      </c>
      <c r="E3098" s="37">
        <v>42096.40556712963</v>
      </c>
      <c r="U3098">
        <v>16</v>
      </c>
      <c r="W3098" s="47"/>
    </row>
    <row r="3099" spans="1:23" hidden="1">
      <c r="A3099">
        <v>3870582998</v>
      </c>
      <c r="B3099">
        <v>66383833</v>
      </c>
      <c r="C3099" s="36" t="s">
        <v>3396</v>
      </c>
      <c r="D3099" s="37">
        <v>42096.40556712963</v>
      </c>
      <c r="E3099" s="37">
        <v>42096.408113425925</v>
      </c>
      <c r="U3099">
        <v>16</v>
      </c>
      <c r="W3099" s="47"/>
    </row>
    <row r="3100" spans="1:23" hidden="1">
      <c r="A3100">
        <v>3870586890</v>
      </c>
      <c r="B3100">
        <v>66383833</v>
      </c>
      <c r="C3100" s="36" t="s">
        <v>3397</v>
      </c>
      <c r="D3100" s="37">
        <v>42096.408113425925</v>
      </c>
      <c r="E3100" s="37">
        <v>42096.412372685183</v>
      </c>
      <c r="H3100">
        <v>3</v>
      </c>
      <c r="W3100" s="47"/>
    </row>
    <row r="3101" spans="1:23" hidden="1">
      <c r="A3101">
        <v>3870593885</v>
      </c>
      <c r="B3101">
        <v>66383833</v>
      </c>
      <c r="C3101" s="36" t="s">
        <v>3398</v>
      </c>
      <c r="D3101" s="37">
        <v>42096.412372685183</v>
      </c>
      <c r="E3101" s="37">
        <v>42096.415046296293</v>
      </c>
      <c r="U3101">
        <v>16</v>
      </c>
      <c r="W3101" s="47"/>
    </row>
    <row r="3102" spans="1:23" hidden="1">
      <c r="A3102">
        <v>3870598228</v>
      </c>
      <c r="B3102">
        <v>66383833</v>
      </c>
      <c r="C3102" s="36" t="s">
        <v>3399</v>
      </c>
      <c r="D3102" s="37">
        <v>42096.41505787037</v>
      </c>
      <c r="E3102" s="37">
        <v>42096.417326388888</v>
      </c>
      <c r="U3102">
        <v>16</v>
      </c>
      <c r="W3102" s="47"/>
    </row>
    <row r="3103" spans="1:23" hidden="1">
      <c r="A3103">
        <v>3870603558</v>
      </c>
      <c r="B3103">
        <v>66383833</v>
      </c>
      <c r="C3103" s="36" t="s">
        <v>3400</v>
      </c>
      <c r="D3103" s="37">
        <v>42096.417326388888</v>
      </c>
      <c r="E3103" s="37">
        <v>42096.424988425926</v>
      </c>
      <c r="F3103">
        <v>1</v>
      </c>
      <c r="G3103">
        <v>2</v>
      </c>
      <c r="K3103">
        <v>6</v>
      </c>
      <c r="L3103">
        <v>7</v>
      </c>
      <c r="M3103">
        <v>8</v>
      </c>
      <c r="O3103">
        <v>10</v>
      </c>
      <c r="W3103" s="47"/>
    </row>
    <row r="3104" spans="1:23" hidden="1">
      <c r="A3104">
        <v>3870615257</v>
      </c>
      <c r="B3104">
        <v>66383833</v>
      </c>
      <c r="C3104" s="36" t="s">
        <v>3401</v>
      </c>
      <c r="D3104" s="37">
        <v>42096.424988425926</v>
      </c>
      <c r="E3104" s="37">
        <v>42096.428796296299</v>
      </c>
      <c r="U3104">
        <v>16</v>
      </c>
      <c r="W3104" s="47"/>
    </row>
    <row r="3105" spans="1:23" hidden="1">
      <c r="A3105">
        <v>3870621284</v>
      </c>
      <c r="B3105">
        <v>66383833</v>
      </c>
      <c r="C3105" s="36" t="s">
        <v>3402</v>
      </c>
      <c r="D3105" s="37">
        <v>42096.428796296299</v>
      </c>
      <c r="E3105" s="37">
        <v>42096.431516203702</v>
      </c>
      <c r="U3105">
        <v>16</v>
      </c>
      <c r="W3105" s="47"/>
    </row>
    <row r="3106" spans="1:23" hidden="1">
      <c r="A3106">
        <v>3870622837</v>
      </c>
      <c r="B3106">
        <v>66383833</v>
      </c>
      <c r="C3106" s="36" t="s">
        <v>3403</v>
      </c>
      <c r="D3106" s="37">
        <v>42096.429606481484</v>
      </c>
      <c r="E3106" s="37">
        <v>42096.433680555558</v>
      </c>
      <c r="M3106">
        <v>8</v>
      </c>
      <c r="W3106" s="47"/>
    </row>
    <row r="3107" spans="1:23" hidden="1">
      <c r="A3107">
        <v>3870626131</v>
      </c>
      <c r="B3107">
        <v>66383833</v>
      </c>
      <c r="C3107" s="36" t="s">
        <v>3404</v>
      </c>
      <c r="D3107" s="37">
        <v>42096.431527777779</v>
      </c>
      <c r="E3107" s="37">
        <v>42096.434953703705</v>
      </c>
      <c r="O3107">
        <v>10</v>
      </c>
      <c r="W3107" s="47"/>
    </row>
    <row r="3108" spans="1:23" hidden="1">
      <c r="A3108">
        <v>3870630487</v>
      </c>
      <c r="B3108">
        <v>66383833</v>
      </c>
      <c r="C3108" s="36" t="s">
        <v>3405</v>
      </c>
      <c r="D3108" s="37">
        <v>42096.434027777781</v>
      </c>
      <c r="E3108" s="37">
        <v>42096.437222222223</v>
      </c>
      <c r="M3108">
        <v>8</v>
      </c>
      <c r="W3108" s="47"/>
    </row>
    <row r="3109" spans="1:23">
      <c r="A3109">
        <v>3878751454</v>
      </c>
      <c r="B3109">
        <v>66383833</v>
      </c>
      <c r="C3109" s="36" t="s">
        <v>3406</v>
      </c>
      <c r="D3109" s="37">
        <v>42101.389363425929</v>
      </c>
      <c r="E3109" s="37">
        <v>42101.401053240741</v>
      </c>
      <c r="G3109">
        <v>2</v>
      </c>
      <c r="K3109">
        <v>6</v>
      </c>
      <c r="L3109">
        <v>7</v>
      </c>
      <c r="N3109">
        <v>9</v>
      </c>
      <c r="O3109">
        <v>10</v>
      </c>
      <c r="V3109" s="42" t="s">
        <v>117</v>
      </c>
      <c r="W3109" s="47">
        <v>7</v>
      </c>
    </row>
    <row r="3110" spans="1:23">
      <c r="A3110">
        <v>3878771173</v>
      </c>
      <c r="B3110">
        <v>66383833</v>
      </c>
      <c r="C3110" s="36" t="s">
        <v>3407</v>
      </c>
      <c r="D3110" s="37">
        <v>42101.401064814818</v>
      </c>
      <c r="E3110" s="37">
        <v>42101.436226851853</v>
      </c>
      <c r="F3110">
        <v>1</v>
      </c>
      <c r="H3110">
        <v>3</v>
      </c>
      <c r="K3110">
        <v>6</v>
      </c>
      <c r="O3110">
        <v>10</v>
      </c>
      <c r="Q3110">
        <v>12</v>
      </c>
      <c r="S3110">
        <v>14</v>
      </c>
      <c r="V3110" s="42" t="s">
        <v>3529</v>
      </c>
      <c r="W3110" s="47">
        <v>6</v>
      </c>
    </row>
    <row r="3111" spans="1:23">
      <c r="A3111">
        <v>3878833642</v>
      </c>
      <c r="B3111">
        <v>66383833</v>
      </c>
      <c r="C3111" s="36" t="s">
        <v>3408</v>
      </c>
      <c r="D3111" s="37">
        <v>42101.436226851853</v>
      </c>
      <c r="E3111" s="37">
        <v>42101.443564814814</v>
      </c>
      <c r="F3111">
        <v>1</v>
      </c>
      <c r="G3111">
        <v>2</v>
      </c>
      <c r="N3111">
        <v>9</v>
      </c>
      <c r="O3111">
        <v>10</v>
      </c>
      <c r="V3111" s="42" t="s">
        <v>3530</v>
      </c>
      <c r="W3111" s="47">
        <v>10</v>
      </c>
    </row>
    <row r="3112" spans="1:23">
      <c r="A3112">
        <v>3878858388</v>
      </c>
      <c r="B3112">
        <v>66383833</v>
      </c>
      <c r="C3112" s="36" t="s">
        <v>3409</v>
      </c>
      <c r="D3112" s="37">
        <v>42101.443564814814</v>
      </c>
      <c r="E3112" s="37">
        <v>42101.459872685184</v>
      </c>
      <c r="F3112">
        <v>1</v>
      </c>
      <c r="G3112">
        <v>2</v>
      </c>
      <c r="H3112">
        <v>3</v>
      </c>
      <c r="K3112">
        <v>6</v>
      </c>
      <c r="O3112">
        <v>10</v>
      </c>
      <c r="V3112" s="42" t="s">
        <v>3531</v>
      </c>
      <c r="W3112" s="47">
        <v>1</v>
      </c>
    </row>
    <row r="3113" spans="1:23">
      <c r="A3113">
        <v>3878876970</v>
      </c>
      <c r="B3113">
        <v>66383833</v>
      </c>
      <c r="C3113" s="36" t="s">
        <v>3410</v>
      </c>
      <c r="D3113" s="37">
        <v>42101.45988425926</v>
      </c>
      <c r="E3113" s="37">
        <v>42103.420810185184</v>
      </c>
      <c r="F3113">
        <v>1</v>
      </c>
      <c r="G3113">
        <v>2</v>
      </c>
      <c r="N3113">
        <v>9</v>
      </c>
      <c r="O3113">
        <v>10</v>
      </c>
      <c r="V3113" s="42" t="s">
        <v>3532</v>
      </c>
      <c r="W3113" s="47">
        <v>2</v>
      </c>
    </row>
    <row r="3114" spans="1:23">
      <c r="A3114">
        <v>3884126175</v>
      </c>
      <c r="B3114">
        <v>66383833</v>
      </c>
      <c r="C3114" s="36" t="s">
        <v>3411</v>
      </c>
      <c r="D3114" s="37">
        <v>42103.420810185184</v>
      </c>
      <c r="E3114" s="37">
        <v>42103.506944444445</v>
      </c>
      <c r="F3114">
        <v>1</v>
      </c>
      <c r="H3114">
        <v>3</v>
      </c>
      <c r="V3114" s="42" t="s">
        <v>107</v>
      </c>
      <c r="W3114" s="47">
        <v>3</v>
      </c>
    </row>
    <row r="3115" spans="1:23">
      <c r="A3115">
        <v>3884318499</v>
      </c>
      <c r="B3115">
        <v>66383833</v>
      </c>
      <c r="C3115" s="36" t="s">
        <v>3412</v>
      </c>
      <c r="D3115" s="37">
        <v>42103.506944444445</v>
      </c>
      <c r="E3115" s="37">
        <v>42103.508252314816</v>
      </c>
      <c r="F3115">
        <v>1</v>
      </c>
      <c r="H3115">
        <v>3</v>
      </c>
      <c r="K3115">
        <v>6</v>
      </c>
      <c r="V3115" s="42" t="s">
        <v>3533</v>
      </c>
      <c r="W3115" s="47">
        <v>3</v>
      </c>
    </row>
    <row r="3116" spans="1:23">
      <c r="A3116" t="s">
        <v>292</v>
      </c>
      <c r="C3116" s="43"/>
      <c r="V3116" s="42">
        <f>SUBTOTAL(103,Table3[If you selected more than one please tell us which was the most unwelcome or caused you the most difficulty])</f>
        <v>650</v>
      </c>
      <c r="W3116" s="47"/>
    </row>
    <row r="3117" spans="1:23">
      <c r="A3117" s="38"/>
      <c r="B3117" s="38"/>
      <c r="C3117" s="36"/>
      <c r="D3117" s="38"/>
      <c r="E3117" s="38"/>
      <c r="F3117" s="38"/>
      <c r="G3117" s="38"/>
      <c r="H3117" s="38"/>
      <c r="I3117" s="38"/>
      <c r="J3117" s="38"/>
      <c r="K3117" s="38"/>
      <c r="L3117" s="38"/>
      <c r="M3117" s="38"/>
      <c r="N3117" s="38"/>
      <c r="O3117" s="38"/>
      <c r="P3117" s="38"/>
      <c r="Q3117" s="38"/>
      <c r="R3117" s="38"/>
      <c r="S3117" s="38"/>
      <c r="T3117" s="38"/>
      <c r="U3117" s="38"/>
      <c r="V3117" s="38"/>
      <c r="W3117" s="45"/>
    </row>
    <row r="3118" spans="1:23">
      <c r="A3118" s="38"/>
      <c r="B3118" s="38"/>
      <c r="C3118" s="36"/>
      <c r="D3118" s="38"/>
      <c r="E3118" s="38"/>
      <c r="F3118" s="38"/>
      <c r="G3118" s="38"/>
      <c r="H3118" s="38"/>
      <c r="I3118" s="38"/>
      <c r="J3118" s="38"/>
      <c r="K3118" s="38"/>
      <c r="L3118" s="38"/>
      <c r="M3118" s="38"/>
      <c r="N3118" s="38"/>
      <c r="O3118" s="38"/>
      <c r="P3118" s="38"/>
      <c r="Q3118" s="38"/>
      <c r="R3118" s="38"/>
      <c r="S3118" s="38"/>
      <c r="T3118" s="38"/>
      <c r="U3118" s="38"/>
      <c r="V3118" s="38"/>
      <c r="W3118" s="45"/>
    </row>
    <row r="3119" spans="1:23">
      <c r="A3119" s="38"/>
      <c r="B3119" s="38"/>
      <c r="C3119" s="36"/>
      <c r="D3119" s="38"/>
      <c r="E3119" s="38"/>
      <c r="F3119" s="38"/>
      <c r="G3119" s="38"/>
      <c r="H3119" s="38"/>
      <c r="I3119" s="38"/>
      <c r="J3119" s="38"/>
      <c r="K3119" s="38"/>
      <c r="L3119" s="38"/>
      <c r="M3119" s="38"/>
      <c r="N3119" s="38"/>
      <c r="O3119" s="38"/>
      <c r="P3119" s="38"/>
      <c r="Q3119" s="38"/>
      <c r="R3119" s="38"/>
      <c r="S3119" s="38"/>
      <c r="T3119" s="38"/>
      <c r="U3119" s="38"/>
      <c r="V3119" s="38"/>
      <c r="W3119" s="45"/>
    </row>
    <row r="3120" spans="1:23">
      <c r="A3120" s="38"/>
      <c r="B3120" s="38"/>
      <c r="C3120" s="36"/>
      <c r="D3120" s="38"/>
      <c r="E3120" s="38"/>
      <c r="F3120" s="38"/>
      <c r="G3120" s="38"/>
      <c r="H3120" s="38"/>
      <c r="I3120" s="38"/>
      <c r="J3120" s="38"/>
      <c r="K3120" s="38"/>
      <c r="L3120" s="38"/>
      <c r="M3120" s="38"/>
      <c r="N3120" s="38"/>
      <c r="O3120" s="38"/>
      <c r="P3120" s="38"/>
      <c r="Q3120" s="38"/>
      <c r="R3120" s="38"/>
      <c r="S3120" s="38"/>
      <c r="T3120" s="38"/>
      <c r="U3120" s="38"/>
      <c r="V3120" s="38"/>
      <c r="W3120" s="45"/>
    </row>
    <row r="3121" spans="1:23">
      <c r="A3121" s="38"/>
      <c r="B3121" s="38"/>
      <c r="C3121" s="36"/>
      <c r="D3121" s="38"/>
      <c r="E3121" s="38"/>
      <c r="F3121" s="38"/>
      <c r="G3121" s="38"/>
      <c r="H3121" s="38"/>
      <c r="I3121" s="38"/>
      <c r="J3121" s="38"/>
      <c r="K3121" s="38"/>
      <c r="L3121" s="38"/>
      <c r="M3121" s="38"/>
      <c r="N3121" s="38"/>
      <c r="O3121" s="38"/>
      <c r="P3121" s="38"/>
      <c r="Q3121" s="38"/>
      <c r="R3121" s="38"/>
      <c r="S3121" s="38"/>
      <c r="T3121" s="38"/>
      <c r="U3121" s="38"/>
      <c r="V3121" s="38"/>
      <c r="W3121" s="45"/>
    </row>
    <row r="3122" spans="1:23">
      <c r="A3122" s="38"/>
      <c r="B3122" s="38"/>
      <c r="C3122" s="36"/>
      <c r="D3122" s="38"/>
      <c r="E3122" s="38"/>
      <c r="F3122" s="38"/>
      <c r="G3122" s="38"/>
      <c r="H3122" s="38"/>
      <c r="I3122" s="38"/>
      <c r="J3122" s="38"/>
      <c r="K3122" s="38"/>
      <c r="L3122" s="38"/>
      <c r="M3122" s="38"/>
      <c r="N3122" s="38"/>
      <c r="O3122" s="38"/>
      <c r="P3122" s="38"/>
      <c r="Q3122" s="38"/>
      <c r="R3122" s="38"/>
      <c r="S3122" s="38"/>
      <c r="T3122" s="38"/>
      <c r="U3122" s="38"/>
      <c r="V3122" s="38"/>
      <c r="W3122" s="45"/>
    </row>
    <row r="3123" spans="1:23">
      <c r="A3123" s="38"/>
      <c r="B3123" s="38"/>
      <c r="C3123" s="36"/>
      <c r="D3123" s="38"/>
      <c r="E3123" s="38"/>
      <c r="F3123" s="38"/>
      <c r="G3123" s="38"/>
      <c r="H3123" s="38"/>
      <c r="I3123" s="38"/>
      <c r="J3123" s="38"/>
      <c r="K3123" s="38"/>
      <c r="L3123" s="38"/>
      <c r="M3123" s="38"/>
      <c r="N3123" s="38"/>
      <c r="O3123" s="38"/>
      <c r="P3123" s="38"/>
      <c r="Q3123" s="38"/>
      <c r="R3123" s="38"/>
      <c r="S3123" s="38"/>
      <c r="T3123" s="38"/>
      <c r="U3123" s="38"/>
      <c r="V3123" s="38"/>
      <c r="W3123" s="45"/>
    </row>
    <row r="3124" spans="1:23">
      <c r="A3124" s="38"/>
      <c r="B3124" s="38"/>
      <c r="C3124" s="36"/>
      <c r="D3124" s="38"/>
      <c r="E3124" s="38"/>
      <c r="F3124" s="38"/>
      <c r="G3124" s="38"/>
      <c r="H3124" s="38"/>
      <c r="I3124" s="38"/>
      <c r="J3124" s="38"/>
      <c r="K3124" s="38"/>
      <c r="L3124" s="38"/>
      <c r="M3124" s="38"/>
      <c r="N3124" s="38"/>
      <c r="O3124" s="38"/>
      <c r="P3124" s="38"/>
      <c r="Q3124" s="38"/>
      <c r="R3124" s="38"/>
      <c r="S3124" s="38"/>
      <c r="T3124" s="38"/>
      <c r="U3124" s="38"/>
      <c r="V3124" s="38"/>
      <c r="W3124" s="45"/>
    </row>
    <row r="3125" spans="1:23">
      <c r="A3125" s="38"/>
      <c r="B3125" s="38"/>
      <c r="C3125" s="36"/>
      <c r="D3125" s="38"/>
      <c r="E3125" s="38"/>
      <c r="F3125" s="38"/>
      <c r="G3125" s="38"/>
      <c r="H3125" s="38"/>
      <c r="I3125" s="38"/>
      <c r="J3125" s="38"/>
      <c r="K3125" s="38"/>
      <c r="L3125" s="38"/>
      <c r="M3125" s="38"/>
      <c r="N3125" s="38"/>
      <c r="O3125" s="38"/>
      <c r="P3125" s="38"/>
      <c r="Q3125" s="38"/>
      <c r="R3125" s="38"/>
      <c r="S3125" s="38"/>
      <c r="T3125" s="38"/>
      <c r="U3125" s="38"/>
      <c r="V3125" s="38"/>
      <c r="W3125" s="45"/>
    </row>
    <row r="3126" spans="1:23">
      <c r="A3126" s="38"/>
      <c r="B3126" s="38"/>
      <c r="C3126" s="36"/>
      <c r="D3126" s="38"/>
      <c r="E3126" s="38"/>
      <c r="F3126" s="38"/>
      <c r="G3126" s="38"/>
      <c r="H3126" s="38"/>
      <c r="I3126" s="38"/>
      <c r="J3126" s="38"/>
      <c r="K3126" s="38"/>
      <c r="L3126" s="38"/>
      <c r="M3126" s="38"/>
      <c r="N3126" s="38"/>
      <c r="O3126" s="38"/>
      <c r="P3126" s="38"/>
      <c r="Q3126" s="38"/>
      <c r="R3126" s="38"/>
      <c r="S3126" s="38"/>
      <c r="T3126" s="38"/>
      <c r="U3126" s="38"/>
      <c r="V3126" s="38"/>
      <c r="W3126" s="45"/>
    </row>
    <row r="3127" spans="1:23">
      <c r="A3127" s="38"/>
      <c r="B3127" s="38"/>
      <c r="C3127" s="36"/>
      <c r="D3127" s="38"/>
      <c r="E3127" s="38"/>
      <c r="F3127" s="38"/>
      <c r="G3127" s="38"/>
      <c r="H3127" s="38"/>
      <c r="I3127" s="38"/>
      <c r="J3127" s="38"/>
      <c r="K3127" s="38"/>
      <c r="L3127" s="38"/>
      <c r="M3127" s="38"/>
      <c r="N3127" s="38"/>
      <c r="O3127" s="38"/>
      <c r="P3127" s="38"/>
      <c r="Q3127" s="38"/>
      <c r="R3127" s="38"/>
      <c r="S3127" s="38"/>
      <c r="T3127" s="38"/>
      <c r="U3127" s="38"/>
      <c r="V3127" s="38"/>
      <c r="W3127" s="45"/>
    </row>
    <row r="3128" spans="1:23">
      <c r="A3128" s="38"/>
      <c r="B3128" s="38"/>
      <c r="C3128" s="36"/>
      <c r="D3128" s="38"/>
      <c r="E3128" s="38"/>
      <c r="F3128" s="38"/>
      <c r="G3128" s="38"/>
      <c r="H3128" s="38"/>
      <c r="I3128" s="38"/>
      <c r="J3128" s="38"/>
      <c r="K3128" s="38"/>
      <c r="L3128" s="38"/>
      <c r="M3128" s="38"/>
      <c r="N3128" s="38"/>
      <c r="O3128" s="38"/>
      <c r="P3128" s="38"/>
      <c r="Q3128" s="38"/>
      <c r="R3128" s="38"/>
      <c r="S3128" s="38"/>
      <c r="T3128" s="38"/>
      <c r="U3128" s="38"/>
      <c r="V3128" s="38"/>
      <c r="W3128" s="45"/>
    </row>
    <row r="3129" spans="1:23">
      <c r="A3129" s="38"/>
      <c r="B3129" s="38"/>
      <c r="C3129" s="36"/>
      <c r="D3129" s="38"/>
      <c r="E3129" s="38"/>
      <c r="F3129" s="38"/>
      <c r="G3129" s="38"/>
      <c r="H3129" s="38"/>
      <c r="I3129" s="38"/>
      <c r="J3129" s="38"/>
      <c r="K3129" s="38"/>
      <c r="L3129" s="38"/>
      <c r="M3129" s="38"/>
      <c r="N3129" s="38"/>
      <c r="O3129" s="38"/>
      <c r="P3129" s="38"/>
      <c r="Q3129" s="38"/>
      <c r="R3129" s="38"/>
      <c r="S3129" s="38"/>
      <c r="T3129" s="38"/>
      <c r="U3129" s="38"/>
      <c r="V3129" s="38"/>
      <c r="W3129" s="45"/>
    </row>
    <row r="3130" spans="1:23">
      <c r="A3130" s="38"/>
      <c r="B3130" s="38"/>
      <c r="C3130" s="36"/>
      <c r="D3130" s="38"/>
      <c r="E3130" s="38"/>
      <c r="F3130" s="38"/>
      <c r="G3130" s="38"/>
      <c r="H3130" s="38"/>
      <c r="I3130" s="38"/>
      <c r="J3130" s="38"/>
      <c r="K3130" s="38"/>
      <c r="L3130" s="38"/>
      <c r="M3130" s="38"/>
      <c r="N3130" s="38"/>
      <c r="O3130" s="38"/>
      <c r="P3130" s="38"/>
      <c r="Q3130" s="38"/>
      <c r="R3130" s="38"/>
      <c r="S3130" s="38"/>
      <c r="T3130" s="38"/>
      <c r="U3130" s="38"/>
      <c r="V3130" s="38"/>
      <c r="W3130" s="45"/>
    </row>
    <row r="3131" spans="1:23">
      <c r="A3131" s="38"/>
      <c r="B3131" s="38"/>
      <c r="C3131" s="36"/>
      <c r="D3131" s="38"/>
      <c r="E3131" s="38"/>
      <c r="F3131" s="38"/>
      <c r="G3131" s="38"/>
      <c r="H3131" s="38"/>
      <c r="I3131" s="38"/>
      <c r="J3131" s="38"/>
      <c r="K3131" s="38"/>
      <c r="L3131" s="38"/>
      <c r="M3131" s="38"/>
      <c r="N3131" s="38"/>
      <c r="O3131" s="38"/>
      <c r="P3131" s="38"/>
      <c r="Q3131" s="38"/>
      <c r="R3131" s="38"/>
      <c r="S3131" s="38"/>
      <c r="T3131" s="38"/>
      <c r="U3131" s="38"/>
      <c r="V3131" s="38"/>
      <c r="W3131" s="45"/>
    </row>
    <row r="3132" spans="1:23">
      <c r="A3132" s="38"/>
      <c r="B3132" s="38"/>
      <c r="C3132" s="36"/>
      <c r="D3132" s="38"/>
      <c r="E3132" s="38"/>
      <c r="F3132" s="38"/>
      <c r="G3132" s="38"/>
      <c r="H3132" s="38"/>
      <c r="I3132" s="38"/>
      <c r="J3132" s="38"/>
      <c r="K3132" s="38"/>
      <c r="L3132" s="38"/>
      <c r="M3132" s="38"/>
      <c r="N3132" s="38"/>
      <c r="O3132" s="38"/>
      <c r="P3132" s="38"/>
      <c r="Q3132" s="38"/>
      <c r="R3132" s="38"/>
      <c r="S3132" s="38"/>
      <c r="T3132" s="38"/>
      <c r="U3132" s="38"/>
      <c r="V3132" s="38"/>
      <c r="W3132" s="45"/>
    </row>
    <row r="3133" spans="1:23">
      <c r="A3133" s="38"/>
      <c r="B3133" s="38"/>
      <c r="C3133" s="36"/>
      <c r="D3133" s="38"/>
      <c r="E3133" s="38"/>
      <c r="F3133" s="38"/>
      <c r="G3133" s="38"/>
      <c r="H3133" s="38"/>
      <c r="I3133" s="38"/>
      <c r="J3133" s="38"/>
      <c r="K3133" s="38"/>
      <c r="L3133" s="38"/>
      <c r="M3133" s="38"/>
      <c r="N3133" s="38"/>
      <c r="O3133" s="38"/>
      <c r="P3133" s="38"/>
      <c r="Q3133" s="38"/>
      <c r="R3133" s="38"/>
      <c r="S3133" s="38"/>
      <c r="T3133" s="38"/>
      <c r="U3133" s="38"/>
      <c r="V3133" s="38"/>
      <c r="W3133" s="45"/>
    </row>
    <row r="3134" spans="1:23">
      <c r="A3134" s="38"/>
      <c r="B3134" s="38"/>
      <c r="C3134" s="36"/>
      <c r="D3134" s="38"/>
      <c r="E3134" s="38"/>
      <c r="F3134" s="38"/>
      <c r="G3134" s="38"/>
      <c r="H3134" s="38"/>
      <c r="I3134" s="38"/>
      <c r="J3134" s="38"/>
      <c r="K3134" s="38"/>
      <c r="L3134" s="38"/>
      <c r="M3134" s="38"/>
      <c r="N3134" s="38"/>
      <c r="O3134" s="38"/>
      <c r="P3134" s="38"/>
      <c r="Q3134" s="38"/>
      <c r="R3134" s="38"/>
      <c r="S3134" s="38"/>
      <c r="T3134" s="38"/>
      <c r="U3134" s="38"/>
      <c r="V3134" s="38"/>
      <c r="W3134" s="45"/>
    </row>
    <row r="3135" spans="1:23">
      <c r="A3135" s="38"/>
      <c r="B3135" s="38"/>
      <c r="C3135" s="36"/>
      <c r="D3135" s="38"/>
      <c r="E3135" s="38"/>
      <c r="F3135" s="38"/>
      <c r="G3135" s="38"/>
      <c r="H3135" s="38"/>
      <c r="I3135" s="38"/>
      <c r="J3135" s="38"/>
      <c r="K3135" s="38"/>
      <c r="L3135" s="38"/>
      <c r="M3135" s="38"/>
      <c r="N3135" s="38"/>
      <c r="O3135" s="38"/>
      <c r="P3135" s="38"/>
      <c r="Q3135" s="38"/>
      <c r="R3135" s="38"/>
      <c r="S3135" s="38"/>
      <c r="T3135" s="38"/>
      <c r="U3135" s="38"/>
      <c r="V3135" s="38"/>
      <c r="W3135" s="45"/>
    </row>
    <row r="3136" spans="1:23">
      <c r="A3136" s="38"/>
      <c r="B3136" s="38"/>
      <c r="C3136" s="36"/>
      <c r="D3136" s="38"/>
      <c r="E3136" s="38"/>
      <c r="F3136" s="38"/>
      <c r="G3136" s="38"/>
      <c r="H3136" s="38"/>
      <c r="I3136" s="38"/>
      <c r="J3136" s="38"/>
      <c r="K3136" s="38"/>
      <c r="L3136" s="38"/>
      <c r="M3136" s="38"/>
      <c r="N3136" s="38"/>
      <c r="O3136" s="38"/>
      <c r="P3136" s="38"/>
      <c r="Q3136" s="38"/>
      <c r="R3136" s="38"/>
      <c r="S3136" s="38"/>
      <c r="T3136" s="38"/>
      <c r="U3136" s="38"/>
      <c r="V3136" s="38"/>
      <c r="W3136" s="45"/>
    </row>
    <row r="3137" spans="1:23">
      <c r="A3137" s="38"/>
      <c r="B3137" s="38"/>
      <c r="C3137" s="36"/>
      <c r="D3137" s="38"/>
      <c r="E3137" s="38"/>
      <c r="F3137" s="38"/>
      <c r="G3137" s="38"/>
      <c r="H3137" s="38"/>
      <c r="I3137" s="38"/>
      <c r="J3137" s="38"/>
      <c r="K3137" s="38"/>
      <c r="L3137" s="38"/>
      <c r="M3137" s="38"/>
      <c r="N3137" s="38"/>
      <c r="O3137" s="38"/>
      <c r="P3137" s="38"/>
      <c r="Q3137" s="38"/>
      <c r="R3137" s="38"/>
      <c r="S3137" s="38"/>
      <c r="T3137" s="38"/>
      <c r="U3137" s="38"/>
      <c r="V3137" s="38"/>
      <c r="W3137" s="45"/>
    </row>
    <row r="3138" spans="1:23">
      <c r="A3138" s="38"/>
      <c r="B3138" s="38"/>
      <c r="C3138" s="36"/>
      <c r="D3138" s="38"/>
      <c r="E3138" s="38"/>
      <c r="F3138" s="38"/>
      <c r="G3138" s="38"/>
      <c r="H3138" s="38"/>
      <c r="I3138" s="38"/>
      <c r="J3138" s="38"/>
      <c r="K3138" s="38"/>
      <c r="L3138" s="38"/>
      <c r="M3138" s="38"/>
      <c r="N3138" s="38"/>
      <c r="O3138" s="38"/>
      <c r="P3138" s="38"/>
      <c r="Q3138" s="38"/>
      <c r="R3138" s="38"/>
      <c r="S3138" s="38"/>
      <c r="T3138" s="38"/>
      <c r="U3138" s="38"/>
      <c r="V3138" s="38"/>
      <c r="W3138" s="45"/>
    </row>
    <row r="3139" spans="1:23">
      <c r="A3139" s="38"/>
      <c r="B3139" s="38"/>
      <c r="C3139" s="38"/>
      <c r="D3139" s="38"/>
      <c r="E3139" s="38"/>
      <c r="F3139" s="38"/>
      <c r="G3139" s="38"/>
      <c r="H3139" s="38"/>
      <c r="I3139" s="38"/>
      <c r="J3139" s="38"/>
      <c r="K3139" s="38"/>
      <c r="L3139" s="38"/>
      <c r="M3139" s="38"/>
      <c r="N3139" s="38"/>
      <c r="O3139" s="38"/>
      <c r="P3139" s="38"/>
      <c r="Q3139" s="38"/>
      <c r="R3139" s="38"/>
      <c r="S3139" s="38"/>
      <c r="T3139" s="38"/>
      <c r="U3139" s="38"/>
      <c r="V3139" s="38"/>
      <c r="W3139" s="45"/>
    </row>
    <row r="3140" spans="1:23">
      <c r="A3140" s="38"/>
      <c r="B3140" s="38"/>
      <c r="C3140" s="38"/>
      <c r="D3140" s="38"/>
      <c r="E3140" s="38"/>
      <c r="F3140" s="38"/>
      <c r="G3140" s="38"/>
      <c r="H3140" s="38"/>
      <c r="I3140" s="38"/>
      <c r="J3140" s="38"/>
      <c r="K3140" s="38"/>
      <c r="L3140" s="38"/>
      <c r="M3140" s="38"/>
      <c r="N3140" s="38"/>
      <c r="O3140" s="38"/>
      <c r="P3140" s="38"/>
      <c r="Q3140" s="38"/>
      <c r="R3140" s="38"/>
      <c r="S3140" s="38"/>
      <c r="T3140" s="38"/>
      <c r="U3140" s="38"/>
      <c r="V3140" s="38"/>
      <c r="W3140" s="45"/>
    </row>
    <row r="3141" spans="1:23">
      <c r="A3141" s="38"/>
      <c r="B3141" s="38"/>
      <c r="C3141" s="38"/>
      <c r="D3141" s="38"/>
      <c r="E3141" s="38"/>
      <c r="F3141" s="38"/>
      <c r="G3141" s="38"/>
      <c r="H3141" s="38"/>
      <c r="I3141" s="38"/>
      <c r="J3141" s="38"/>
      <c r="K3141" s="38"/>
      <c r="L3141" s="38"/>
      <c r="M3141" s="38"/>
      <c r="N3141" s="38"/>
      <c r="O3141" s="38"/>
      <c r="P3141" s="38"/>
      <c r="Q3141" s="38"/>
      <c r="R3141" s="38"/>
      <c r="S3141" s="38"/>
      <c r="T3141" s="38"/>
      <c r="U3141" s="38"/>
      <c r="V3141" s="38"/>
      <c r="W3141" s="45"/>
    </row>
    <row r="3142" spans="1:23">
      <c r="A3142" s="38"/>
      <c r="B3142" s="38"/>
      <c r="C3142" s="38"/>
      <c r="D3142" s="38"/>
      <c r="E3142" s="38"/>
      <c r="F3142" s="38"/>
      <c r="G3142" s="38"/>
      <c r="H3142" s="38"/>
      <c r="I3142" s="38"/>
      <c r="J3142" s="38"/>
      <c r="K3142" s="38"/>
      <c r="L3142" s="38"/>
      <c r="M3142" s="38"/>
      <c r="N3142" s="38"/>
      <c r="O3142" s="38"/>
      <c r="P3142" s="38"/>
      <c r="Q3142" s="38"/>
      <c r="R3142" s="38"/>
      <c r="S3142" s="38"/>
      <c r="T3142" s="38"/>
      <c r="U3142" s="38"/>
      <c r="V3142" s="38"/>
      <c r="W3142" s="45"/>
    </row>
    <row r="3143" spans="1:23">
      <c r="A3143" s="38"/>
      <c r="B3143" s="38"/>
      <c r="C3143" s="38"/>
      <c r="D3143" s="38"/>
      <c r="E3143" s="38"/>
      <c r="F3143" s="38"/>
      <c r="G3143" s="38"/>
      <c r="H3143" s="38"/>
      <c r="I3143" s="38"/>
      <c r="J3143" s="38"/>
      <c r="K3143" s="38"/>
      <c r="L3143" s="38"/>
      <c r="M3143" s="38"/>
      <c r="N3143" s="38"/>
      <c r="O3143" s="38"/>
      <c r="P3143" s="38"/>
      <c r="Q3143" s="38"/>
      <c r="R3143" s="38"/>
      <c r="S3143" s="38"/>
      <c r="T3143" s="38"/>
      <c r="U3143" s="38"/>
      <c r="V3143" s="38"/>
      <c r="W3143" s="45"/>
    </row>
    <row r="3144" spans="1:23">
      <c r="A3144" s="38"/>
      <c r="B3144" s="38"/>
      <c r="C3144" s="38"/>
      <c r="D3144" s="38"/>
      <c r="E3144" s="38"/>
      <c r="F3144" s="38"/>
      <c r="G3144" s="38"/>
      <c r="H3144" s="38"/>
      <c r="I3144" s="38"/>
      <c r="J3144" s="38"/>
      <c r="K3144" s="38"/>
      <c r="L3144" s="38"/>
      <c r="M3144" s="38"/>
      <c r="N3144" s="38"/>
      <c r="O3144" s="38"/>
      <c r="P3144" s="38"/>
      <c r="Q3144" s="38"/>
      <c r="R3144" s="38"/>
      <c r="S3144" s="38"/>
      <c r="T3144" s="38"/>
      <c r="U3144" s="38"/>
      <c r="V3144" s="38"/>
      <c r="W3144" s="45"/>
    </row>
    <row r="3145" spans="1:23">
      <c r="A3145" s="38"/>
      <c r="B3145" s="38"/>
      <c r="C3145" s="38"/>
      <c r="D3145" s="38"/>
      <c r="E3145" s="38"/>
      <c r="F3145" s="38"/>
      <c r="G3145" s="38"/>
      <c r="H3145" s="38"/>
      <c r="I3145" s="38"/>
      <c r="J3145" s="38"/>
      <c r="K3145" s="38"/>
      <c r="L3145" s="38"/>
      <c r="M3145" s="38"/>
      <c r="N3145" s="38"/>
      <c r="O3145" s="38"/>
      <c r="P3145" s="38"/>
      <c r="Q3145" s="38"/>
      <c r="R3145" s="38"/>
      <c r="S3145" s="38"/>
      <c r="T3145" s="38"/>
      <c r="U3145" s="38"/>
      <c r="V3145" s="38"/>
      <c r="W3145" s="45"/>
    </row>
    <row r="3146" spans="1:23">
      <c r="A3146" s="38"/>
      <c r="B3146" s="38"/>
      <c r="C3146" s="38"/>
      <c r="D3146" s="38"/>
      <c r="E3146" s="38"/>
      <c r="F3146" s="38"/>
      <c r="G3146" s="38"/>
      <c r="H3146" s="38"/>
      <c r="I3146" s="38"/>
      <c r="J3146" s="38"/>
      <c r="K3146" s="38"/>
      <c r="L3146" s="38"/>
      <c r="M3146" s="38"/>
      <c r="N3146" s="38"/>
      <c r="O3146" s="38"/>
      <c r="P3146" s="38"/>
      <c r="Q3146" s="38"/>
      <c r="R3146" s="38"/>
      <c r="S3146" s="38"/>
      <c r="T3146" s="38"/>
      <c r="U3146" s="38"/>
      <c r="V3146" s="38"/>
      <c r="W3146" s="45"/>
    </row>
    <row r="3147" spans="1:23">
      <c r="A3147" s="38"/>
      <c r="B3147" s="38"/>
      <c r="C3147" s="38"/>
      <c r="D3147" s="38"/>
      <c r="E3147" s="38"/>
      <c r="F3147" s="38"/>
      <c r="G3147" s="38"/>
      <c r="H3147" s="38"/>
      <c r="I3147" s="38"/>
      <c r="J3147" s="38"/>
      <c r="K3147" s="38"/>
      <c r="L3147" s="38"/>
      <c r="M3147" s="38"/>
      <c r="N3147" s="38"/>
      <c r="O3147" s="38"/>
      <c r="P3147" s="38"/>
      <c r="Q3147" s="38"/>
      <c r="R3147" s="38"/>
      <c r="S3147" s="38"/>
      <c r="T3147" s="38"/>
      <c r="U3147" s="38"/>
      <c r="V3147" s="38"/>
      <c r="W3147" s="45"/>
    </row>
    <row r="3148" spans="1:23">
      <c r="A3148" s="38"/>
      <c r="B3148" s="38"/>
      <c r="C3148" s="38"/>
      <c r="D3148" s="38"/>
      <c r="E3148" s="38"/>
      <c r="F3148" s="38"/>
      <c r="G3148" s="38"/>
      <c r="H3148" s="38"/>
      <c r="I3148" s="38"/>
      <c r="J3148" s="38"/>
      <c r="K3148" s="38"/>
      <c r="L3148" s="38"/>
      <c r="M3148" s="38"/>
      <c r="N3148" s="38"/>
      <c r="O3148" s="38"/>
      <c r="P3148" s="38"/>
      <c r="Q3148" s="38"/>
      <c r="R3148" s="38"/>
      <c r="S3148" s="38"/>
      <c r="T3148" s="38"/>
      <c r="U3148" s="38"/>
      <c r="V3148" s="38"/>
      <c r="W3148" s="45"/>
    </row>
    <row r="3149" spans="1:23">
      <c r="A3149" s="38"/>
      <c r="B3149" s="38"/>
      <c r="C3149" s="38"/>
      <c r="D3149" s="38"/>
      <c r="E3149" s="38"/>
      <c r="F3149" s="38"/>
      <c r="G3149" s="38"/>
      <c r="H3149" s="38"/>
      <c r="I3149" s="38"/>
      <c r="J3149" s="38"/>
      <c r="K3149" s="38"/>
      <c r="L3149" s="38"/>
      <c r="M3149" s="38"/>
      <c r="N3149" s="38"/>
      <c r="O3149" s="38"/>
      <c r="P3149" s="38"/>
      <c r="Q3149" s="38"/>
      <c r="R3149" s="38"/>
      <c r="S3149" s="38"/>
      <c r="T3149" s="38"/>
      <c r="U3149" s="38"/>
      <c r="V3149" s="38"/>
      <c r="W3149" s="45"/>
    </row>
    <row r="3150" spans="1:23">
      <c r="A3150" s="38"/>
      <c r="B3150" s="38"/>
      <c r="C3150" s="38"/>
      <c r="D3150" s="38"/>
      <c r="E3150" s="38"/>
      <c r="F3150" s="38"/>
      <c r="G3150" s="38"/>
      <c r="H3150" s="38"/>
      <c r="I3150" s="38"/>
      <c r="J3150" s="38"/>
      <c r="K3150" s="38"/>
      <c r="L3150" s="38"/>
      <c r="M3150" s="38"/>
      <c r="N3150" s="38"/>
      <c r="O3150" s="38"/>
      <c r="P3150" s="38"/>
      <c r="Q3150" s="38"/>
      <c r="R3150" s="38"/>
      <c r="S3150" s="38"/>
      <c r="T3150" s="38"/>
      <c r="U3150" s="38"/>
      <c r="V3150" s="38"/>
      <c r="W3150" s="45"/>
    </row>
    <row r="3151" spans="1:23">
      <c r="A3151" s="38"/>
      <c r="B3151" s="38"/>
      <c r="C3151" s="38"/>
      <c r="D3151" s="38"/>
      <c r="E3151" s="38"/>
      <c r="F3151" s="38"/>
      <c r="G3151" s="38"/>
      <c r="H3151" s="38"/>
      <c r="I3151" s="38"/>
      <c r="J3151" s="38"/>
      <c r="K3151" s="38"/>
      <c r="L3151" s="38"/>
      <c r="M3151" s="38"/>
      <c r="N3151" s="38"/>
      <c r="O3151" s="38"/>
      <c r="P3151" s="38"/>
      <c r="Q3151" s="38"/>
      <c r="R3151" s="38"/>
      <c r="S3151" s="38"/>
      <c r="T3151" s="38"/>
      <c r="U3151" s="38"/>
      <c r="V3151" s="38"/>
      <c r="W3151" s="45"/>
    </row>
    <row r="3152" spans="1:23">
      <c r="A3152" s="38"/>
      <c r="B3152" s="38"/>
      <c r="C3152" s="38"/>
      <c r="D3152" s="38"/>
      <c r="E3152" s="38"/>
      <c r="F3152" s="38"/>
      <c r="G3152" s="38"/>
      <c r="H3152" s="38"/>
      <c r="I3152" s="38"/>
      <c r="J3152" s="38"/>
      <c r="K3152" s="38"/>
      <c r="L3152" s="38"/>
      <c r="M3152" s="38"/>
      <c r="N3152" s="38"/>
      <c r="O3152" s="38"/>
      <c r="P3152" s="38"/>
      <c r="Q3152" s="38"/>
      <c r="R3152" s="38"/>
      <c r="S3152" s="38"/>
      <c r="T3152" s="38"/>
      <c r="U3152" s="38"/>
      <c r="V3152" s="38"/>
      <c r="W3152" s="45"/>
    </row>
    <row r="3153" spans="1:23">
      <c r="A3153" s="38"/>
      <c r="B3153" s="38"/>
      <c r="C3153" s="38"/>
      <c r="D3153" s="38"/>
      <c r="E3153" s="38"/>
      <c r="F3153" s="38"/>
      <c r="G3153" s="38"/>
      <c r="H3153" s="38"/>
      <c r="I3153" s="38"/>
      <c r="J3153" s="38"/>
      <c r="K3153" s="38"/>
      <c r="L3153" s="38"/>
      <c r="M3153" s="38"/>
      <c r="N3153" s="38"/>
      <c r="O3153" s="38"/>
      <c r="P3153" s="38"/>
      <c r="Q3153" s="38"/>
      <c r="R3153" s="38"/>
      <c r="S3153" s="38"/>
      <c r="T3153" s="38"/>
      <c r="U3153" s="38"/>
      <c r="V3153" s="38"/>
      <c r="W3153" s="45"/>
    </row>
    <row r="3154" spans="1:23">
      <c r="A3154" s="38"/>
      <c r="B3154" s="38"/>
      <c r="C3154" s="38"/>
      <c r="D3154" s="38"/>
      <c r="E3154" s="38"/>
      <c r="F3154" s="38"/>
      <c r="G3154" s="38"/>
      <c r="H3154" s="38"/>
      <c r="I3154" s="38"/>
      <c r="J3154" s="38"/>
      <c r="K3154" s="38"/>
      <c r="L3154" s="38"/>
      <c r="M3154" s="38"/>
      <c r="N3154" s="38"/>
      <c r="O3154" s="38"/>
      <c r="P3154" s="38"/>
      <c r="Q3154" s="38"/>
      <c r="R3154" s="38"/>
      <c r="S3154" s="38"/>
      <c r="T3154" s="38"/>
      <c r="U3154" s="38"/>
      <c r="V3154" s="38"/>
      <c r="W3154" s="45"/>
    </row>
    <row r="3155" spans="1:23">
      <c r="A3155" s="38"/>
      <c r="B3155" s="38"/>
      <c r="C3155" s="38"/>
      <c r="D3155" s="38"/>
      <c r="E3155" s="38"/>
      <c r="F3155" s="38"/>
      <c r="G3155" s="38"/>
      <c r="H3155" s="38"/>
      <c r="I3155" s="38"/>
      <c r="J3155" s="38"/>
      <c r="K3155" s="38"/>
      <c r="L3155" s="38"/>
      <c r="M3155" s="38"/>
      <c r="N3155" s="38"/>
      <c r="O3155" s="38"/>
      <c r="P3155" s="38"/>
      <c r="Q3155" s="38"/>
      <c r="R3155" s="38"/>
      <c r="S3155" s="38"/>
      <c r="T3155" s="38"/>
      <c r="U3155" s="38"/>
      <c r="V3155" s="38"/>
      <c r="W3155" s="45"/>
    </row>
    <row r="3156" spans="1:23">
      <c r="A3156" s="38"/>
      <c r="B3156" s="38"/>
      <c r="C3156" s="38"/>
      <c r="D3156" s="38"/>
      <c r="E3156" s="38"/>
      <c r="F3156" s="38"/>
      <c r="G3156" s="38"/>
      <c r="H3156" s="38"/>
      <c r="I3156" s="38"/>
      <c r="J3156" s="38"/>
      <c r="K3156" s="38"/>
      <c r="L3156" s="38"/>
      <c r="M3156" s="38"/>
      <c r="N3156" s="38"/>
      <c r="O3156" s="38"/>
      <c r="P3156" s="38"/>
      <c r="Q3156" s="38"/>
      <c r="R3156" s="38"/>
      <c r="S3156" s="38"/>
      <c r="T3156" s="38"/>
      <c r="U3156" s="38"/>
      <c r="V3156" s="38"/>
      <c r="W3156" s="45"/>
    </row>
    <row r="3157" spans="1:23">
      <c r="A3157" s="38"/>
      <c r="B3157" s="38"/>
      <c r="C3157" s="38"/>
      <c r="D3157" s="38"/>
      <c r="E3157" s="38"/>
      <c r="F3157" s="38"/>
      <c r="G3157" s="38"/>
      <c r="H3157" s="38"/>
      <c r="I3157" s="38"/>
      <c r="J3157" s="38"/>
      <c r="K3157" s="38"/>
      <c r="L3157" s="38"/>
      <c r="M3157" s="38"/>
      <c r="N3157" s="38"/>
      <c r="O3157" s="38"/>
      <c r="P3157" s="38"/>
      <c r="Q3157" s="38"/>
      <c r="R3157" s="38"/>
      <c r="S3157" s="38"/>
      <c r="T3157" s="38"/>
      <c r="U3157" s="38"/>
      <c r="V3157" s="38"/>
      <c r="W3157" s="45"/>
    </row>
    <row r="3158" spans="1:23">
      <c r="A3158" s="38"/>
      <c r="B3158" s="38"/>
      <c r="C3158" s="38"/>
      <c r="D3158" s="38"/>
      <c r="E3158" s="38"/>
      <c r="F3158" s="38"/>
      <c r="G3158" s="38"/>
      <c r="H3158" s="38"/>
      <c r="I3158" s="38"/>
      <c r="J3158" s="38"/>
      <c r="K3158" s="38"/>
      <c r="L3158" s="38"/>
      <c r="M3158" s="38"/>
      <c r="N3158" s="38"/>
      <c r="O3158" s="38"/>
      <c r="P3158" s="38"/>
      <c r="Q3158" s="38"/>
      <c r="R3158" s="38"/>
      <c r="S3158" s="38"/>
      <c r="T3158" s="38"/>
      <c r="U3158" s="38"/>
      <c r="V3158" s="38"/>
      <c r="W3158" s="45"/>
    </row>
    <row r="3159" spans="1:23">
      <c r="A3159" s="38"/>
      <c r="B3159" s="38"/>
      <c r="C3159" s="38"/>
      <c r="D3159" s="38"/>
      <c r="E3159" s="38"/>
      <c r="F3159" s="38"/>
      <c r="G3159" s="38"/>
      <c r="H3159" s="38"/>
      <c r="I3159" s="38"/>
      <c r="J3159" s="38"/>
      <c r="K3159" s="38"/>
      <c r="L3159" s="38"/>
      <c r="M3159" s="38"/>
      <c r="N3159" s="38"/>
      <c r="O3159" s="38"/>
      <c r="P3159" s="38"/>
      <c r="Q3159" s="38"/>
      <c r="R3159" s="38"/>
      <c r="S3159" s="38"/>
      <c r="T3159" s="38"/>
      <c r="U3159" s="38"/>
      <c r="V3159" s="38"/>
      <c r="W3159" s="45"/>
    </row>
    <row r="3160" spans="1:23">
      <c r="A3160" s="38"/>
      <c r="B3160" s="38"/>
      <c r="C3160" s="38"/>
      <c r="D3160" s="38"/>
      <c r="E3160" s="38"/>
      <c r="F3160" s="38"/>
      <c r="G3160" s="38"/>
      <c r="H3160" s="38"/>
      <c r="I3160" s="38"/>
      <c r="J3160" s="38"/>
      <c r="K3160" s="38"/>
      <c r="L3160" s="38"/>
      <c r="M3160" s="38"/>
      <c r="N3160" s="38"/>
      <c r="O3160" s="38"/>
      <c r="P3160" s="38"/>
      <c r="Q3160" s="38"/>
      <c r="R3160" s="38"/>
      <c r="S3160" s="38"/>
      <c r="T3160" s="38"/>
      <c r="U3160" s="38"/>
      <c r="V3160" s="38"/>
      <c r="W3160" s="45"/>
    </row>
    <row r="3161" spans="1:23">
      <c r="A3161" s="38"/>
      <c r="B3161" s="38"/>
      <c r="C3161" s="38"/>
      <c r="D3161" s="38"/>
      <c r="E3161" s="38"/>
      <c r="F3161" s="38"/>
      <c r="G3161" s="38"/>
      <c r="H3161" s="38"/>
      <c r="I3161" s="38"/>
      <c r="J3161" s="38"/>
      <c r="K3161" s="38"/>
      <c r="L3161" s="38"/>
      <c r="M3161" s="38"/>
      <c r="N3161" s="38"/>
      <c r="O3161" s="38"/>
      <c r="P3161" s="38"/>
      <c r="Q3161" s="38"/>
      <c r="R3161" s="38"/>
      <c r="S3161" s="38"/>
      <c r="T3161" s="38"/>
      <c r="U3161" s="38"/>
      <c r="V3161" s="38"/>
      <c r="W3161" s="45"/>
    </row>
    <row r="3162" spans="1:23">
      <c r="A3162" s="38"/>
      <c r="B3162" s="38"/>
      <c r="C3162" s="38"/>
      <c r="D3162" s="38"/>
      <c r="E3162" s="38"/>
      <c r="F3162" s="38"/>
      <c r="G3162" s="38"/>
      <c r="H3162" s="38"/>
      <c r="I3162" s="38"/>
      <c r="J3162" s="38"/>
      <c r="K3162" s="38"/>
      <c r="L3162" s="38"/>
      <c r="M3162" s="38"/>
      <c r="N3162" s="38"/>
      <c r="O3162" s="38"/>
      <c r="P3162" s="38"/>
      <c r="Q3162" s="38"/>
      <c r="R3162" s="38"/>
      <c r="S3162" s="38"/>
      <c r="T3162" s="38"/>
      <c r="U3162" s="38"/>
      <c r="V3162" s="38"/>
      <c r="W3162" s="45"/>
    </row>
    <row r="3163" spans="1:23">
      <c r="A3163" s="38"/>
      <c r="B3163" s="38"/>
      <c r="C3163" s="38"/>
      <c r="D3163" s="38"/>
      <c r="E3163" s="38"/>
      <c r="F3163" s="38"/>
      <c r="G3163" s="38"/>
      <c r="H3163" s="38"/>
      <c r="I3163" s="38"/>
      <c r="J3163" s="38"/>
      <c r="K3163" s="38"/>
      <c r="L3163" s="38"/>
      <c r="M3163" s="38"/>
      <c r="N3163" s="38"/>
      <c r="O3163" s="38"/>
      <c r="P3163" s="38"/>
      <c r="Q3163" s="38"/>
      <c r="R3163" s="38"/>
      <c r="S3163" s="38"/>
      <c r="T3163" s="38"/>
      <c r="U3163" s="38"/>
      <c r="V3163" s="38"/>
      <c r="W3163" s="45"/>
    </row>
    <row r="3164" spans="1:23">
      <c r="A3164" s="38"/>
      <c r="B3164" s="38"/>
      <c r="C3164" s="38"/>
      <c r="D3164" s="38"/>
      <c r="E3164" s="38"/>
      <c r="F3164" s="38"/>
      <c r="G3164" s="38"/>
      <c r="H3164" s="38"/>
      <c r="I3164" s="38"/>
      <c r="J3164" s="38"/>
      <c r="K3164" s="38"/>
      <c r="L3164" s="38"/>
      <c r="M3164" s="38"/>
      <c r="N3164" s="38"/>
      <c r="O3164" s="38"/>
      <c r="P3164" s="38"/>
      <c r="Q3164" s="38"/>
      <c r="R3164" s="38"/>
      <c r="S3164" s="38"/>
      <c r="T3164" s="38"/>
      <c r="U3164" s="38"/>
      <c r="V3164" s="38"/>
      <c r="W3164" s="45"/>
    </row>
    <row r="3165" spans="1:23">
      <c r="A3165" s="38"/>
      <c r="B3165" s="38"/>
      <c r="C3165" s="38"/>
      <c r="D3165" s="38"/>
      <c r="E3165" s="38"/>
      <c r="F3165" s="38"/>
      <c r="G3165" s="38"/>
      <c r="H3165" s="38"/>
      <c r="I3165" s="38"/>
      <c r="J3165" s="38"/>
      <c r="K3165" s="38"/>
      <c r="L3165" s="38"/>
      <c r="M3165" s="38"/>
      <c r="N3165" s="38"/>
      <c r="O3165" s="38"/>
      <c r="P3165" s="38"/>
      <c r="Q3165" s="38"/>
      <c r="R3165" s="38"/>
      <c r="S3165" s="38"/>
      <c r="T3165" s="38"/>
      <c r="U3165" s="38"/>
      <c r="V3165" s="38"/>
      <c r="W3165" s="45"/>
    </row>
    <row r="3166" spans="1:23">
      <c r="A3166" s="38"/>
      <c r="B3166" s="38"/>
      <c r="C3166" s="38"/>
      <c r="D3166" s="38"/>
      <c r="E3166" s="38"/>
      <c r="F3166" s="38"/>
      <c r="G3166" s="38"/>
      <c r="H3166" s="38"/>
      <c r="I3166" s="38"/>
      <c r="J3166" s="38"/>
      <c r="K3166" s="38"/>
      <c r="L3166" s="38"/>
      <c r="M3166" s="38"/>
      <c r="N3166" s="38"/>
      <c r="O3166" s="38"/>
      <c r="P3166" s="38"/>
      <c r="Q3166" s="38"/>
      <c r="R3166" s="38"/>
      <c r="S3166" s="38"/>
      <c r="T3166" s="38"/>
      <c r="U3166" s="38"/>
      <c r="V3166" s="38"/>
      <c r="W3166" s="45"/>
    </row>
    <row r="3167" spans="1:23">
      <c r="A3167" s="38"/>
      <c r="B3167" s="38"/>
      <c r="C3167" s="38"/>
      <c r="D3167" s="38"/>
      <c r="E3167" s="38"/>
      <c r="F3167" s="38"/>
      <c r="G3167" s="38"/>
      <c r="H3167" s="38"/>
      <c r="I3167" s="38"/>
      <c r="J3167" s="38"/>
      <c r="K3167" s="38"/>
      <c r="L3167" s="38"/>
      <c r="M3167" s="38"/>
      <c r="N3167" s="38"/>
      <c r="O3167" s="38"/>
      <c r="P3167" s="38"/>
      <c r="Q3167" s="38"/>
      <c r="R3167" s="38"/>
      <c r="S3167" s="38"/>
      <c r="T3167" s="38"/>
      <c r="U3167" s="38"/>
      <c r="V3167" s="38"/>
      <c r="W3167" s="45"/>
    </row>
    <row r="3168" spans="1:23">
      <c r="A3168" s="38"/>
      <c r="B3168" s="38"/>
      <c r="C3168" s="38"/>
      <c r="D3168" s="38"/>
      <c r="E3168" s="38"/>
      <c r="F3168" s="38"/>
      <c r="G3168" s="38"/>
      <c r="H3168" s="38"/>
      <c r="I3168" s="38"/>
      <c r="J3168" s="38"/>
      <c r="K3168" s="38"/>
      <c r="L3168" s="38"/>
      <c r="M3168" s="38"/>
      <c r="N3168" s="38"/>
      <c r="O3168" s="38"/>
      <c r="P3168" s="38"/>
      <c r="Q3168" s="38"/>
      <c r="R3168" s="38"/>
      <c r="S3168" s="38"/>
      <c r="T3168" s="38"/>
      <c r="U3168" s="38"/>
      <c r="V3168" s="38"/>
      <c r="W3168" s="45"/>
    </row>
    <row r="3169" spans="1:23">
      <c r="A3169" s="38"/>
      <c r="B3169" s="38"/>
      <c r="C3169" s="38"/>
      <c r="D3169" s="38"/>
      <c r="E3169" s="38"/>
      <c r="F3169" s="38"/>
      <c r="G3169" s="38"/>
      <c r="H3169" s="38"/>
      <c r="I3169" s="38"/>
      <c r="J3169" s="38"/>
      <c r="K3169" s="38"/>
      <c r="L3169" s="38"/>
      <c r="M3169" s="38"/>
      <c r="N3169" s="38"/>
      <c r="O3169" s="38"/>
      <c r="P3169" s="38"/>
      <c r="Q3169" s="38"/>
      <c r="R3169" s="38"/>
      <c r="S3169" s="38"/>
      <c r="T3169" s="38"/>
      <c r="U3169" s="38"/>
      <c r="V3169" s="38"/>
      <c r="W3169" s="45"/>
    </row>
    <row r="3170" spans="1:23">
      <c r="A3170" s="38"/>
      <c r="B3170" s="38"/>
      <c r="C3170" s="38"/>
      <c r="D3170" s="38"/>
      <c r="E3170" s="38"/>
      <c r="F3170" s="38"/>
      <c r="G3170" s="38"/>
      <c r="H3170" s="38"/>
      <c r="I3170" s="38"/>
      <c r="J3170" s="38"/>
      <c r="K3170" s="38"/>
      <c r="L3170" s="38"/>
      <c r="M3170" s="38"/>
      <c r="N3170" s="38"/>
      <c r="O3170" s="38"/>
      <c r="P3170" s="38"/>
      <c r="Q3170" s="38"/>
      <c r="R3170" s="38"/>
      <c r="S3170" s="38"/>
      <c r="T3170" s="38"/>
      <c r="U3170" s="38"/>
      <c r="V3170" s="38"/>
      <c r="W3170" s="45"/>
    </row>
    <row r="3171" spans="1:23">
      <c r="A3171" s="38"/>
      <c r="B3171" s="38"/>
      <c r="C3171" s="38"/>
      <c r="D3171" s="38"/>
      <c r="E3171" s="38"/>
      <c r="F3171" s="38"/>
      <c r="G3171" s="38"/>
      <c r="H3171" s="38"/>
      <c r="I3171" s="38"/>
      <c r="J3171" s="38"/>
      <c r="K3171" s="38"/>
      <c r="L3171" s="38"/>
      <c r="M3171" s="38"/>
      <c r="N3171" s="38"/>
      <c r="O3171" s="38"/>
      <c r="P3171" s="38"/>
      <c r="Q3171" s="38"/>
      <c r="R3171" s="38"/>
      <c r="S3171" s="38"/>
      <c r="T3171" s="38"/>
      <c r="U3171" s="38"/>
      <c r="V3171" s="38"/>
      <c r="W3171" s="45"/>
    </row>
    <row r="3172" spans="1:23">
      <c r="A3172" s="38"/>
      <c r="B3172" s="38"/>
      <c r="C3172" s="38"/>
      <c r="D3172" s="38"/>
      <c r="E3172" s="38"/>
      <c r="F3172" s="38"/>
      <c r="G3172" s="38"/>
      <c r="H3172" s="38"/>
      <c r="I3172" s="38"/>
      <c r="J3172" s="38"/>
      <c r="K3172" s="38"/>
      <c r="L3172" s="38"/>
      <c r="M3172" s="38"/>
      <c r="N3172" s="38"/>
      <c r="O3172" s="38"/>
      <c r="P3172" s="38"/>
      <c r="Q3172" s="38"/>
      <c r="R3172" s="38"/>
      <c r="S3172" s="38"/>
      <c r="T3172" s="38"/>
      <c r="U3172" s="38"/>
      <c r="V3172" s="38"/>
      <c r="W3172" s="45"/>
    </row>
    <row r="3173" spans="1:23">
      <c r="A3173" s="38"/>
      <c r="B3173" s="38"/>
      <c r="C3173" s="38"/>
      <c r="D3173" s="38"/>
      <c r="E3173" s="38"/>
      <c r="F3173" s="38"/>
      <c r="G3173" s="38"/>
      <c r="H3173" s="38"/>
      <c r="I3173" s="38"/>
      <c r="J3173" s="38"/>
      <c r="K3173" s="38"/>
      <c r="L3173" s="38"/>
      <c r="M3173" s="38"/>
      <c r="N3173" s="38"/>
      <c r="O3173" s="38"/>
      <c r="P3173" s="38"/>
      <c r="Q3173" s="38"/>
      <c r="R3173" s="38"/>
      <c r="S3173" s="38"/>
      <c r="T3173" s="38"/>
      <c r="U3173" s="38"/>
      <c r="V3173" s="38"/>
      <c r="W3173" s="45"/>
    </row>
    <row r="3174" spans="1:23">
      <c r="A3174" s="38"/>
      <c r="B3174" s="38"/>
      <c r="C3174" s="38"/>
      <c r="D3174" s="38"/>
      <c r="E3174" s="38"/>
      <c r="F3174" s="38"/>
      <c r="G3174" s="38"/>
      <c r="H3174" s="38"/>
      <c r="I3174" s="38"/>
      <c r="J3174" s="38"/>
      <c r="K3174" s="38"/>
      <c r="L3174" s="38"/>
      <c r="M3174" s="38"/>
      <c r="N3174" s="38"/>
      <c r="O3174" s="38"/>
      <c r="P3174" s="38"/>
      <c r="Q3174" s="38"/>
      <c r="R3174" s="38"/>
      <c r="S3174" s="38"/>
      <c r="T3174" s="38"/>
      <c r="U3174" s="38"/>
      <c r="V3174" s="38"/>
      <c r="W3174" s="45"/>
    </row>
    <row r="3175" spans="1:23">
      <c r="A3175" s="38"/>
      <c r="B3175" s="38"/>
      <c r="C3175" s="38"/>
      <c r="D3175" s="38"/>
      <c r="E3175" s="38"/>
      <c r="F3175" s="38"/>
      <c r="G3175" s="38"/>
      <c r="H3175" s="38"/>
      <c r="I3175" s="38"/>
      <c r="J3175" s="38"/>
      <c r="K3175" s="38"/>
      <c r="L3175" s="38"/>
      <c r="M3175" s="38"/>
      <c r="N3175" s="38"/>
      <c r="O3175" s="38"/>
      <c r="P3175" s="38"/>
      <c r="Q3175" s="38"/>
      <c r="R3175" s="38"/>
      <c r="S3175" s="38"/>
      <c r="T3175" s="38"/>
      <c r="U3175" s="38"/>
      <c r="V3175" s="38"/>
      <c r="W3175" s="45"/>
    </row>
    <row r="3176" spans="1:23">
      <c r="A3176" s="38"/>
      <c r="B3176" s="38"/>
      <c r="C3176" s="38"/>
      <c r="D3176" s="38"/>
      <c r="E3176" s="38"/>
      <c r="F3176" s="38"/>
      <c r="G3176" s="38"/>
      <c r="H3176" s="38"/>
      <c r="I3176" s="38"/>
      <c r="J3176" s="38"/>
      <c r="K3176" s="38"/>
      <c r="L3176" s="38"/>
      <c r="M3176" s="38"/>
      <c r="N3176" s="38"/>
      <c r="O3176" s="38"/>
      <c r="P3176" s="38"/>
      <c r="Q3176" s="38"/>
      <c r="R3176" s="38"/>
      <c r="S3176" s="38"/>
      <c r="T3176" s="38"/>
      <c r="U3176" s="38"/>
      <c r="V3176" s="38"/>
      <c r="W3176" s="45"/>
    </row>
    <row r="3177" spans="1:23">
      <c r="A3177" s="38"/>
      <c r="B3177" s="38"/>
      <c r="C3177" s="38"/>
      <c r="D3177" s="38"/>
      <c r="E3177" s="38"/>
      <c r="F3177" s="38"/>
      <c r="G3177" s="38"/>
      <c r="H3177" s="38"/>
      <c r="I3177" s="38"/>
      <c r="J3177" s="38"/>
      <c r="K3177" s="38"/>
      <c r="L3177" s="38"/>
      <c r="M3177" s="38"/>
      <c r="N3177" s="38"/>
      <c r="O3177" s="38"/>
      <c r="P3177" s="38"/>
      <c r="Q3177" s="38"/>
      <c r="R3177" s="38"/>
      <c r="S3177" s="38"/>
      <c r="T3177" s="38"/>
      <c r="U3177" s="38"/>
      <c r="V3177" s="38"/>
      <c r="W3177" s="45"/>
    </row>
    <row r="3178" spans="1:23">
      <c r="A3178" s="38"/>
      <c r="B3178" s="38"/>
      <c r="C3178" s="38"/>
      <c r="D3178" s="38"/>
      <c r="E3178" s="38"/>
      <c r="F3178" s="38"/>
      <c r="G3178" s="38"/>
      <c r="H3178" s="38"/>
      <c r="I3178" s="38"/>
      <c r="J3178" s="38"/>
      <c r="K3178" s="38"/>
      <c r="L3178" s="38"/>
      <c r="M3178" s="38"/>
      <c r="N3178" s="38"/>
      <c r="O3178" s="38"/>
      <c r="P3178" s="38"/>
      <c r="Q3178" s="38"/>
      <c r="R3178" s="38"/>
      <c r="S3178" s="38"/>
      <c r="T3178" s="38"/>
      <c r="U3178" s="38"/>
      <c r="V3178" s="38"/>
      <c r="W3178" s="45"/>
    </row>
    <row r="3179" spans="1:23">
      <c r="A3179" s="38"/>
      <c r="B3179" s="38"/>
      <c r="C3179" s="38"/>
      <c r="D3179" s="38"/>
      <c r="E3179" s="38"/>
      <c r="F3179" s="38"/>
      <c r="G3179" s="38"/>
      <c r="H3179" s="38"/>
      <c r="I3179" s="38"/>
      <c r="J3179" s="38"/>
      <c r="K3179" s="38"/>
      <c r="L3179" s="38"/>
      <c r="M3179" s="38"/>
      <c r="N3179" s="38"/>
      <c r="O3179" s="38"/>
      <c r="P3179" s="38"/>
      <c r="Q3179" s="38"/>
      <c r="R3179" s="38"/>
      <c r="S3179" s="38"/>
      <c r="T3179" s="38"/>
      <c r="U3179" s="38"/>
      <c r="V3179" s="38"/>
      <c r="W3179" s="45"/>
    </row>
    <row r="3180" spans="1:23">
      <c r="A3180" s="38"/>
      <c r="B3180" s="38"/>
      <c r="C3180" s="38"/>
      <c r="D3180" s="38"/>
      <c r="E3180" s="38"/>
      <c r="F3180" s="38"/>
      <c r="G3180" s="38"/>
      <c r="H3180" s="38"/>
      <c r="I3180" s="38"/>
      <c r="J3180" s="38"/>
      <c r="K3180" s="38"/>
      <c r="L3180" s="38"/>
      <c r="M3180" s="38"/>
      <c r="N3180" s="38"/>
      <c r="O3180" s="38"/>
      <c r="P3180" s="38"/>
      <c r="Q3180" s="38"/>
      <c r="R3180" s="38"/>
      <c r="S3180" s="38"/>
      <c r="T3180" s="38"/>
      <c r="U3180" s="38"/>
      <c r="V3180" s="38"/>
      <c r="W3180" s="45"/>
    </row>
    <row r="3181" spans="1:23">
      <c r="A3181" s="38"/>
      <c r="B3181" s="38"/>
      <c r="C3181" s="38"/>
      <c r="D3181" s="38"/>
      <c r="E3181" s="38"/>
      <c r="F3181" s="38"/>
      <c r="G3181" s="38"/>
      <c r="H3181" s="38"/>
      <c r="I3181" s="38"/>
      <c r="J3181" s="38"/>
      <c r="K3181" s="38"/>
      <c r="L3181" s="38"/>
      <c r="M3181" s="38"/>
      <c r="N3181" s="38"/>
      <c r="O3181" s="38"/>
      <c r="P3181" s="38"/>
      <c r="Q3181" s="38"/>
      <c r="R3181" s="38"/>
      <c r="S3181" s="38"/>
      <c r="T3181" s="38"/>
      <c r="U3181" s="38"/>
      <c r="V3181" s="38"/>
      <c r="W3181" s="45"/>
    </row>
    <row r="3182" spans="1:23">
      <c r="A3182" s="38"/>
      <c r="B3182" s="38"/>
      <c r="C3182" s="38"/>
      <c r="D3182" s="38"/>
      <c r="E3182" s="38"/>
      <c r="F3182" s="38"/>
      <c r="G3182" s="38"/>
      <c r="H3182" s="38"/>
      <c r="I3182" s="38"/>
      <c r="J3182" s="38"/>
      <c r="K3182" s="38"/>
      <c r="L3182" s="38"/>
      <c r="M3182" s="38"/>
      <c r="N3182" s="38"/>
      <c r="O3182" s="38"/>
      <c r="P3182" s="38"/>
      <c r="Q3182" s="38"/>
      <c r="R3182" s="38"/>
      <c r="S3182" s="38"/>
      <c r="T3182" s="38"/>
      <c r="U3182" s="38"/>
      <c r="V3182" s="38"/>
      <c r="W3182" s="45"/>
    </row>
    <row r="3183" spans="1:23">
      <c r="A3183" s="38"/>
      <c r="B3183" s="38"/>
      <c r="C3183" s="38"/>
      <c r="D3183" s="38"/>
      <c r="E3183" s="38"/>
      <c r="F3183" s="38"/>
      <c r="G3183" s="38"/>
      <c r="H3183" s="38"/>
      <c r="I3183" s="38"/>
      <c r="J3183" s="38"/>
      <c r="K3183" s="38"/>
      <c r="L3183" s="38"/>
      <c r="M3183" s="38"/>
      <c r="N3183" s="38"/>
      <c r="O3183" s="38"/>
      <c r="P3183" s="38"/>
      <c r="Q3183" s="38"/>
      <c r="R3183" s="38"/>
      <c r="S3183" s="38"/>
      <c r="T3183" s="38"/>
      <c r="U3183" s="38"/>
      <c r="V3183" s="38"/>
      <c r="W3183" s="45"/>
    </row>
    <row r="3184" spans="1:23">
      <c r="A3184" s="38"/>
      <c r="B3184" s="38"/>
      <c r="C3184" s="38"/>
      <c r="D3184" s="38"/>
      <c r="E3184" s="38"/>
      <c r="F3184" s="38"/>
      <c r="G3184" s="38"/>
      <c r="H3184" s="38"/>
      <c r="I3184" s="38"/>
      <c r="J3184" s="38"/>
      <c r="K3184" s="38"/>
      <c r="L3184" s="38"/>
      <c r="M3184" s="38"/>
      <c r="N3184" s="38"/>
      <c r="O3184" s="38"/>
      <c r="P3184" s="38"/>
      <c r="Q3184" s="38"/>
      <c r="R3184" s="38"/>
      <c r="S3184" s="38"/>
      <c r="T3184" s="38"/>
      <c r="U3184" s="38"/>
      <c r="V3184" s="38"/>
      <c r="W3184" s="45"/>
    </row>
    <row r="3185" spans="1:23">
      <c r="A3185" s="38"/>
      <c r="B3185" s="38"/>
      <c r="C3185" s="38"/>
      <c r="D3185" s="38"/>
      <c r="E3185" s="38"/>
      <c r="F3185" s="38"/>
      <c r="G3185" s="38"/>
      <c r="H3185" s="38"/>
      <c r="I3185" s="38"/>
      <c r="J3185" s="38"/>
      <c r="K3185" s="38"/>
      <c r="L3185" s="38"/>
      <c r="M3185" s="38"/>
      <c r="N3185" s="38"/>
      <c r="O3185" s="38"/>
      <c r="P3185" s="38"/>
      <c r="Q3185" s="38"/>
      <c r="R3185" s="38"/>
      <c r="S3185" s="38"/>
      <c r="T3185" s="38"/>
      <c r="U3185" s="38"/>
      <c r="V3185" s="38"/>
      <c r="W3185" s="45"/>
    </row>
    <row r="3186" spans="1:23">
      <c r="A3186" s="38"/>
      <c r="B3186" s="38"/>
      <c r="C3186" s="38"/>
      <c r="D3186" s="38"/>
      <c r="E3186" s="38"/>
      <c r="F3186" s="38"/>
      <c r="G3186" s="38"/>
      <c r="H3186" s="38"/>
      <c r="I3186" s="38"/>
      <c r="J3186" s="38"/>
      <c r="K3186" s="38"/>
      <c r="L3186" s="38"/>
      <c r="M3186" s="38"/>
      <c r="N3186" s="38"/>
      <c r="O3186" s="38"/>
      <c r="P3186" s="38"/>
      <c r="Q3186" s="38"/>
      <c r="R3186" s="38"/>
      <c r="S3186" s="38"/>
      <c r="T3186" s="38"/>
      <c r="U3186" s="38"/>
      <c r="V3186" s="38"/>
      <c r="W3186" s="45"/>
    </row>
    <row r="3187" spans="1:23">
      <c r="A3187" s="38"/>
      <c r="B3187" s="38"/>
      <c r="C3187" s="38"/>
      <c r="D3187" s="38"/>
      <c r="E3187" s="38"/>
      <c r="F3187" s="38"/>
      <c r="G3187" s="38"/>
      <c r="H3187" s="38"/>
      <c r="I3187" s="38"/>
      <c r="J3187" s="38"/>
      <c r="K3187" s="38"/>
      <c r="L3187" s="38"/>
      <c r="M3187" s="38"/>
      <c r="N3187" s="38"/>
      <c r="O3187" s="38"/>
      <c r="P3187" s="38"/>
      <c r="Q3187" s="38"/>
      <c r="R3187" s="38"/>
      <c r="S3187" s="38"/>
      <c r="T3187" s="38"/>
      <c r="U3187" s="38"/>
      <c r="V3187" s="38"/>
      <c r="W3187" s="45"/>
    </row>
    <row r="3188" spans="1:23">
      <c r="A3188" s="38"/>
      <c r="B3188" s="38"/>
      <c r="C3188" s="38"/>
      <c r="D3188" s="38"/>
      <c r="E3188" s="38"/>
      <c r="F3188" s="38"/>
      <c r="G3188" s="38"/>
      <c r="H3188" s="38"/>
      <c r="I3188" s="38"/>
      <c r="J3188" s="38"/>
      <c r="K3188" s="38"/>
      <c r="L3188" s="38"/>
      <c r="M3188" s="38"/>
      <c r="N3188" s="38"/>
      <c r="O3188" s="38"/>
      <c r="P3188" s="38"/>
      <c r="Q3188" s="38"/>
      <c r="R3188" s="38"/>
      <c r="S3188" s="38"/>
      <c r="T3188" s="38"/>
      <c r="U3188" s="38"/>
      <c r="V3188" s="38"/>
      <c r="W3188" s="45"/>
    </row>
    <row r="3189" spans="1:23">
      <c r="A3189" s="38"/>
      <c r="B3189" s="38"/>
      <c r="C3189" s="38"/>
      <c r="D3189" s="38"/>
      <c r="E3189" s="38"/>
      <c r="F3189" s="38"/>
      <c r="G3189" s="38"/>
      <c r="H3189" s="38"/>
      <c r="I3189" s="38"/>
      <c r="J3189" s="38"/>
      <c r="K3189" s="38"/>
      <c r="L3189" s="38"/>
      <c r="M3189" s="38"/>
      <c r="N3189" s="38"/>
      <c r="O3189" s="38"/>
      <c r="P3189" s="38"/>
      <c r="Q3189" s="38"/>
      <c r="R3189" s="38"/>
      <c r="S3189" s="38"/>
      <c r="T3189" s="38"/>
      <c r="U3189" s="38"/>
      <c r="V3189" s="38"/>
      <c r="W3189" s="45"/>
    </row>
    <row r="3190" spans="1:23">
      <c r="A3190" s="38"/>
      <c r="B3190" s="38"/>
      <c r="C3190" s="38"/>
      <c r="D3190" s="38"/>
      <c r="E3190" s="38"/>
      <c r="F3190" s="38"/>
      <c r="G3190" s="38"/>
      <c r="H3190" s="38"/>
      <c r="I3190" s="38"/>
      <c r="J3190" s="38"/>
      <c r="K3190" s="38"/>
      <c r="L3190" s="38"/>
      <c r="M3190" s="38"/>
      <c r="N3190" s="38"/>
      <c r="O3190" s="38"/>
      <c r="P3190" s="38"/>
      <c r="Q3190" s="38"/>
      <c r="R3190" s="38"/>
      <c r="S3190" s="38"/>
      <c r="T3190" s="38"/>
      <c r="U3190" s="38"/>
      <c r="V3190" s="38"/>
      <c r="W3190" s="45"/>
    </row>
    <row r="3191" spans="1:23">
      <c r="A3191" s="38"/>
      <c r="B3191" s="38"/>
      <c r="C3191" s="38"/>
      <c r="D3191" s="38"/>
      <c r="E3191" s="38"/>
      <c r="F3191" s="38"/>
      <c r="G3191" s="38"/>
      <c r="H3191" s="38"/>
      <c r="I3191" s="38"/>
      <c r="J3191" s="38"/>
      <c r="K3191" s="38"/>
      <c r="L3191" s="38"/>
      <c r="M3191" s="38"/>
      <c r="N3191" s="38"/>
      <c r="O3191" s="38"/>
      <c r="P3191" s="38"/>
      <c r="Q3191" s="38"/>
      <c r="R3191" s="38"/>
      <c r="S3191" s="38"/>
      <c r="T3191" s="38"/>
      <c r="U3191" s="38"/>
      <c r="V3191" s="38"/>
      <c r="W3191" s="45"/>
    </row>
    <row r="3192" spans="1:23">
      <c r="A3192" s="38"/>
      <c r="B3192" s="38"/>
      <c r="C3192" s="38"/>
      <c r="D3192" s="38"/>
      <c r="E3192" s="38"/>
      <c r="F3192" s="38"/>
      <c r="G3192" s="38"/>
      <c r="H3192" s="38"/>
      <c r="I3192" s="38"/>
      <c r="J3192" s="38"/>
      <c r="K3192" s="38"/>
      <c r="L3192" s="38"/>
      <c r="M3192" s="38"/>
      <c r="N3192" s="38"/>
      <c r="O3192" s="38"/>
      <c r="P3192" s="38"/>
      <c r="Q3192" s="38"/>
      <c r="R3192" s="38"/>
      <c r="S3192" s="38"/>
      <c r="T3192" s="38"/>
      <c r="U3192" s="38"/>
      <c r="V3192" s="38"/>
      <c r="W3192" s="45"/>
    </row>
    <row r="3193" spans="1:23">
      <c r="A3193" s="38"/>
      <c r="B3193" s="38"/>
      <c r="C3193" s="38"/>
      <c r="D3193" s="38"/>
      <c r="E3193" s="38"/>
      <c r="F3193" s="38"/>
      <c r="G3193" s="38"/>
      <c r="H3193" s="38"/>
      <c r="I3193" s="38"/>
      <c r="J3193" s="38"/>
      <c r="K3193" s="38"/>
      <c r="L3193" s="38"/>
      <c r="M3193" s="38"/>
      <c r="N3193" s="38"/>
      <c r="O3193" s="38"/>
      <c r="P3193" s="38"/>
      <c r="Q3193" s="38"/>
      <c r="R3193" s="38"/>
      <c r="S3193" s="38"/>
      <c r="T3193" s="38"/>
      <c r="U3193" s="38"/>
      <c r="V3193" s="38"/>
      <c r="W3193" s="45"/>
    </row>
    <row r="3194" spans="1:23">
      <c r="A3194" s="38"/>
      <c r="B3194" s="38"/>
      <c r="C3194" s="38"/>
      <c r="D3194" s="38"/>
      <c r="E3194" s="38"/>
      <c r="F3194" s="38"/>
      <c r="G3194" s="38"/>
      <c r="H3194" s="38"/>
      <c r="I3194" s="38"/>
      <c r="J3194" s="38"/>
      <c r="K3194" s="38"/>
      <c r="L3194" s="38"/>
      <c r="M3194" s="38"/>
      <c r="N3194" s="38"/>
      <c r="O3194" s="38"/>
      <c r="P3194" s="38"/>
      <c r="Q3194" s="38"/>
      <c r="R3194" s="38"/>
      <c r="S3194" s="38"/>
      <c r="T3194" s="38"/>
      <c r="U3194" s="38"/>
      <c r="V3194" s="38"/>
      <c r="W3194" s="45"/>
    </row>
    <row r="3195" spans="1:23">
      <c r="A3195" s="38"/>
      <c r="B3195" s="38"/>
      <c r="C3195" s="38"/>
      <c r="D3195" s="38"/>
      <c r="E3195" s="38"/>
      <c r="F3195" s="38"/>
      <c r="G3195" s="38"/>
      <c r="H3195" s="38"/>
      <c r="I3195" s="38"/>
      <c r="J3195" s="38"/>
      <c r="K3195" s="38"/>
      <c r="L3195" s="38"/>
      <c r="M3195" s="38"/>
      <c r="N3195" s="38"/>
      <c r="O3195" s="38"/>
      <c r="P3195" s="38"/>
      <c r="Q3195" s="38"/>
      <c r="R3195" s="38"/>
      <c r="S3195" s="38"/>
      <c r="T3195" s="38"/>
      <c r="U3195" s="38"/>
      <c r="V3195" s="38"/>
      <c r="W3195" s="45"/>
    </row>
    <row r="3196" spans="1:23">
      <c r="A3196" s="38"/>
      <c r="B3196" s="38"/>
      <c r="C3196" s="38"/>
      <c r="D3196" s="38"/>
      <c r="E3196" s="38"/>
      <c r="F3196" s="38"/>
      <c r="G3196" s="38"/>
      <c r="H3196" s="38"/>
      <c r="I3196" s="38"/>
      <c r="J3196" s="38"/>
      <c r="K3196" s="38"/>
      <c r="L3196" s="38"/>
      <c r="M3196" s="38"/>
      <c r="N3196" s="38"/>
      <c r="O3196" s="38"/>
      <c r="P3196" s="38"/>
      <c r="Q3196" s="38"/>
      <c r="R3196" s="38"/>
      <c r="S3196" s="38"/>
      <c r="T3196" s="38"/>
      <c r="U3196" s="38"/>
      <c r="V3196" s="38"/>
      <c r="W3196" s="45"/>
    </row>
    <row r="3197" spans="1:23">
      <c r="A3197" s="38"/>
      <c r="B3197" s="38"/>
      <c r="C3197" s="38"/>
      <c r="D3197" s="38"/>
      <c r="E3197" s="38"/>
      <c r="F3197" s="38"/>
      <c r="G3197" s="38"/>
      <c r="H3197" s="38"/>
      <c r="I3197" s="38"/>
      <c r="J3197" s="38"/>
      <c r="K3197" s="38"/>
      <c r="L3197" s="38"/>
      <c r="M3197" s="38"/>
      <c r="N3197" s="38"/>
      <c r="O3197" s="38"/>
      <c r="P3197" s="38"/>
      <c r="Q3197" s="38"/>
      <c r="R3197" s="38"/>
      <c r="S3197" s="38"/>
      <c r="T3197" s="38"/>
      <c r="U3197" s="38"/>
      <c r="V3197" s="38"/>
      <c r="W3197" s="45"/>
    </row>
    <row r="3198" spans="1:23">
      <c r="A3198" s="38"/>
      <c r="B3198" s="38"/>
      <c r="C3198" s="38"/>
      <c r="D3198" s="38"/>
      <c r="E3198" s="38"/>
      <c r="F3198" s="38"/>
      <c r="G3198" s="38"/>
      <c r="H3198" s="38"/>
      <c r="I3198" s="38"/>
      <c r="J3198" s="38"/>
      <c r="K3198" s="38"/>
      <c r="L3198" s="38"/>
      <c r="M3198" s="38"/>
      <c r="N3198" s="38"/>
      <c r="O3198" s="38"/>
      <c r="P3198" s="38"/>
      <c r="Q3198" s="38"/>
      <c r="R3198" s="38"/>
      <c r="S3198" s="38"/>
      <c r="T3198" s="38"/>
      <c r="U3198" s="38"/>
      <c r="V3198" s="38"/>
      <c r="W3198" s="45"/>
    </row>
    <row r="3199" spans="1:23">
      <c r="A3199" s="38"/>
      <c r="B3199" s="38"/>
      <c r="C3199" s="38"/>
      <c r="D3199" s="38"/>
      <c r="E3199" s="38"/>
      <c r="F3199" s="38"/>
      <c r="G3199" s="38"/>
      <c r="H3199" s="38"/>
      <c r="I3199" s="38"/>
      <c r="J3199" s="38"/>
      <c r="K3199" s="38"/>
      <c r="L3199" s="38"/>
      <c r="M3199" s="38"/>
      <c r="N3199" s="38"/>
      <c r="O3199" s="38"/>
      <c r="P3199" s="38"/>
      <c r="Q3199" s="38"/>
      <c r="R3199" s="38"/>
      <c r="S3199" s="38"/>
      <c r="T3199" s="38"/>
      <c r="U3199" s="38"/>
      <c r="V3199" s="38"/>
      <c r="W3199" s="45"/>
    </row>
    <row r="3200" spans="1:23">
      <c r="A3200" s="38"/>
      <c r="B3200" s="38"/>
      <c r="C3200" s="38"/>
      <c r="D3200" s="38"/>
      <c r="E3200" s="38"/>
      <c r="F3200" s="38"/>
      <c r="G3200" s="38"/>
      <c r="H3200" s="38"/>
      <c r="I3200" s="38"/>
      <c r="J3200" s="38"/>
      <c r="K3200" s="38"/>
      <c r="L3200" s="38"/>
      <c r="M3200" s="38"/>
      <c r="N3200" s="38"/>
      <c r="O3200" s="38"/>
      <c r="P3200" s="38"/>
      <c r="Q3200" s="38"/>
      <c r="R3200" s="38"/>
      <c r="S3200" s="38"/>
      <c r="T3200" s="38"/>
      <c r="U3200" s="38"/>
      <c r="V3200" s="38"/>
      <c r="W3200" s="45"/>
    </row>
    <row r="3201" spans="23:23">
      <c r="W3201" s="45"/>
    </row>
    <row r="3202" spans="23:23">
      <c r="W3202" s="45"/>
    </row>
    <row r="3203" spans="23:23">
      <c r="W3203" s="45"/>
    </row>
    <row r="3204" spans="23:23">
      <c r="W3204" s="45"/>
    </row>
    <row r="3205" spans="23:23">
      <c r="W3205" s="45"/>
    </row>
    <row r="3206" spans="23:23">
      <c r="W3206" s="45"/>
    </row>
    <row r="3207" spans="23:23">
      <c r="W3207" s="45"/>
    </row>
    <row r="3208" spans="23:23">
      <c r="W3208" s="45"/>
    </row>
    <row r="3209" spans="23:23">
      <c r="W3209" s="45"/>
    </row>
    <row r="3210" spans="23:23">
      <c r="W3210" s="45"/>
    </row>
    <row r="3211" spans="23:23">
      <c r="W3211" s="45"/>
    </row>
    <row r="3212" spans="23:23">
      <c r="W3212" s="45"/>
    </row>
    <row r="3213" spans="23:23">
      <c r="W3213" s="45"/>
    </row>
    <row r="3214" spans="23:23">
      <c r="W3214" s="45"/>
    </row>
    <row r="3215" spans="23:23">
      <c r="W3215" s="45"/>
    </row>
    <row r="3216" spans="23:23">
      <c r="W3216" s="45"/>
    </row>
    <row r="3217" spans="23:23">
      <c r="W3217" s="45"/>
    </row>
    <row r="3218" spans="23:23">
      <c r="W3218" s="45"/>
    </row>
    <row r="3219" spans="23:23">
      <c r="W3219" s="45"/>
    </row>
    <row r="3220" spans="23:23">
      <c r="W3220" s="45"/>
    </row>
    <row r="3221" spans="23:23">
      <c r="W3221" s="45"/>
    </row>
    <row r="3222" spans="23:23">
      <c r="W3222" s="45"/>
    </row>
    <row r="3223" spans="23:23">
      <c r="W3223" s="45"/>
    </row>
    <row r="3224" spans="23:23">
      <c r="W3224" s="45"/>
    </row>
    <row r="3225" spans="23:23">
      <c r="W3225" s="45"/>
    </row>
    <row r="3226" spans="23:23">
      <c r="W3226" s="45"/>
    </row>
    <row r="3227" spans="23:23">
      <c r="W3227" s="45"/>
    </row>
    <row r="3228" spans="23:23">
      <c r="W3228" s="45"/>
    </row>
    <row r="3229" spans="23:23">
      <c r="W3229" s="45"/>
    </row>
    <row r="3230" spans="23:23">
      <c r="W3230" s="45"/>
    </row>
    <row r="3231" spans="23:23">
      <c r="W3231" s="45"/>
    </row>
    <row r="3232" spans="23:23">
      <c r="W3232" s="45"/>
    </row>
    <row r="3233" spans="23:23">
      <c r="W3233" s="45"/>
    </row>
    <row r="3234" spans="23:23">
      <c r="W3234" s="45"/>
    </row>
    <row r="3235" spans="23:23">
      <c r="W3235" s="45"/>
    </row>
    <row r="3236" spans="23:23">
      <c r="W3236" s="45"/>
    </row>
    <row r="3237" spans="23:23">
      <c r="W3237" s="45"/>
    </row>
    <row r="3238" spans="23:23">
      <c r="W3238" s="45"/>
    </row>
    <row r="3239" spans="23:23">
      <c r="W3239" s="45"/>
    </row>
    <row r="3240" spans="23:23">
      <c r="W3240" s="45"/>
    </row>
    <row r="3241" spans="23:23">
      <c r="W3241" s="45"/>
    </row>
    <row r="3242" spans="23:23">
      <c r="W3242" s="45"/>
    </row>
    <row r="3243" spans="23:23">
      <c r="W3243" s="45"/>
    </row>
    <row r="3244" spans="23:23">
      <c r="W3244" s="45"/>
    </row>
    <row r="3245" spans="23:23">
      <c r="W3245" s="45"/>
    </row>
    <row r="3246" spans="23:23">
      <c r="W3246" s="45"/>
    </row>
    <row r="3247" spans="23:23">
      <c r="W3247" s="45"/>
    </row>
    <row r="3248" spans="23:23">
      <c r="W3248" s="45"/>
    </row>
    <row r="3249" spans="23:23">
      <c r="W3249" s="45"/>
    </row>
    <row r="3250" spans="23:23">
      <c r="W3250" s="45"/>
    </row>
    <row r="3251" spans="23:23">
      <c r="W3251" s="45"/>
    </row>
    <row r="3252" spans="23:23">
      <c r="W3252" s="45"/>
    </row>
    <row r="3253" spans="23:23">
      <c r="W3253" s="45"/>
    </row>
    <row r="3254" spans="23:23">
      <c r="W3254" s="45"/>
    </row>
    <row r="3255" spans="23:23">
      <c r="W3255" s="45"/>
    </row>
    <row r="3256" spans="23:23">
      <c r="W3256" s="45"/>
    </row>
    <row r="3257" spans="23:23">
      <c r="W3257" s="45"/>
    </row>
    <row r="3258" spans="23:23">
      <c r="W3258" s="45"/>
    </row>
    <row r="3259" spans="23:23">
      <c r="W3259" s="45"/>
    </row>
    <row r="3260" spans="23:23">
      <c r="W3260" s="45"/>
    </row>
    <row r="3261" spans="23:23">
      <c r="W3261" s="45"/>
    </row>
    <row r="3262" spans="23:23">
      <c r="W3262" s="45"/>
    </row>
    <row r="3263" spans="23:23">
      <c r="W3263" s="45"/>
    </row>
    <row r="3264" spans="23:23">
      <c r="W3264" s="45"/>
    </row>
    <row r="3265" spans="23:23">
      <c r="W3265" s="45"/>
    </row>
    <row r="3266" spans="23:23">
      <c r="W3266" s="45"/>
    </row>
    <row r="3267" spans="23:23">
      <c r="W3267" s="45"/>
    </row>
    <row r="3268" spans="23:23">
      <c r="W3268" s="45"/>
    </row>
    <row r="3269" spans="23:23">
      <c r="W3269" s="45"/>
    </row>
    <row r="3270" spans="23:23">
      <c r="W3270" s="45"/>
    </row>
    <row r="3271" spans="23:23">
      <c r="W3271" s="45"/>
    </row>
    <row r="3272" spans="23:23">
      <c r="W3272" s="45"/>
    </row>
    <row r="3273" spans="23:23">
      <c r="W3273" s="45"/>
    </row>
    <row r="3274" spans="23:23">
      <c r="W3274" s="45"/>
    </row>
    <row r="3275" spans="23:23">
      <c r="W3275" s="45"/>
    </row>
    <row r="3276" spans="23:23">
      <c r="W3276" s="45"/>
    </row>
    <row r="3277" spans="23:23">
      <c r="W3277" s="45"/>
    </row>
    <row r="3278" spans="23:23">
      <c r="W3278" s="45"/>
    </row>
    <row r="3279" spans="23:23">
      <c r="W3279" s="45"/>
    </row>
    <row r="3280" spans="23:23">
      <c r="W3280" s="45"/>
    </row>
    <row r="3281" spans="23:23">
      <c r="W3281" s="45"/>
    </row>
    <row r="3282" spans="23:23">
      <c r="W3282" s="45"/>
    </row>
    <row r="3283" spans="23:23">
      <c r="W3283" s="45"/>
    </row>
    <row r="3284" spans="23:23">
      <c r="W3284" s="45"/>
    </row>
    <row r="3285" spans="23:23">
      <c r="W3285" s="45"/>
    </row>
    <row r="3286" spans="23:23">
      <c r="W3286" s="45"/>
    </row>
    <row r="3287" spans="23:23">
      <c r="W3287" s="45"/>
    </row>
    <row r="3288" spans="23:23">
      <c r="W3288" s="45"/>
    </row>
    <row r="3289" spans="23:23">
      <c r="W3289" s="45"/>
    </row>
    <row r="3290" spans="23:23">
      <c r="W3290" s="45"/>
    </row>
    <row r="3291" spans="23:23">
      <c r="W3291" s="45"/>
    </row>
    <row r="3292" spans="23:23">
      <c r="W3292" s="45"/>
    </row>
    <row r="3293" spans="23:23">
      <c r="W3293" s="45"/>
    </row>
    <row r="3294" spans="23:23">
      <c r="W3294" s="45"/>
    </row>
    <row r="3295" spans="23:23">
      <c r="W3295" s="45"/>
    </row>
    <row r="3296" spans="23:23">
      <c r="W3296" s="45"/>
    </row>
    <row r="3297" spans="23:23">
      <c r="W3297" s="45"/>
    </row>
    <row r="3298" spans="23:23">
      <c r="W3298" s="45"/>
    </row>
    <row r="3299" spans="23:23">
      <c r="W3299" s="45"/>
    </row>
    <row r="3300" spans="23:23">
      <c r="W3300" s="45"/>
    </row>
    <row r="3301" spans="23:23">
      <c r="W3301" s="45"/>
    </row>
    <row r="3302" spans="23:23">
      <c r="W3302" s="45"/>
    </row>
    <row r="3303" spans="23:23">
      <c r="W3303" s="45"/>
    </row>
    <row r="3304" spans="23:23">
      <c r="W3304" s="45"/>
    </row>
    <row r="3305" spans="23:23">
      <c r="W3305" s="45"/>
    </row>
    <row r="3306" spans="23:23">
      <c r="W3306" s="45"/>
    </row>
    <row r="3307" spans="23:23">
      <c r="W3307" s="45"/>
    </row>
    <row r="3308" spans="23:23">
      <c r="W3308" s="45"/>
    </row>
    <row r="3309" spans="23:23">
      <c r="W3309" s="45"/>
    </row>
    <row r="3310" spans="23:23">
      <c r="W3310" s="45"/>
    </row>
    <row r="3311" spans="23:23">
      <c r="W3311" s="45"/>
    </row>
    <row r="3312" spans="23:23">
      <c r="W3312" s="45"/>
    </row>
    <row r="3313" spans="23:23">
      <c r="W3313" s="45"/>
    </row>
    <row r="3314" spans="23:23">
      <c r="W3314" s="45"/>
    </row>
    <row r="3315" spans="23:23">
      <c r="W3315" s="45"/>
    </row>
    <row r="3316" spans="23:23">
      <c r="W3316" s="45"/>
    </row>
    <row r="3317" spans="23:23">
      <c r="W3317" s="45"/>
    </row>
    <row r="3318" spans="23:23">
      <c r="W3318" s="45"/>
    </row>
    <row r="3319" spans="23:23">
      <c r="W3319" s="45"/>
    </row>
    <row r="3320" spans="23:23">
      <c r="W3320" s="45"/>
    </row>
    <row r="3321" spans="23:23">
      <c r="W3321" s="45"/>
    </row>
    <row r="3322" spans="23:23">
      <c r="W3322" s="45"/>
    </row>
    <row r="3323" spans="23:23">
      <c r="W3323" s="45"/>
    </row>
    <row r="3324" spans="23:23">
      <c r="W3324" s="45"/>
    </row>
    <row r="3325" spans="23:23">
      <c r="W3325" s="45"/>
    </row>
    <row r="3326" spans="23:23">
      <c r="W3326" s="45"/>
    </row>
    <row r="3327" spans="23:23">
      <c r="W3327" s="45"/>
    </row>
    <row r="3328" spans="23:23">
      <c r="W3328" s="45"/>
    </row>
    <row r="3329" spans="23:23">
      <c r="W3329" s="45"/>
    </row>
    <row r="3330" spans="23:23">
      <c r="W3330" s="45"/>
    </row>
    <row r="3331" spans="23:23">
      <c r="W3331" s="45"/>
    </row>
    <row r="3332" spans="23:23">
      <c r="W3332" s="45"/>
    </row>
    <row r="3333" spans="23:23">
      <c r="W3333" s="45"/>
    </row>
    <row r="3334" spans="23:23">
      <c r="W3334" s="45"/>
    </row>
    <row r="3335" spans="23:23">
      <c r="W3335" s="45"/>
    </row>
    <row r="3336" spans="23:23">
      <c r="W3336" s="45"/>
    </row>
    <row r="3337" spans="23:23">
      <c r="W3337" s="45"/>
    </row>
    <row r="3338" spans="23:23">
      <c r="W3338" s="45"/>
    </row>
    <row r="3339" spans="23:23">
      <c r="W3339" s="45"/>
    </row>
    <row r="3340" spans="23:23">
      <c r="W3340" s="45"/>
    </row>
    <row r="3341" spans="23:23">
      <c r="W3341" s="45"/>
    </row>
    <row r="3342" spans="23:23">
      <c r="W3342" s="45"/>
    </row>
    <row r="3343" spans="23:23">
      <c r="W3343" s="45"/>
    </row>
    <row r="3344" spans="23:23">
      <c r="W3344" s="45"/>
    </row>
    <row r="3345" spans="23:23">
      <c r="W3345" s="45"/>
    </row>
    <row r="3346" spans="23:23">
      <c r="W3346" s="45"/>
    </row>
    <row r="3347" spans="23:23">
      <c r="W3347" s="45"/>
    </row>
    <row r="3348" spans="23:23">
      <c r="W3348" s="45"/>
    </row>
    <row r="3349" spans="23:23">
      <c r="W3349" s="45"/>
    </row>
    <row r="3350" spans="23:23">
      <c r="W3350" s="45"/>
    </row>
    <row r="3351" spans="23:23">
      <c r="W3351" s="45"/>
    </row>
    <row r="3352" spans="23:23">
      <c r="W3352" s="45"/>
    </row>
    <row r="3353" spans="23:23">
      <c r="W3353" s="45"/>
    </row>
    <row r="3354" spans="23:23">
      <c r="W3354" s="45"/>
    </row>
    <row r="3355" spans="23:23">
      <c r="W3355" s="45"/>
    </row>
    <row r="3356" spans="23:23">
      <c r="W3356" s="45"/>
    </row>
    <row r="3357" spans="23:23">
      <c r="W3357" s="45"/>
    </row>
    <row r="3358" spans="23:23">
      <c r="W3358" s="45"/>
    </row>
    <row r="3359" spans="23:23">
      <c r="W3359" s="45"/>
    </row>
    <row r="3360" spans="23:23">
      <c r="W3360" s="45"/>
    </row>
    <row r="3361" spans="23:23">
      <c r="W3361" s="45"/>
    </row>
    <row r="3362" spans="23:23">
      <c r="W3362" s="45"/>
    </row>
    <row r="3363" spans="23:23">
      <c r="W3363" s="45"/>
    </row>
    <row r="3364" spans="23:23">
      <c r="W3364" s="45"/>
    </row>
    <row r="3365" spans="23:23">
      <c r="W3365" s="45"/>
    </row>
    <row r="3366" spans="23:23">
      <c r="W3366" s="45"/>
    </row>
    <row r="3367" spans="23:23">
      <c r="W3367" s="45"/>
    </row>
    <row r="3368" spans="23:23">
      <c r="W3368" s="45"/>
    </row>
    <row r="3369" spans="23:23">
      <c r="W3369" s="45"/>
    </row>
    <row r="3370" spans="23:23">
      <c r="W3370" s="45"/>
    </row>
    <row r="3371" spans="23:23">
      <c r="W3371" s="45"/>
    </row>
    <row r="3372" spans="23:23">
      <c r="W3372" s="45"/>
    </row>
    <row r="3373" spans="23:23">
      <c r="W3373" s="45"/>
    </row>
    <row r="3374" spans="23:23">
      <c r="W3374" s="45"/>
    </row>
    <row r="3375" spans="23:23">
      <c r="W3375" s="45"/>
    </row>
    <row r="3376" spans="23:23">
      <c r="W3376" s="45"/>
    </row>
    <row r="3377" spans="23:23">
      <c r="W3377" s="45"/>
    </row>
    <row r="3378" spans="23:23">
      <c r="W3378" s="45"/>
    </row>
    <row r="3379" spans="23:23">
      <c r="W3379" s="45"/>
    </row>
    <row r="3380" spans="23:23">
      <c r="W3380" s="45"/>
    </row>
    <row r="3381" spans="23:23">
      <c r="W3381" s="45"/>
    </row>
    <row r="3382" spans="23:23">
      <c r="W3382" s="45"/>
    </row>
    <row r="3383" spans="23:23">
      <c r="W3383" s="45"/>
    </row>
    <row r="3384" spans="23:23">
      <c r="W3384" s="45"/>
    </row>
    <row r="3385" spans="23:23">
      <c r="W3385" s="45"/>
    </row>
    <row r="3386" spans="23:23">
      <c r="W3386" s="45"/>
    </row>
    <row r="3387" spans="23:23">
      <c r="W3387" s="45"/>
    </row>
    <row r="3388" spans="23:23">
      <c r="W3388" s="45"/>
    </row>
    <row r="3389" spans="23:23">
      <c r="W3389" s="45"/>
    </row>
    <row r="3390" spans="23:23">
      <c r="W3390" s="45"/>
    </row>
    <row r="3391" spans="23:23">
      <c r="W3391" s="45"/>
    </row>
    <row r="3392" spans="23:23">
      <c r="W3392" s="45"/>
    </row>
    <row r="3393" spans="23:23">
      <c r="W3393" s="45"/>
    </row>
    <row r="3394" spans="23:23">
      <c r="W3394" s="45"/>
    </row>
    <row r="3395" spans="23:23">
      <c r="W3395" s="45"/>
    </row>
    <row r="3396" spans="23:23">
      <c r="W3396" s="45"/>
    </row>
    <row r="3397" spans="23:23">
      <c r="W3397" s="45"/>
    </row>
    <row r="3398" spans="23:23">
      <c r="W3398" s="45"/>
    </row>
    <row r="3399" spans="23:23">
      <c r="W3399" s="45"/>
    </row>
    <row r="3400" spans="23:23">
      <c r="W3400" s="45"/>
    </row>
    <row r="3401" spans="23:23">
      <c r="W3401" s="45"/>
    </row>
    <row r="3402" spans="23:23">
      <c r="W3402" s="45"/>
    </row>
    <row r="3403" spans="23:23">
      <c r="W3403" s="45"/>
    </row>
    <row r="3404" spans="23:23">
      <c r="W3404" s="45"/>
    </row>
    <row r="3405" spans="23:23">
      <c r="W3405" s="45"/>
    </row>
    <row r="3406" spans="23:23">
      <c r="W3406" s="45"/>
    </row>
    <row r="3407" spans="23:23">
      <c r="W3407" s="45"/>
    </row>
    <row r="3408" spans="23:23">
      <c r="W3408" s="45"/>
    </row>
    <row r="3409" spans="23:23">
      <c r="W3409" s="45"/>
    </row>
    <row r="3410" spans="23:23">
      <c r="W3410" s="45"/>
    </row>
    <row r="3411" spans="23:23">
      <c r="W3411" s="45"/>
    </row>
    <row r="3412" spans="23:23">
      <c r="W3412" s="45"/>
    </row>
    <row r="3413" spans="23:23">
      <c r="W3413" s="45"/>
    </row>
    <row r="3414" spans="23:23">
      <c r="W3414" s="45"/>
    </row>
    <row r="3415" spans="23:23">
      <c r="W3415" s="45"/>
    </row>
    <row r="3416" spans="23:23">
      <c r="W3416" s="45"/>
    </row>
    <row r="3417" spans="23:23">
      <c r="W3417" s="45"/>
    </row>
    <row r="3418" spans="23:23">
      <c r="W3418" s="45"/>
    </row>
    <row r="3419" spans="23:23">
      <c r="W3419" s="45"/>
    </row>
    <row r="3420" spans="23:23">
      <c r="W3420" s="45"/>
    </row>
    <row r="3421" spans="23:23">
      <c r="W3421" s="45"/>
    </row>
    <row r="3422" spans="23:23">
      <c r="W3422" s="45"/>
    </row>
    <row r="3423" spans="23:23">
      <c r="W3423" s="45"/>
    </row>
    <row r="3424" spans="23:23">
      <c r="W3424" s="45"/>
    </row>
    <row r="3425" spans="23:23">
      <c r="W3425" s="45"/>
    </row>
    <row r="3426" spans="23:23">
      <c r="W3426" s="45"/>
    </row>
    <row r="3427" spans="23:23">
      <c r="W3427" s="45"/>
    </row>
    <row r="3428" spans="23:23">
      <c r="W3428" s="45"/>
    </row>
    <row r="3429" spans="23:23">
      <c r="W3429" s="45"/>
    </row>
    <row r="3430" spans="23:23">
      <c r="W3430" s="45"/>
    </row>
    <row r="3431" spans="23:23">
      <c r="W3431" s="45"/>
    </row>
    <row r="3432" spans="23:23">
      <c r="W3432" s="45"/>
    </row>
    <row r="3433" spans="23:23">
      <c r="W3433" s="45"/>
    </row>
    <row r="3434" spans="23:23">
      <c r="W3434" s="45"/>
    </row>
    <row r="3435" spans="23:23">
      <c r="W3435" s="45"/>
    </row>
    <row r="3436" spans="23:23">
      <c r="W3436" s="45"/>
    </row>
    <row r="3437" spans="23:23">
      <c r="W3437" s="45"/>
    </row>
    <row r="3438" spans="23:23">
      <c r="W3438" s="45"/>
    </row>
    <row r="3439" spans="23:23">
      <c r="W3439" s="45"/>
    </row>
    <row r="3440" spans="23:23">
      <c r="W3440" s="45"/>
    </row>
    <row r="3441" spans="23:23">
      <c r="W3441" s="45"/>
    </row>
    <row r="3442" spans="23:23">
      <c r="W3442" s="45"/>
    </row>
    <row r="3443" spans="23:23">
      <c r="W3443" s="45"/>
    </row>
    <row r="3444" spans="23:23">
      <c r="W3444" s="45"/>
    </row>
    <row r="3445" spans="23:23">
      <c r="W3445" s="45"/>
    </row>
    <row r="3446" spans="23:23">
      <c r="W3446" s="45"/>
    </row>
    <row r="3447" spans="23:23">
      <c r="W3447" s="45"/>
    </row>
    <row r="3448" spans="23:23">
      <c r="W3448" s="45"/>
    </row>
    <row r="3449" spans="23:23">
      <c r="W3449" s="45"/>
    </row>
    <row r="3450" spans="23:23">
      <c r="W3450" s="45"/>
    </row>
    <row r="3451" spans="23:23">
      <c r="W3451" s="45"/>
    </row>
    <row r="3452" spans="23:23">
      <c r="W3452" s="45"/>
    </row>
    <row r="3453" spans="23:23">
      <c r="W3453" s="45"/>
    </row>
    <row r="3454" spans="23:23">
      <c r="W3454" s="45"/>
    </row>
    <row r="3455" spans="23:23">
      <c r="W3455" s="45"/>
    </row>
    <row r="3456" spans="23:23">
      <c r="W3456" s="45"/>
    </row>
    <row r="3457" spans="23:23">
      <c r="W3457" s="45"/>
    </row>
    <row r="3458" spans="23:23">
      <c r="W3458" s="45"/>
    </row>
    <row r="3459" spans="23:23">
      <c r="W3459" s="45"/>
    </row>
    <row r="3460" spans="23:23">
      <c r="W3460" s="45"/>
    </row>
    <row r="3461" spans="23:23">
      <c r="W3461" s="45"/>
    </row>
    <row r="3462" spans="23:23">
      <c r="W3462" s="45"/>
    </row>
    <row r="3463" spans="23:23">
      <c r="W3463" s="45"/>
    </row>
    <row r="3464" spans="23:23">
      <c r="W3464" s="45"/>
    </row>
    <row r="3465" spans="23:23">
      <c r="W3465" s="45"/>
    </row>
    <row r="3466" spans="23:23">
      <c r="W3466" s="45"/>
    </row>
    <row r="3467" spans="23:23">
      <c r="W3467" s="45"/>
    </row>
    <row r="3468" spans="23:23">
      <c r="W3468" s="45"/>
    </row>
    <row r="3469" spans="23:23">
      <c r="W3469" s="45"/>
    </row>
    <row r="3470" spans="23:23">
      <c r="W3470" s="45"/>
    </row>
    <row r="3471" spans="23:23">
      <c r="W3471" s="45"/>
    </row>
    <row r="3472" spans="23:23">
      <c r="W3472" s="45"/>
    </row>
    <row r="3473" spans="23:23">
      <c r="W3473" s="45"/>
    </row>
    <row r="3474" spans="23:23">
      <c r="W3474" s="45"/>
    </row>
    <row r="3475" spans="23:23">
      <c r="W3475" s="45"/>
    </row>
    <row r="3476" spans="23:23">
      <c r="W3476" s="45"/>
    </row>
    <row r="3477" spans="23:23">
      <c r="W3477" s="45"/>
    </row>
    <row r="3478" spans="23:23">
      <c r="W3478" s="45"/>
    </row>
    <row r="3479" spans="23:23">
      <c r="W3479" s="45"/>
    </row>
    <row r="3480" spans="23:23">
      <c r="W3480" s="45"/>
    </row>
    <row r="3481" spans="23:23">
      <c r="W3481" s="45"/>
    </row>
    <row r="3482" spans="23:23">
      <c r="W3482" s="45"/>
    </row>
    <row r="3483" spans="23:23">
      <c r="W3483" s="45"/>
    </row>
    <row r="3484" spans="23:23">
      <c r="W3484" s="45"/>
    </row>
    <row r="3485" spans="23:23">
      <c r="W3485" s="45"/>
    </row>
    <row r="3486" spans="23:23">
      <c r="W3486" s="45"/>
    </row>
    <row r="3487" spans="23:23">
      <c r="W3487" s="45"/>
    </row>
    <row r="3488" spans="23:23">
      <c r="W3488" s="45"/>
    </row>
    <row r="3489" spans="23:23">
      <c r="W3489" s="45"/>
    </row>
    <row r="3490" spans="23:23">
      <c r="W3490" s="45"/>
    </row>
    <row r="3491" spans="23:23">
      <c r="W3491" s="45"/>
    </row>
    <row r="3492" spans="23:23">
      <c r="W3492" s="45"/>
    </row>
    <row r="3493" spans="23:23">
      <c r="W3493" s="45"/>
    </row>
    <row r="3494" spans="23:23">
      <c r="W3494" s="45"/>
    </row>
    <row r="3495" spans="23:23">
      <c r="W3495" s="45"/>
    </row>
    <row r="3496" spans="23:23">
      <c r="W3496" s="45"/>
    </row>
    <row r="3497" spans="23:23">
      <c r="W3497" s="45"/>
    </row>
    <row r="3498" spans="23:23">
      <c r="W3498" s="45"/>
    </row>
    <row r="3499" spans="23:23">
      <c r="W3499" s="45"/>
    </row>
    <row r="3500" spans="23:23">
      <c r="W3500" s="45"/>
    </row>
    <row r="3501" spans="23:23">
      <c r="W3501" s="45"/>
    </row>
    <row r="3502" spans="23:23">
      <c r="W3502" s="45"/>
    </row>
    <row r="3503" spans="23:23">
      <c r="W3503" s="45"/>
    </row>
    <row r="3504" spans="23:23">
      <c r="W3504" s="45"/>
    </row>
    <row r="3505" spans="23:23">
      <c r="W3505" s="45"/>
    </row>
    <row r="3506" spans="23:23">
      <c r="W3506" s="45"/>
    </row>
    <row r="3507" spans="23:23">
      <c r="W3507" s="45"/>
    </row>
    <row r="3508" spans="23:23">
      <c r="W3508" s="45"/>
    </row>
    <row r="3509" spans="23:23">
      <c r="W3509" s="45"/>
    </row>
    <row r="3510" spans="23:23">
      <c r="W3510" s="45"/>
    </row>
    <row r="3511" spans="23:23">
      <c r="W3511" s="45"/>
    </row>
    <row r="3512" spans="23:23">
      <c r="W3512" s="45"/>
    </row>
    <row r="3513" spans="23:23">
      <c r="W3513" s="45"/>
    </row>
    <row r="3514" spans="23:23">
      <c r="W3514" s="45"/>
    </row>
    <row r="3515" spans="23:23">
      <c r="W3515" s="45"/>
    </row>
    <row r="3516" spans="23:23">
      <c r="W3516" s="45"/>
    </row>
    <row r="3517" spans="23:23">
      <c r="W3517" s="45"/>
    </row>
    <row r="3518" spans="23:23">
      <c r="W3518" s="45"/>
    </row>
    <row r="3519" spans="23:23">
      <c r="W3519" s="45"/>
    </row>
    <row r="3520" spans="23:23">
      <c r="W3520" s="45"/>
    </row>
    <row r="3521" spans="23:23">
      <c r="W3521" s="45"/>
    </row>
    <row r="3522" spans="23:23">
      <c r="W3522" s="45"/>
    </row>
    <row r="3523" spans="23:23">
      <c r="W3523" s="45"/>
    </row>
    <row r="3524" spans="23:23">
      <c r="W3524" s="45"/>
    </row>
    <row r="3525" spans="23:23">
      <c r="W3525" s="45"/>
    </row>
    <row r="3526" spans="23:23">
      <c r="W3526" s="45"/>
    </row>
    <row r="3527" spans="23:23">
      <c r="W3527" s="45"/>
    </row>
    <row r="3528" spans="23:23">
      <c r="W3528" s="45"/>
    </row>
    <row r="3529" spans="23:23">
      <c r="W3529" s="45"/>
    </row>
    <row r="3530" spans="23:23">
      <c r="W3530" s="45"/>
    </row>
    <row r="3531" spans="23:23">
      <c r="W3531" s="45"/>
    </row>
    <row r="3532" spans="23:23">
      <c r="W3532" s="45"/>
    </row>
    <row r="3533" spans="23:23">
      <c r="W3533" s="45"/>
    </row>
    <row r="3534" spans="23:23">
      <c r="W3534" s="45"/>
    </row>
    <row r="3535" spans="23:23">
      <c r="W3535" s="45"/>
    </row>
    <row r="3536" spans="23:23">
      <c r="W3536" s="45"/>
    </row>
    <row r="3537" spans="23:23">
      <c r="W3537" s="45"/>
    </row>
    <row r="3538" spans="23:23">
      <c r="W3538" s="45"/>
    </row>
    <row r="3539" spans="23:23">
      <c r="W3539" s="45"/>
    </row>
    <row r="3540" spans="23:23">
      <c r="W3540" s="45"/>
    </row>
    <row r="3541" spans="23:23">
      <c r="W3541" s="45"/>
    </row>
    <row r="3542" spans="23:23">
      <c r="W3542" s="45"/>
    </row>
    <row r="3543" spans="23:23">
      <c r="W3543" s="45"/>
    </row>
    <row r="3544" spans="23:23">
      <c r="W3544" s="45"/>
    </row>
    <row r="3545" spans="23:23">
      <c r="W3545" s="45"/>
    </row>
    <row r="3546" spans="23:23">
      <c r="W3546" s="45"/>
    </row>
    <row r="3547" spans="23:23">
      <c r="W3547" s="45"/>
    </row>
    <row r="3548" spans="23:23">
      <c r="W3548" s="45"/>
    </row>
    <row r="3549" spans="23:23">
      <c r="W3549" s="45"/>
    </row>
    <row r="3550" spans="23:23">
      <c r="W3550" s="45"/>
    </row>
    <row r="3551" spans="23:23">
      <c r="W3551" s="45"/>
    </row>
    <row r="3552" spans="23:23">
      <c r="W3552" s="45"/>
    </row>
    <row r="3553" spans="23:23">
      <c r="W3553" s="45"/>
    </row>
    <row r="3554" spans="23:23">
      <c r="W3554" s="45"/>
    </row>
    <row r="3555" spans="23:23">
      <c r="W3555" s="45"/>
    </row>
    <row r="3556" spans="23:23">
      <c r="W3556" s="45"/>
    </row>
    <row r="3557" spans="23:23">
      <c r="W3557" s="45"/>
    </row>
    <row r="3558" spans="23:23">
      <c r="W3558" s="45"/>
    </row>
    <row r="3559" spans="23:23">
      <c r="W3559" s="45"/>
    </row>
    <row r="3560" spans="23:23">
      <c r="W3560" s="45"/>
    </row>
    <row r="3561" spans="23:23">
      <c r="W3561" s="45"/>
    </row>
    <row r="3562" spans="23:23">
      <c r="W3562" s="45"/>
    </row>
    <row r="3563" spans="23:23">
      <c r="W3563" s="45"/>
    </row>
    <row r="3564" spans="23:23">
      <c r="W3564" s="45"/>
    </row>
    <row r="3565" spans="23:23">
      <c r="W3565" s="45"/>
    </row>
    <row r="3566" spans="23:23">
      <c r="W3566" s="45"/>
    </row>
    <row r="3567" spans="23:23">
      <c r="W3567" s="45"/>
    </row>
    <row r="3568" spans="23:23">
      <c r="W3568" s="45"/>
    </row>
    <row r="3569" spans="23:23">
      <c r="W3569" s="45"/>
    </row>
    <row r="3570" spans="23:23">
      <c r="W3570" s="45"/>
    </row>
    <row r="3571" spans="23:23">
      <c r="W3571" s="45"/>
    </row>
    <row r="3572" spans="23:23">
      <c r="W3572" s="45"/>
    </row>
    <row r="3573" spans="23:23">
      <c r="W3573" s="45"/>
    </row>
    <row r="3574" spans="23:23">
      <c r="W3574" s="45"/>
    </row>
    <row r="3575" spans="23:23">
      <c r="W3575" s="45"/>
    </row>
    <row r="3576" spans="23:23">
      <c r="W3576" s="45"/>
    </row>
    <row r="3577" spans="23:23">
      <c r="W3577" s="45"/>
    </row>
    <row r="3578" spans="23:23">
      <c r="W3578" s="45"/>
    </row>
    <row r="3579" spans="23:23">
      <c r="W3579" s="45"/>
    </row>
    <row r="3580" spans="23:23">
      <c r="W3580" s="45"/>
    </row>
    <row r="3581" spans="23:23">
      <c r="W3581" s="45"/>
    </row>
    <row r="3582" spans="23:23">
      <c r="W3582" s="45"/>
    </row>
    <row r="3583" spans="23:23">
      <c r="W3583" s="45"/>
    </row>
    <row r="3584" spans="23:23">
      <c r="W3584" s="45"/>
    </row>
    <row r="3585" spans="23:23">
      <c r="W3585" s="45"/>
    </row>
    <row r="3586" spans="23:23">
      <c r="W3586" s="45"/>
    </row>
    <row r="3587" spans="23:23">
      <c r="W3587" s="45"/>
    </row>
    <row r="3588" spans="23:23">
      <c r="W3588" s="45"/>
    </row>
    <row r="3589" spans="23:23">
      <c r="W3589" s="45"/>
    </row>
    <row r="3590" spans="23:23">
      <c r="W3590" s="45"/>
    </row>
    <row r="3591" spans="23:23">
      <c r="W3591" s="45"/>
    </row>
    <row r="3592" spans="23:23">
      <c r="W3592" s="45"/>
    </row>
    <row r="3593" spans="23:23">
      <c r="W3593" s="45"/>
    </row>
    <row r="3594" spans="23:23">
      <c r="W3594" s="45"/>
    </row>
    <row r="3595" spans="23:23">
      <c r="W3595" s="45"/>
    </row>
    <row r="3596" spans="23:23">
      <c r="W3596" s="45"/>
    </row>
    <row r="3597" spans="23:23">
      <c r="W3597" s="45"/>
    </row>
    <row r="3598" spans="23:23">
      <c r="W3598" s="45"/>
    </row>
    <row r="3599" spans="23:23">
      <c r="W3599" s="45"/>
    </row>
    <row r="3600" spans="23:23">
      <c r="W3600" s="45"/>
    </row>
    <row r="3601" spans="23:23">
      <c r="W3601" s="45"/>
    </row>
    <row r="3602" spans="23:23">
      <c r="W3602" s="45"/>
    </row>
    <row r="3603" spans="23:23">
      <c r="W3603" s="45"/>
    </row>
    <row r="3604" spans="23:23">
      <c r="W3604" s="45"/>
    </row>
    <row r="3605" spans="23:23">
      <c r="W3605" s="45"/>
    </row>
    <row r="3606" spans="23:23">
      <c r="W3606" s="45"/>
    </row>
    <row r="3607" spans="23:23">
      <c r="W3607" s="45"/>
    </row>
    <row r="3608" spans="23:23">
      <c r="W3608" s="45"/>
    </row>
    <row r="3609" spans="23:23">
      <c r="W3609" s="45"/>
    </row>
    <row r="3610" spans="23:23">
      <c r="W3610" s="45"/>
    </row>
    <row r="3611" spans="23:23">
      <c r="W3611" s="45"/>
    </row>
    <row r="3612" spans="23:23">
      <c r="W3612" s="45"/>
    </row>
    <row r="3613" spans="23:23">
      <c r="W3613" s="45"/>
    </row>
    <row r="3614" spans="23:23">
      <c r="W3614" s="45"/>
    </row>
    <row r="3615" spans="23:23">
      <c r="W3615" s="45"/>
    </row>
    <row r="3616" spans="23:23">
      <c r="W3616" s="45"/>
    </row>
    <row r="3617" spans="23:23">
      <c r="W3617" s="45"/>
    </row>
    <row r="3618" spans="23:23">
      <c r="W3618" s="45"/>
    </row>
    <row r="3619" spans="23:23">
      <c r="W3619" s="45"/>
    </row>
    <row r="3620" spans="23:23">
      <c r="W3620" s="45"/>
    </row>
    <row r="3621" spans="23:23">
      <c r="W3621" s="45"/>
    </row>
    <row r="3622" spans="23:23">
      <c r="W3622" s="45"/>
    </row>
    <row r="3623" spans="23:23">
      <c r="W3623" s="45"/>
    </row>
    <row r="3624" spans="23:23">
      <c r="W3624" s="45"/>
    </row>
    <row r="3625" spans="23:23">
      <c r="W3625" s="45"/>
    </row>
    <row r="3626" spans="23:23">
      <c r="W3626" s="45"/>
    </row>
    <row r="3627" spans="23:23">
      <c r="W3627" s="45"/>
    </row>
    <row r="3628" spans="23:23">
      <c r="W3628" s="45"/>
    </row>
    <row r="3629" spans="23:23">
      <c r="W3629" s="45"/>
    </row>
    <row r="3630" spans="23:23">
      <c r="W3630" s="45"/>
    </row>
    <row r="3631" spans="23:23">
      <c r="W3631" s="45"/>
    </row>
    <row r="3632" spans="23:23">
      <c r="W3632" s="45"/>
    </row>
    <row r="3633" spans="23:23">
      <c r="W3633" s="45"/>
    </row>
    <row r="3634" spans="23:23">
      <c r="W3634" s="45"/>
    </row>
    <row r="3635" spans="23:23">
      <c r="W3635" s="45"/>
    </row>
    <row r="3636" spans="23:23">
      <c r="W3636" s="45"/>
    </row>
    <row r="3637" spans="23:23">
      <c r="W3637" s="45"/>
    </row>
    <row r="3638" spans="23:23">
      <c r="W3638" s="45"/>
    </row>
    <row r="3639" spans="23:23">
      <c r="W3639" s="45"/>
    </row>
    <row r="3640" spans="23:23">
      <c r="W3640" s="45"/>
    </row>
    <row r="3641" spans="23:23">
      <c r="W3641" s="45"/>
    </row>
    <row r="3642" spans="23:23">
      <c r="W3642" s="45"/>
    </row>
    <row r="3643" spans="23:23">
      <c r="W3643" s="45"/>
    </row>
    <row r="3644" spans="23:23">
      <c r="W3644" s="45"/>
    </row>
    <row r="3645" spans="23:23">
      <c r="W3645" s="45"/>
    </row>
    <row r="3646" spans="23:23">
      <c r="W3646" s="45"/>
    </row>
    <row r="3647" spans="23:23">
      <c r="W3647" s="45"/>
    </row>
    <row r="3648" spans="23:23">
      <c r="W3648" s="45"/>
    </row>
    <row r="3649" spans="23:23">
      <c r="W3649" s="45"/>
    </row>
    <row r="3650" spans="23:23">
      <c r="W3650" s="45"/>
    </row>
    <row r="3651" spans="23:23">
      <c r="W3651" s="45"/>
    </row>
    <row r="3652" spans="23:23">
      <c r="W3652" s="45"/>
    </row>
    <row r="3653" spans="23:23">
      <c r="W3653" s="45"/>
    </row>
    <row r="3654" spans="23:23">
      <c r="W3654" s="45"/>
    </row>
    <row r="3655" spans="23:23">
      <c r="W3655" s="45"/>
    </row>
    <row r="3656" spans="23:23">
      <c r="W3656" s="45"/>
    </row>
    <row r="3657" spans="23:23">
      <c r="W3657" s="45"/>
    </row>
    <row r="3658" spans="23:23">
      <c r="W3658" s="45"/>
    </row>
    <row r="3659" spans="23:23">
      <c r="W3659" s="45"/>
    </row>
    <row r="3660" spans="23:23">
      <c r="W3660" s="45"/>
    </row>
    <row r="3661" spans="23:23">
      <c r="W3661" s="45"/>
    </row>
    <row r="3662" spans="23:23">
      <c r="W3662" s="45"/>
    </row>
    <row r="3663" spans="23:23">
      <c r="W3663" s="45"/>
    </row>
    <row r="3664" spans="23:23">
      <c r="W3664" s="45"/>
    </row>
    <row r="3665" spans="23:23">
      <c r="W3665" s="45"/>
    </row>
    <row r="3666" spans="23:23">
      <c r="W3666" s="45"/>
    </row>
    <row r="3667" spans="23:23">
      <c r="W3667" s="45"/>
    </row>
    <row r="3668" spans="23:23">
      <c r="W3668" s="45"/>
    </row>
    <row r="3669" spans="23:23">
      <c r="W3669" s="45"/>
    </row>
    <row r="3670" spans="23:23">
      <c r="W3670" s="45"/>
    </row>
    <row r="3671" spans="23:23">
      <c r="W3671" s="45"/>
    </row>
    <row r="3672" spans="23:23">
      <c r="W3672" s="45"/>
    </row>
    <row r="3673" spans="23:23">
      <c r="W3673" s="45"/>
    </row>
    <row r="3674" spans="23:23">
      <c r="W3674" s="45"/>
    </row>
    <row r="3675" spans="23:23">
      <c r="W3675" s="45"/>
    </row>
    <row r="3676" spans="23:23">
      <c r="W3676" s="45"/>
    </row>
    <row r="3677" spans="23:23">
      <c r="W3677" s="45"/>
    </row>
    <row r="3678" spans="23:23">
      <c r="W3678" s="45"/>
    </row>
    <row r="3679" spans="23:23">
      <c r="W3679" s="45"/>
    </row>
    <row r="3680" spans="23:23">
      <c r="W3680" s="45"/>
    </row>
    <row r="3681" spans="23:23">
      <c r="W3681" s="45"/>
    </row>
    <row r="3682" spans="23:23">
      <c r="W3682" s="45"/>
    </row>
    <row r="3683" spans="23:23">
      <c r="W3683" s="45"/>
    </row>
    <row r="3684" spans="23:23">
      <c r="W3684" s="45"/>
    </row>
    <row r="3685" spans="23:23">
      <c r="W3685" s="45"/>
    </row>
    <row r="3686" spans="23:23">
      <c r="W3686" s="45"/>
    </row>
    <row r="3687" spans="23:23">
      <c r="W3687" s="45"/>
    </row>
    <row r="3688" spans="23:23">
      <c r="W3688" s="45"/>
    </row>
    <row r="3689" spans="23:23">
      <c r="W3689" s="45"/>
    </row>
    <row r="3690" spans="23:23">
      <c r="W3690" s="45"/>
    </row>
    <row r="3691" spans="23:23">
      <c r="W3691" s="45"/>
    </row>
    <row r="3692" spans="23:23">
      <c r="W3692" s="45"/>
    </row>
    <row r="3693" spans="23:23">
      <c r="W3693" s="45"/>
    </row>
    <row r="3694" spans="23:23">
      <c r="W3694" s="45"/>
    </row>
    <row r="3695" spans="23:23">
      <c r="W3695" s="45"/>
    </row>
    <row r="3696" spans="23:23">
      <c r="W3696" s="45"/>
    </row>
    <row r="3697" spans="23:23">
      <c r="W3697" s="45"/>
    </row>
    <row r="3698" spans="23:23">
      <c r="W3698" s="45"/>
    </row>
    <row r="3699" spans="23:23">
      <c r="W3699" s="45"/>
    </row>
    <row r="3700" spans="23:23">
      <c r="W3700" s="45"/>
    </row>
    <row r="3701" spans="23:23">
      <c r="W3701" s="45"/>
    </row>
    <row r="3702" spans="23:23">
      <c r="W3702" s="45"/>
    </row>
    <row r="3703" spans="23:23">
      <c r="W3703" s="45"/>
    </row>
    <row r="3704" spans="23:23">
      <c r="W3704" s="45"/>
    </row>
    <row r="3705" spans="23:23">
      <c r="W3705" s="45"/>
    </row>
    <row r="3706" spans="23:23">
      <c r="W3706" s="45"/>
    </row>
    <row r="3707" spans="23:23">
      <c r="W3707" s="45"/>
    </row>
    <row r="3708" spans="23:23">
      <c r="W3708" s="45"/>
    </row>
    <row r="3709" spans="23:23">
      <c r="W3709" s="45"/>
    </row>
    <row r="3710" spans="23:23">
      <c r="W3710" s="45"/>
    </row>
    <row r="3711" spans="23:23">
      <c r="W3711" s="45"/>
    </row>
    <row r="3712" spans="23:23">
      <c r="W3712" s="45"/>
    </row>
    <row r="3713" spans="23:23">
      <c r="W3713" s="45"/>
    </row>
    <row r="3714" spans="23:23">
      <c r="W3714" s="45"/>
    </row>
    <row r="3715" spans="23:23">
      <c r="W3715" s="45"/>
    </row>
    <row r="3716" spans="23:23">
      <c r="W3716" s="45"/>
    </row>
    <row r="3717" spans="23:23">
      <c r="W3717" s="45"/>
    </row>
    <row r="3718" spans="23:23">
      <c r="W3718" s="45"/>
    </row>
    <row r="3719" spans="23:23">
      <c r="W3719" s="45"/>
    </row>
    <row r="3720" spans="23:23">
      <c r="W3720" s="45"/>
    </row>
    <row r="3721" spans="23:23">
      <c r="W3721" s="45"/>
    </row>
    <row r="3722" spans="23:23">
      <c r="W3722" s="45"/>
    </row>
    <row r="3723" spans="23:23">
      <c r="W3723" s="45"/>
    </row>
    <row r="3724" spans="23:23">
      <c r="W3724" s="45"/>
    </row>
    <row r="3725" spans="23:23">
      <c r="W3725" s="45"/>
    </row>
    <row r="3726" spans="23:23">
      <c r="W3726" s="45"/>
    </row>
    <row r="3727" spans="23:23">
      <c r="W3727" s="45"/>
    </row>
    <row r="3728" spans="23:23">
      <c r="W3728" s="45"/>
    </row>
    <row r="3729" spans="23:23">
      <c r="W3729" s="45"/>
    </row>
    <row r="3730" spans="23:23">
      <c r="W3730" s="45"/>
    </row>
    <row r="3731" spans="23:23">
      <c r="W3731" s="45"/>
    </row>
    <row r="3732" spans="23:23">
      <c r="W3732" s="45"/>
    </row>
    <row r="3733" spans="23:23">
      <c r="W3733" s="45"/>
    </row>
    <row r="3734" spans="23:23">
      <c r="W3734" s="45"/>
    </row>
    <row r="3735" spans="23:23">
      <c r="W3735" s="45"/>
    </row>
    <row r="3736" spans="23:23">
      <c r="W3736" s="45"/>
    </row>
    <row r="3737" spans="23:23">
      <c r="W3737" s="45"/>
    </row>
    <row r="3738" spans="23:23">
      <c r="W3738" s="45"/>
    </row>
    <row r="3739" spans="23:23">
      <c r="W3739" s="45"/>
    </row>
    <row r="3740" spans="23:23">
      <c r="W3740" s="45"/>
    </row>
    <row r="3741" spans="23:23">
      <c r="W3741" s="45"/>
    </row>
    <row r="3742" spans="23:23">
      <c r="W3742" s="45"/>
    </row>
    <row r="3743" spans="23:23">
      <c r="W3743" s="45"/>
    </row>
    <row r="3744" spans="23:23">
      <c r="W3744" s="45"/>
    </row>
    <row r="3745" spans="23:23">
      <c r="W3745" s="45"/>
    </row>
    <row r="3746" spans="23:23">
      <c r="W3746" s="45"/>
    </row>
    <row r="3747" spans="23:23">
      <c r="W3747" s="45"/>
    </row>
    <row r="3748" spans="23:23">
      <c r="W3748" s="45"/>
    </row>
    <row r="3749" spans="23:23">
      <c r="W3749" s="45"/>
    </row>
    <row r="3750" spans="23:23">
      <c r="W3750" s="45"/>
    </row>
    <row r="3751" spans="23:23">
      <c r="W3751" s="45"/>
    </row>
    <row r="3752" spans="23:23">
      <c r="W3752" s="45"/>
    </row>
    <row r="3753" spans="23:23">
      <c r="W3753" s="45"/>
    </row>
    <row r="3754" spans="23:23">
      <c r="W3754" s="45"/>
    </row>
    <row r="3755" spans="23:23">
      <c r="W3755" s="45"/>
    </row>
    <row r="3756" spans="23:23">
      <c r="W3756" s="45"/>
    </row>
    <row r="3757" spans="23:23">
      <c r="W3757" s="45"/>
    </row>
    <row r="3758" spans="23:23">
      <c r="W3758" s="45"/>
    </row>
    <row r="3759" spans="23:23">
      <c r="W3759" s="45"/>
    </row>
    <row r="3760" spans="23:23">
      <c r="W3760" s="45"/>
    </row>
    <row r="3761" spans="23:23">
      <c r="W3761" s="45"/>
    </row>
    <row r="3762" spans="23:23">
      <c r="W3762" s="45"/>
    </row>
    <row r="3763" spans="23:23">
      <c r="W3763" s="45"/>
    </row>
    <row r="3764" spans="23:23">
      <c r="W3764" s="45"/>
    </row>
    <row r="3765" spans="23:23">
      <c r="W3765" s="45"/>
    </row>
    <row r="3766" spans="23:23">
      <c r="W3766" s="45"/>
    </row>
    <row r="3767" spans="23:23">
      <c r="W3767" s="45"/>
    </row>
    <row r="3768" spans="23:23">
      <c r="W3768" s="45"/>
    </row>
    <row r="3769" spans="23:23">
      <c r="W3769" s="45"/>
    </row>
    <row r="3770" spans="23:23">
      <c r="W3770" s="45"/>
    </row>
    <row r="3771" spans="23:23">
      <c r="W3771" s="45"/>
    </row>
    <row r="3772" spans="23:23">
      <c r="W3772" s="45"/>
    </row>
    <row r="3773" spans="23:23">
      <c r="W3773" s="45"/>
    </row>
    <row r="3774" spans="23:23">
      <c r="W3774" s="45"/>
    </row>
    <row r="3775" spans="23:23">
      <c r="W3775" s="45"/>
    </row>
    <row r="3776" spans="23:23">
      <c r="W3776" s="45"/>
    </row>
    <row r="3777" spans="23:23">
      <c r="W3777" s="45"/>
    </row>
    <row r="3778" spans="23:23">
      <c r="W3778" s="45"/>
    </row>
    <row r="3779" spans="23:23">
      <c r="W3779" s="45"/>
    </row>
    <row r="3780" spans="23:23">
      <c r="W3780" s="45"/>
    </row>
    <row r="3781" spans="23:23">
      <c r="W3781" s="45"/>
    </row>
    <row r="3782" spans="23:23">
      <c r="W3782" s="45"/>
    </row>
    <row r="3783" spans="23:23">
      <c r="W3783" s="45"/>
    </row>
    <row r="3784" spans="23:23">
      <c r="W3784" s="45"/>
    </row>
    <row r="3785" spans="23:23">
      <c r="W3785" s="45"/>
    </row>
    <row r="3786" spans="23:23">
      <c r="W3786" s="45"/>
    </row>
    <row r="3787" spans="23:23">
      <c r="W3787" s="45"/>
    </row>
    <row r="3788" spans="23:23">
      <c r="W3788" s="45"/>
    </row>
    <row r="3789" spans="23:23">
      <c r="W3789" s="45"/>
    </row>
    <row r="3790" spans="23:23">
      <c r="W3790" s="45"/>
    </row>
    <row r="3791" spans="23:23">
      <c r="W3791" s="45"/>
    </row>
    <row r="3792" spans="23:23">
      <c r="W3792" s="45"/>
    </row>
    <row r="3793" spans="23:23">
      <c r="W3793" s="45"/>
    </row>
    <row r="3794" spans="23:23">
      <c r="W3794" s="45"/>
    </row>
    <row r="3795" spans="23:23">
      <c r="W3795" s="45"/>
    </row>
    <row r="3796" spans="23:23">
      <c r="W3796" s="45"/>
    </row>
    <row r="3797" spans="23:23">
      <c r="W3797" s="45"/>
    </row>
    <row r="3798" spans="23:23">
      <c r="W3798" s="45"/>
    </row>
    <row r="3799" spans="23:23">
      <c r="W3799" s="45"/>
    </row>
    <row r="3800" spans="23:23">
      <c r="W3800" s="45"/>
    </row>
    <row r="3801" spans="23:23">
      <c r="W3801" s="45"/>
    </row>
    <row r="3802" spans="23:23">
      <c r="W3802" s="45"/>
    </row>
    <row r="3803" spans="23:23">
      <c r="W3803" s="45"/>
    </row>
    <row r="3804" spans="23:23">
      <c r="W3804" s="45"/>
    </row>
    <row r="3805" spans="23:23">
      <c r="W3805" s="45"/>
    </row>
    <row r="3806" spans="23:23">
      <c r="W3806" s="45"/>
    </row>
    <row r="3807" spans="23:23">
      <c r="W3807" s="45"/>
    </row>
    <row r="3808" spans="23:23">
      <c r="W3808" s="45"/>
    </row>
    <row r="3809" spans="23:23">
      <c r="W3809" s="45"/>
    </row>
    <row r="3810" spans="23:23">
      <c r="W3810" s="45"/>
    </row>
    <row r="3811" spans="23:23">
      <c r="W3811" s="45"/>
    </row>
    <row r="3812" spans="23:23">
      <c r="W3812" s="45"/>
    </row>
    <row r="3813" spans="23:23">
      <c r="W3813" s="45"/>
    </row>
    <row r="3814" spans="23:23">
      <c r="W3814" s="45"/>
    </row>
    <row r="3815" spans="23:23">
      <c r="W3815" s="45"/>
    </row>
    <row r="3816" spans="23:23">
      <c r="W3816" s="45"/>
    </row>
    <row r="3817" spans="23:23">
      <c r="W3817" s="45"/>
    </row>
    <row r="3818" spans="23:23">
      <c r="W3818" s="45"/>
    </row>
    <row r="3819" spans="23:23">
      <c r="W3819" s="45"/>
    </row>
    <row r="3820" spans="23:23">
      <c r="W3820" s="45"/>
    </row>
    <row r="3821" spans="23:23">
      <c r="W3821" s="45"/>
    </row>
    <row r="3822" spans="23:23">
      <c r="W3822" s="45"/>
    </row>
    <row r="3823" spans="23:23">
      <c r="W3823" s="45"/>
    </row>
    <row r="3824" spans="23:23">
      <c r="W3824" s="45"/>
    </row>
    <row r="3825" spans="23:23">
      <c r="W3825" s="45"/>
    </row>
    <row r="3826" spans="23:23">
      <c r="W3826" s="45"/>
    </row>
    <row r="3827" spans="23:23">
      <c r="W3827" s="45"/>
    </row>
    <row r="3828" spans="23:23">
      <c r="W3828" s="45"/>
    </row>
    <row r="3829" spans="23:23">
      <c r="W3829" s="45"/>
    </row>
    <row r="3830" spans="23:23">
      <c r="W3830" s="45"/>
    </row>
    <row r="3831" spans="23:23">
      <c r="W3831" s="45"/>
    </row>
    <row r="3832" spans="23:23">
      <c r="W3832" s="45"/>
    </row>
    <row r="3833" spans="23:23">
      <c r="W3833" s="45"/>
    </row>
    <row r="3834" spans="23:23">
      <c r="W3834" s="45"/>
    </row>
    <row r="3835" spans="23:23">
      <c r="W3835" s="45"/>
    </row>
    <row r="3836" spans="23:23">
      <c r="W3836" s="45"/>
    </row>
    <row r="3837" spans="23:23">
      <c r="W3837" s="45"/>
    </row>
    <row r="3838" spans="23:23">
      <c r="W3838" s="45"/>
    </row>
    <row r="3839" spans="23:23">
      <c r="W3839" s="45"/>
    </row>
    <row r="3840" spans="23:23">
      <c r="W3840" s="45"/>
    </row>
    <row r="3841" spans="23:23">
      <c r="W3841" s="45"/>
    </row>
    <row r="3842" spans="23:23">
      <c r="W3842" s="45"/>
    </row>
    <row r="3843" spans="23:23">
      <c r="W3843" s="45"/>
    </row>
    <row r="3844" spans="23:23">
      <c r="W3844" s="45"/>
    </row>
    <row r="3845" spans="23:23">
      <c r="W3845" s="45"/>
    </row>
    <row r="3846" spans="23:23">
      <c r="W3846" s="45"/>
    </row>
    <row r="3847" spans="23:23">
      <c r="W3847" s="45"/>
    </row>
    <row r="3848" spans="23:23">
      <c r="W3848" s="45"/>
    </row>
    <row r="3849" spans="23:23">
      <c r="W3849" s="45"/>
    </row>
    <row r="3850" spans="23:23">
      <c r="W3850" s="45"/>
    </row>
    <row r="3851" spans="23:23">
      <c r="W3851" s="45"/>
    </row>
    <row r="3852" spans="23:23">
      <c r="W3852" s="45"/>
    </row>
    <row r="3853" spans="23:23">
      <c r="W3853" s="45"/>
    </row>
    <row r="3854" spans="23:23">
      <c r="W3854" s="45"/>
    </row>
    <row r="3855" spans="23:23">
      <c r="W3855" s="45"/>
    </row>
    <row r="3856" spans="23:23">
      <c r="W3856" s="45"/>
    </row>
    <row r="3857" spans="23:23">
      <c r="W3857" s="45"/>
    </row>
    <row r="3858" spans="23:23">
      <c r="W3858" s="45"/>
    </row>
    <row r="3859" spans="23:23">
      <c r="W3859" s="45"/>
    </row>
    <row r="3860" spans="23:23">
      <c r="W3860" s="45"/>
    </row>
    <row r="3861" spans="23:23">
      <c r="W3861" s="45"/>
    </row>
    <row r="3862" spans="23:23">
      <c r="W3862" s="45"/>
    </row>
    <row r="3863" spans="23:23">
      <c r="W3863" s="45"/>
    </row>
    <row r="3864" spans="23:23">
      <c r="W3864" s="45"/>
    </row>
    <row r="3865" spans="23:23">
      <c r="W3865" s="45"/>
    </row>
    <row r="3866" spans="23:23">
      <c r="W3866" s="45"/>
    </row>
    <row r="3867" spans="23:23">
      <c r="W3867" s="45"/>
    </row>
    <row r="3868" spans="23:23">
      <c r="W3868" s="45"/>
    </row>
    <row r="3869" spans="23:23">
      <c r="W3869" s="45"/>
    </row>
    <row r="3870" spans="23:23">
      <c r="W3870" s="45"/>
    </row>
    <row r="3871" spans="23:23">
      <c r="W3871" s="45"/>
    </row>
    <row r="3872" spans="23:23">
      <c r="W3872" s="45"/>
    </row>
    <row r="3873" spans="23:23">
      <c r="W3873" s="45"/>
    </row>
    <row r="3874" spans="23:23">
      <c r="W3874" s="45"/>
    </row>
    <row r="3875" spans="23:23">
      <c r="W3875" s="45"/>
    </row>
    <row r="3876" spans="23:23">
      <c r="W3876" s="45"/>
    </row>
    <row r="3877" spans="23:23">
      <c r="W3877" s="45"/>
    </row>
    <row r="3878" spans="23:23">
      <c r="W3878" s="45"/>
    </row>
    <row r="3879" spans="23:23">
      <c r="W3879" s="45"/>
    </row>
    <row r="3880" spans="23:23">
      <c r="W3880" s="45"/>
    </row>
    <row r="3881" spans="23:23">
      <c r="W3881" s="45"/>
    </row>
    <row r="3882" spans="23:23">
      <c r="W3882" s="45"/>
    </row>
    <row r="3883" spans="23:23">
      <c r="W3883" s="45"/>
    </row>
    <row r="3884" spans="23:23">
      <c r="W3884" s="45"/>
    </row>
    <row r="3885" spans="23:23">
      <c r="W3885" s="45"/>
    </row>
    <row r="3886" spans="23:23">
      <c r="W3886" s="45"/>
    </row>
    <row r="3887" spans="23:23">
      <c r="W3887" s="45"/>
    </row>
    <row r="3888" spans="23:23">
      <c r="W3888" s="45"/>
    </row>
    <row r="3889" spans="23:23">
      <c r="W3889" s="45"/>
    </row>
    <row r="3890" spans="23:23">
      <c r="W3890" s="45"/>
    </row>
    <row r="3891" spans="23:23">
      <c r="W3891" s="45"/>
    </row>
    <row r="3892" spans="23:23">
      <c r="W3892" s="45"/>
    </row>
    <row r="3893" spans="23:23">
      <c r="W3893" s="45"/>
    </row>
    <row r="3894" spans="23:23">
      <c r="W3894" s="45"/>
    </row>
    <row r="3895" spans="23:23">
      <c r="W3895" s="45"/>
    </row>
    <row r="3896" spans="23:23">
      <c r="W3896" s="45"/>
    </row>
    <row r="3897" spans="23:23">
      <c r="W3897" s="45"/>
    </row>
    <row r="3898" spans="23:23">
      <c r="W3898" s="45"/>
    </row>
    <row r="3899" spans="23:23">
      <c r="W3899" s="45"/>
    </row>
    <row r="3900" spans="23:23">
      <c r="W3900" s="45"/>
    </row>
    <row r="3901" spans="23:23">
      <c r="W3901" s="45"/>
    </row>
    <row r="3902" spans="23:23">
      <c r="W3902" s="45"/>
    </row>
    <row r="3903" spans="23:23">
      <c r="W3903" s="45"/>
    </row>
    <row r="3904" spans="23:23">
      <c r="W3904" s="45"/>
    </row>
    <row r="3905" spans="23:23">
      <c r="W3905" s="45"/>
    </row>
    <row r="3906" spans="23:23">
      <c r="W3906" s="45"/>
    </row>
    <row r="3907" spans="23:23">
      <c r="W3907" s="45"/>
    </row>
    <row r="3908" spans="23:23">
      <c r="W3908" s="45"/>
    </row>
    <row r="3909" spans="23:23">
      <c r="W3909" s="45"/>
    </row>
    <row r="3910" spans="23:23">
      <c r="W3910" s="45"/>
    </row>
    <row r="3911" spans="23:23">
      <c r="W3911" s="45"/>
    </row>
    <row r="3912" spans="23:23">
      <c r="W3912" s="45"/>
    </row>
    <row r="3913" spans="23:23">
      <c r="W3913" s="45"/>
    </row>
    <row r="3914" spans="23:23">
      <c r="W3914" s="45"/>
    </row>
    <row r="3915" spans="23:23">
      <c r="W3915" s="45"/>
    </row>
    <row r="3916" spans="23:23">
      <c r="W3916" s="45"/>
    </row>
    <row r="3917" spans="23:23">
      <c r="W3917" s="45"/>
    </row>
    <row r="3918" spans="23:23">
      <c r="W3918" s="45"/>
    </row>
    <row r="3919" spans="23:23">
      <c r="W3919" s="45"/>
    </row>
    <row r="3920" spans="23:23">
      <c r="W3920" s="45"/>
    </row>
    <row r="3921" spans="23:23">
      <c r="W3921" s="45"/>
    </row>
    <row r="3922" spans="23:23">
      <c r="W3922" s="45"/>
    </row>
    <row r="3923" spans="23:23">
      <c r="W3923" s="45"/>
    </row>
    <row r="3924" spans="23:23">
      <c r="W3924" s="45"/>
    </row>
    <row r="3925" spans="23:23">
      <c r="W3925" s="45"/>
    </row>
    <row r="3926" spans="23:23">
      <c r="W3926" s="45"/>
    </row>
    <row r="3927" spans="23:23">
      <c r="W3927" s="45"/>
    </row>
    <row r="3928" spans="23:23">
      <c r="W3928" s="45"/>
    </row>
    <row r="3929" spans="23:23">
      <c r="W3929" s="45"/>
    </row>
    <row r="3930" spans="23:23">
      <c r="W3930" s="45"/>
    </row>
    <row r="3931" spans="23:23">
      <c r="W3931" s="45"/>
    </row>
    <row r="3932" spans="23:23">
      <c r="W3932" s="45"/>
    </row>
    <row r="3933" spans="23:23">
      <c r="W3933" s="45"/>
    </row>
    <row r="3934" spans="23:23">
      <c r="W3934" s="45"/>
    </row>
    <row r="3935" spans="23:23">
      <c r="W3935" s="45"/>
    </row>
    <row r="3936" spans="23:23">
      <c r="W3936" s="45"/>
    </row>
    <row r="3937" spans="23:23">
      <c r="W3937" s="45"/>
    </row>
    <row r="3938" spans="23:23">
      <c r="W3938" s="45"/>
    </row>
    <row r="3939" spans="23:23">
      <c r="W3939" s="45"/>
    </row>
    <row r="3940" spans="23:23">
      <c r="W3940" s="45"/>
    </row>
    <row r="3941" spans="23:23">
      <c r="W3941" s="45"/>
    </row>
    <row r="3942" spans="23:23">
      <c r="W3942" s="45"/>
    </row>
    <row r="3943" spans="23:23">
      <c r="W3943" s="45"/>
    </row>
    <row r="3944" spans="23:23">
      <c r="W3944" s="45"/>
    </row>
    <row r="3945" spans="23:23">
      <c r="W3945" s="45"/>
    </row>
    <row r="3946" spans="23:23">
      <c r="W3946" s="45"/>
    </row>
    <row r="3947" spans="23:23">
      <c r="W3947" s="45"/>
    </row>
    <row r="3948" spans="23:23">
      <c r="W3948" s="45"/>
    </row>
    <row r="3949" spans="23:23">
      <c r="W3949" s="45"/>
    </row>
    <row r="3950" spans="23:23">
      <c r="W3950" s="45"/>
    </row>
    <row r="3951" spans="23:23">
      <c r="W3951" s="45"/>
    </row>
    <row r="3952" spans="23:23">
      <c r="W3952" s="45"/>
    </row>
    <row r="3953" spans="23:23">
      <c r="W3953" s="45"/>
    </row>
    <row r="3954" spans="23:23">
      <c r="W3954" s="45"/>
    </row>
    <row r="3955" spans="23:23">
      <c r="W3955" s="45"/>
    </row>
    <row r="3956" spans="23:23">
      <c r="W3956" s="45"/>
    </row>
    <row r="3957" spans="23:23">
      <c r="W3957" s="45"/>
    </row>
    <row r="3958" spans="23:23">
      <c r="W3958" s="45"/>
    </row>
    <row r="3959" spans="23:23">
      <c r="W3959" s="45"/>
    </row>
    <row r="3960" spans="23:23">
      <c r="W3960" s="45"/>
    </row>
    <row r="3961" spans="23:23">
      <c r="W3961" s="45"/>
    </row>
    <row r="3962" spans="23:23">
      <c r="W3962" s="45"/>
    </row>
    <row r="3963" spans="23:23">
      <c r="W3963" s="45"/>
    </row>
    <row r="3964" spans="23:23">
      <c r="W3964" s="45"/>
    </row>
    <row r="3965" spans="23:23">
      <c r="W3965" s="45"/>
    </row>
    <row r="3966" spans="23:23">
      <c r="W3966" s="45"/>
    </row>
    <row r="3967" spans="23:23">
      <c r="W3967" s="45"/>
    </row>
    <row r="3968" spans="23:23">
      <c r="W3968" s="45"/>
    </row>
    <row r="3969" spans="23:23">
      <c r="W3969" s="45"/>
    </row>
    <row r="3970" spans="23:23">
      <c r="W3970" s="45"/>
    </row>
    <row r="3971" spans="23:23">
      <c r="W3971" s="45"/>
    </row>
    <row r="3972" spans="23:23">
      <c r="W3972" s="45"/>
    </row>
    <row r="3973" spans="23:23">
      <c r="W3973" s="45"/>
    </row>
    <row r="3974" spans="23:23">
      <c r="W3974" s="45"/>
    </row>
    <row r="3975" spans="23:23">
      <c r="W3975" s="45"/>
    </row>
    <row r="3976" spans="23:23">
      <c r="W3976" s="45"/>
    </row>
    <row r="3977" spans="23:23">
      <c r="W3977" s="45"/>
    </row>
    <row r="3978" spans="23:23">
      <c r="W3978" s="45"/>
    </row>
    <row r="3979" spans="23:23">
      <c r="W3979" s="45"/>
    </row>
    <row r="3980" spans="23:23">
      <c r="W3980" s="45"/>
    </row>
    <row r="3981" spans="23:23">
      <c r="W3981" s="45"/>
    </row>
    <row r="3982" spans="23:23">
      <c r="W3982" s="45"/>
    </row>
    <row r="3983" spans="23:23">
      <c r="W3983" s="45"/>
    </row>
    <row r="3984" spans="23:23">
      <c r="W3984" s="45"/>
    </row>
    <row r="3985" spans="23:23">
      <c r="W3985" s="45"/>
    </row>
    <row r="3986" spans="23:23">
      <c r="W3986" s="45"/>
    </row>
    <row r="3987" spans="23:23">
      <c r="W3987" s="45"/>
    </row>
    <row r="3988" spans="23:23">
      <c r="W3988" s="45"/>
    </row>
    <row r="3989" spans="23:23">
      <c r="W3989" s="45"/>
    </row>
    <row r="3990" spans="23:23">
      <c r="W3990" s="45"/>
    </row>
    <row r="3991" spans="23:23">
      <c r="W3991" s="45"/>
    </row>
    <row r="3992" spans="23:23">
      <c r="W3992" s="45"/>
    </row>
    <row r="3993" spans="23:23">
      <c r="W3993" s="45"/>
    </row>
    <row r="3994" spans="23:23">
      <c r="W3994" s="45"/>
    </row>
    <row r="3995" spans="23:23">
      <c r="W3995" s="45"/>
    </row>
    <row r="3996" spans="23:23">
      <c r="W3996" s="45"/>
    </row>
    <row r="3997" spans="23:23">
      <c r="W3997" s="45"/>
    </row>
    <row r="3998" spans="23:23">
      <c r="W3998" s="45"/>
    </row>
    <row r="3999" spans="23:23">
      <c r="W3999" s="45"/>
    </row>
    <row r="4000" spans="23:23">
      <c r="W4000" s="45"/>
    </row>
    <row r="4001" spans="23:23">
      <c r="W4001" s="45"/>
    </row>
    <row r="4002" spans="23:23">
      <c r="W4002" s="45"/>
    </row>
    <row r="4003" spans="23:23">
      <c r="W4003" s="45"/>
    </row>
    <row r="4004" spans="23:23">
      <c r="W4004" s="45"/>
    </row>
    <row r="4005" spans="23:23">
      <c r="W4005" s="45"/>
    </row>
    <row r="4006" spans="23:23">
      <c r="W4006" s="45"/>
    </row>
    <row r="4007" spans="23:23">
      <c r="W4007" s="45"/>
    </row>
    <row r="4008" spans="23:23">
      <c r="W4008" s="45"/>
    </row>
    <row r="4009" spans="23:23">
      <c r="W4009" s="45"/>
    </row>
    <row r="4010" spans="23:23">
      <c r="W4010" s="45"/>
    </row>
    <row r="4011" spans="23:23">
      <c r="W4011" s="45"/>
    </row>
    <row r="4012" spans="23:23">
      <c r="W4012" s="45"/>
    </row>
    <row r="4013" spans="23:23">
      <c r="W4013" s="45"/>
    </row>
    <row r="4014" spans="23:23">
      <c r="W4014" s="45"/>
    </row>
    <row r="4015" spans="23:23">
      <c r="W4015" s="45"/>
    </row>
    <row r="4016" spans="23:23">
      <c r="W4016" s="45"/>
    </row>
    <row r="4017" spans="23:23">
      <c r="W4017" s="45"/>
    </row>
    <row r="4018" spans="23:23">
      <c r="W4018" s="45"/>
    </row>
    <row r="4019" spans="23:23">
      <c r="W4019" s="45"/>
    </row>
    <row r="4020" spans="23:23">
      <c r="W4020" s="45"/>
    </row>
    <row r="4021" spans="23:23">
      <c r="W4021" s="45"/>
    </row>
    <row r="4022" spans="23:23">
      <c r="W4022" s="45"/>
    </row>
    <row r="4023" spans="23:23">
      <c r="W4023" s="45"/>
    </row>
    <row r="4024" spans="23:23">
      <c r="W4024" s="45"/>
    </row>
    <row r="4025" spans="23:23">
      <c r="W4025" s="45"/>
    </row>
    <row r="4026" spans="23:23">
      <c r="W4026" s="45"/>
    </row>
    <row r="4027" spans="23:23">
      <c r="W4027" s="45"/>
    </row>
    <row r="4028" spans="23:23">
      <c r="W4028" s="45"/>
    </row>
    <row r="4029" spans="23:23">
      <c r="W4029" s="45"/>
    </row>
    <row r="4030" spans="23:23">
      <c r="W4030" s="45"/>
    </row>
    <row r="4031" spans="23:23">
      <c r="W4031" s="45"/>
    </row>
    <row r="4032" spans="23:23">
      <c r="W4032" s="45"/>
    </row>
    <row r="4033" spans="23:23">
      <c r="W4033" s="45"/>
    </row>
    <row r="4034" spans="23:23">
      <c r="W4034" s="45"/>
    </row>
    <row r="4035" spans="23:23">
      <c r="W4035" s="45"/>
    </row>
    <row r="4036" spans="23:23">
      <c r="W4036" s="45"/>
    </row>
    <row r="4037" spans="23:23">
      <c r="W4037" s="45"/>
    </row>
    <row r="4038" spans="23:23">
      <c r="W4038" s="45"/>
    </row>
    <row r="4039" spans="23:23">
      <c r="W4039" s="45"/>
    </row>
    <row r="4040" spans="23:23">
      <c r="W4040" s="45"/>
    </row>
    <row r="4041" spans="23:23">
      <c r="W4041" s="45"/>
    </row>
    <row r="4042" spans="23:23">
      <c r="W4042" s="45"/>
    </row>
    <row r="4043" spans="23:23">
      <c r="W4043" s="45"/>
    </row>
    <row r="4044" spans="23:23">
      <c r="W4044" s="45"/>
    </row>
    <row r="4045" spans="23:23">
      <c r="W4045" s="45"/>
    </row>
    <row r="4046" spans="23:23">
      <c r="W4046" s="45"/>
    </row>
    <row r="4047" spans="23:23">
      <c r="W4047" s="45"/>
    </row>
    <row r="4048" spans="23:23">
      <c r="W4048" s="45"/>
    </row>
    <row r="4049" spans="23:23">
      <c r="W4049" s="45"/>
    </row>
    <row r="4050" spans="23:23">
      <c r="W4050" s="45"/>
    </row>
    <row r="4051" spans="23:23">
      <c r="W4051" s="45"/>
    </row>
    <row r="4052" spans="23:23">
      <c r="W4052" s="45"/>
    </row>
    <row r="4053" spans="23:23">
      <c r="W4053" s="45"/>
    </row>
    <row r="4054" spans="23:23">
      <c r="W4054" s="45"/>
    </row>
    <row r="4055" spans="23:23">
      <c r="W4055" s="45"/>
    </row>
    <row r="4056" spans="23:23">
      <c r="W4056" s="45"/>
    </row>
    <row r="4057" spans="23:23">
      <c r="W4057" s="45"/>
    </row>
    <row r="4058" spans="23:23">
      <c r="W4058" s="45"/>
    </row>
    <row r="4059" spans="23:23">
      <c r="W4059" s="45"/>
    </row>
    <row r="4060" spans="23:23">
      <c r="W4060" s="45"/>
    </row>
    <row r="4061" spans="23:23">
      <c r="W4061" s="45"/>
    </row>
    <row r="4062" spans="23:23">
      <c r="W4062" s="45"/>
    </row>
    <row r="4063" spans="23:23">
      <c r="W4063" s="45"/>
    </row>
    <row r="4064" spans="23:23">
      <c r="W4064" s="45"/>
    </row>
    <row r="4065" spans="23:23">
      <c r="W4065" s="45"/>
    </row>
    <row r="4066" spans="23:23">
      <c r="W4066" s="45"/>
    </row>
    <row r="4067" spans="23:23">
      <c r="W4067" s="45"/>
    </row>
    <row r="4068" spans="23:23">
      <c r="W4068" s="45"/>
    </row>
    <row r="4069" spans="23:23">
      <c r="W4069" s="45"/>
    </row>
    <row r="4070" spans="23:23">
      <c r="W4070" s="45"/>
    </row>
    <row r="4071" spans="23:23">
      <c r="W4071" s="45"/>
    </row>
    <row r="4072" spans="23:23">
      <c r="W4072" s="45"/>
    </row>
    <row r="4073" spans="23:23">
      <c r="W4073" s="45"/>
    </row>
    <row r="4074" spans="23:23">
      <c r="W4074" s="45"/>
    </row>
    <row r="4075" spans="23:23">
      <c r="W4075" s="45"/>
    </row>
    <row r="4076" spans="23:23">
      <c r="W4076" s="45"/>
    </row>
    <row r="4077" spans="23:23">
      <c r="W4077" s="45"/>
    </row>
    <row r="4078" spans="23:23">
      <c r="W4078" s="45"/>
    </row>
    <row r="4079" spans="23:23">
      <c r="W4079" s="45"/>
    </row>
    <row r="4080" spans="23:23">
      <c r="W4080" s="45"/>
    </row>
    <row r="4081" spans="23:23">
      <c r="W4081" s="45"/>
    </row>
    <row r="4082" spans="23:23">
      <c r="W4082" s="45"/>
    </row>
    <row r="4083" spans="23:23">
      <c r="W4083" s="45"/>
    </row>
    <row r="4084" spans="23:23">
      <c r="W4084" s="45"/>
    </row>
    <row r="4085" spans="23:23">
      <c r="W4085" s="45"/>
    </row>
    <row r="4086" spans="23:23">
      <c r="W4086" s="45"/>
    </row>
    <row r="4087" spans="23:23">
      <c r="W4087" s="45"/>
    </row>
    <row r="4088" spans="23:23">
      <c r="W4088" s="45"/>
    </row>
    <row r="4089" spans="23:23">
      <c r="W4089" s="45"/>
    </row>
    <row r="4090" spans="23:23">
      <c r="W4090" s="45"/>
    </row>
    <row r="4091" spans="23:23">
      <c r="W4091" s="45"/>
    </row>
    <row r="4092" spans="23:23">
      <c r="W4092" s="45"/>
    </row>
    <row r="4093" spans="23:23">
      <c r="W4093" s="45"/>
    </row>
    <row r="4094" spans="23:23">
      <c r="W4094" s="45"/>
    </row>
    <row r="4095" spans="23:23">
      <c r="W4095" s="45"/>
    </row>
    <row r="4096" spans="23:23">
      <c r="W4096" s="45"/>
    </row>
    <row r="4097" spans="23:23">
      <c r="W4097" s="45"/>
    </row>
    <row r="4098" spans="23:23">
      <c r="W4098" s="45"/>
    </row>
    <row r="4099" spans="23:23">
      <c r="W4099" s="45"/>
    </row>
    <row r="4100" spans="23:23">
      <c r="W4100" s="45"/>
    </row>
    <row r="4101" spans="23:23">
      <c r="W4101" s="45"/>
    </row>
    <row r="4102" spans="23:23">
      <c r="W4102" s="45"/>
    </row>
    <row r="4103" spans="23:23">
      <c r="W4103" s="45"/>
    </row>
    <row r="4104" spans="23:23">
      <c r="W4104" s="45"/>
    </row>
    <row r="4105" spans="23:23">
      <c r="W4105" s="45"/>
    </row>
    <row r="4106" spans="23:23">
      <c r="W4106" s="45"/>
    </row>
    <row r="4107" spans="23:23">
      <c r="W4107" s="45"/>
    </row>
    <row r="4108" spans="23:23">
      <c r="W4108" s="45"/>
    </row>
    <row r="4109" spans="23:23">
      <c r="W4109" s="45"/>
    </row>
    <row r="4110" spans="23:23">
      <c r="W4110" s="45"/>
    </row>
    <row r="4111" spans="23:23">
      <c r="W4111" s="45"/>
    </row>
    <row r="4112" spans="23:23">
      <c r="W4112" s="45"/>
    </row>
    <row r="4113" spans="23:23">
      <c r="W4113" s="45"/>
    </row>
    <row r="4114" spans="23:23">
      <c r="W4114" s="45"/>
    </row>
    <row r="4115" spans="23:23">
      <c r="W4115" s="45"/>
    </row>
    <row r="4116" spans="23:23">
      <c r="W4116" s="45"/>
    </row>
    <row r="4117" spans="23:23">
      <c r="W4117" s="45"/>
    </row>
    <row r="4118" spans="23:23">
      <c r="W4118" s="45"/>
    </row>
    <row r="4119" spans="23:23">
      <c r="W4119" s="45"/>
    </row>
    <row r="4120" spans="23:23">
      <c r="W4120" s="45"/>
    </row>
    <row r="4121" spans="23:23">
      <c r="W4121" s="45"/>
    </row>
    <row r="4122" spans="23:23">
      <c r="W4122" s="45"/>
    </row>
    <row r="4123" spans="23:23">
      <c r="W4123" s="45"/>
    </row>
    <row r="4124" spans="23:23">
      <c r="W4124" s="45"/>
    </row>
    <row r="4125" spans="23:23">
      <c r="W4125" s="45"/>
    </row>
    <row r="4126" spans="23:23">
      <c r="W4126" s="45"/>
    </row>
    <row r="4127" spans="23:23">
      <c r="W4127" s="45"/>
    </row>
    <row r="4128" spans="23:23">
      <c r="W4128" s="45"/>
    </row>
    <row r="4129" spans="23:23">
      <c r="W4129" s="45"/>
    </row>
    <row r="4130" spans="23:23">
      <c r="W4130" s="45"/>
    </row>
    <row r="4131" spans="23:23">
      <c r="W4131" s="45"/>
    </row>
    <row r="4132" spans="23:23">
      <c r="W4132" s="45"/>
    </row>
    <row r="4133" spans="23:23">
      <c r="W4133" s="45"/>
    </row>
    <row r="4134" spans="23:23">
      <c r="W4134" s="45"/>
    </row>
    <row r="4135" spans="23:23">
      <c r="W4135" s="45"/>
    </row>
    <row r="4136" spans="23:23">
      <c r="W4136" s="45"/>
    </row>
    <row r="4137" spans="23:23">
      <c r="W4137" s="45"/>
    </row>
    <row r="4138" spans="23:23">
      <c r="W4138" s="45"/>
    </row>
    <row r="4139" spans="23:23">
      <c r="W4139" s="45"/>
    </row>
    <row r="4140" spans="23:23">
      <c r="W4140" s="45"/>
    </row>
    <row r="4141" spans="23:23">
      <c r="W4141" s="45"/>
    </row>
    <row r="4142" spans="23:23">
      <c r="W4142" s="45"/>
    </row>
    <row r="4143" spans="23:23">
      <c r="W4143" s="45"/>
    </row>
    <row r="4144" spans="23:23">
      <c r="W4144" s="45"/>
    </row>
    <row r="4145" spans="23:23">
      <c r="W4145" s="45"/>
    </row>
    <row r="4146" spans="23:23">
      <c r="W4146" s="45"/>
    </row>
    <row r="4147" spans="23:23">
      <c r="W4147" s="45"/>
    </row>
    <row r="4148" spans="23:23">
      <c r="W4148" s="45"/>
    </row>
    <row r="4149" spans="23:23">
      <c r="W4149" s="45"/>
    </row>
    <row r="4150" spans="23:23">
      <c r="W4150" s="45"/>
    </row>
    <row r="4151" spans="23:23">
      <c r="W4151" s="45"/>
    </row>
    <row r="4152" spans="23:23">
      <c r="W4152" s="45"/>
    </row>
    <row r="4153" spans="23:23">
      <c r="W4153" s="45"/>
    </row>
    <row r="4154" spans="23:23">
      <c r="W4154" s="45"/>
    </row>
    <row r="4155" spans="23:23">
      <c r="W4155" s="45"/>
    </row>
    <row r="4156" spans="23:23">
      <c r="W4156" s="45"/>
    </row>
    <row r="4157" spans="23:23">
      <c r="W4157" s="45"/>
    </row>
    <row r="4158" spans="23:23">
      <c r="W4158" s="45"/>
    </row>
    <row r="4159" spans="23:23">
      <c r="W4159" s="45"/>
    </row>
    <row r="4160" spans="23:23">
      <c r="W4160" s="45"/>
    </row>
    <row r="4161" spans="23:23">
      <c r="W4161" s="45"/>
    </row>
    <row r="4162" spans="23:23">
      <c r="W4162" s="45"/>
    </row>
    <row r="4163" spans="23:23">
      <c r="W4163" s="45"/>
    </row>
    <row r="4164" spans="23:23">
      <c r="W4164" s="45"/>
    </row>
    <row r="4165" spans="23:23">
      <c r="W4165" s="45"/>
    </row>
    <row r="4166" spans="23:23">
      <c r="W4166" s="45"/>
    </row>
    <row r="4167" spans="23:23">
      <c r="W4167" s="45"/>
    </row>
    <row r="4168" spans="23:23">
      <c r="W4168" s="45"/>
    </row>
    <row r="4169" spans="23:23">
      <c r="W4169" s="45"/>
    </row>
    <row r="4170" spans="23:23">
      <c r="W4170" s="45"/>
    </row>
    <row r="4171" spans="23:23">
      <c r="W4171" s="45"/>
    </row>
    <row r="4172" spans="23:23">
      <c r="W4172" s="45"/>
    </row>
    <row r="4173" spans="23:23">
      <c r="W4173" s="45"/>
    </row>
    <row r="4174" spans="23:23">
      <c r="W4174" s="45"/>
    </row>
    <row r="4175" spans="23:23">
      <c r="W4175" s="45"/>
    </row>
    <row r="4176" spans="23:23">
      <c r="W4176" s="45"/>
    </row>
    <row r="4177" spans="23:23">
      <c r="W4177" s="45"/>
    </row>
    <row r="4178" spans="23:23">
      <c r="W4178" s="45"/>
    </row>
    <row r="4179" spans="23:23">
      <c r="W4179" s="45"/>
    </row>
    <row r="4180" spans="23:23">
      <c r="W4180" s="45"/>
    </row>
    <row r="4181" spans="23:23">
      <c r="W4181" s="45"/>
    </row>
    <row r="4182" spans="23:23">
      <c r="W4182" s="45"/>
    </row>
    <row r="4183" spans="23:23">
      <c r="W4183" s="45"/>
    </row>
    <row r="4184" spans="23:23">
      <c r="W4184" s="45"/>
    </row>
    <row r="4185" spans="23:23">
      <c r="W4185" s="45"/>
    </row>
    <row r="4186" spans="23:23">
      <c r="W4186" s="45"/>
    </row>
    <row r="4187" spans="23:23">
      <c r="W4187" s="45"/>
    </row>
    <row r="4188" spans="23:23">
      <c r="W4188" s="45"/>
    </row>
    <row r="4189" spans="23:23">
      <c r="W4189" s="45"/>
    </row>
    <row r="4190" spans="23:23">
      <c r="W4190" s="45"/>
    </row>
    <row r="4191" spans="23:23">
      <c r="W4191" s="45"/>
    </row>
    <row r="4192" spans="23:23">
      <c r="W4192" s="45"/>
    </row>
    <row r="4193" spans="23:23">
      <c r="W4193" s="45"/>
    </row>
    <row r="4194" spans="23:23">
      <c r="W4194" s="45"/>
    </row>
    <row r="4195" spans="23:23">
      <c r="W4195" s="45"/>
    </row>
    <row r="4196" spans="23:23">
      <c r="W4196" s="45"/>
    </row>
    <row r="4197" spans="23:23">
      <c r="W4197" s="45"/>
    </row>
    <row r="4198" spans="23:23">
      <c r="W4198" s="45"/>
    </row>
    <row r="4199" spans="23:23">
      <c r="W4199" s="45"/>
    </row>
    <row r="4200" spans="23:23">
      <c r="W4200" s="45"/>
    </row>
    <row r="4201" spans="23:23">
      <c r="W4201" s="45"/>
    </row>
    <row r="4202" spans="23:23">
      <c r="W4202" s="45"/>
    </row>
    <row r="4203" spans="23:23">
      <c r="W4203" s="45"/>
    </row>
    <row r="4204" spans="23:23">
      <c r="W4204" s="45"/>
    </row>
    <row r="4205" spans="23:23">
      <c r="W4205" s="45"/>
    </row>
    <row r="4206" spans="23:23">
      <c r="W4206" s="45"/>
    </row>
    <row r="4207" spans="23:23">
      <c r="W4207" s="45"/>
    </row>
    <row r="4208" spans="23:23">
      <c r="W4208" s="45"/>
    </row>
    <row r="4209" spans="23:23">
      <c r="W4209" s="45"/>
    </row>
    <row r="4210" spans="23:23">
      <c r="W4210" s="45"/>
    </row>
    <row r="4211" spans="23:23">
      <c r="W4211" s="45"/>
    </row>
    <row r="4212" spans="23:23">
      <c r="W4212" s="45"/>
    </row>
    <row r="4213" spans="23:23">
      <c r="W4213" s="45"/>
    </row>
    <row r="4214" spans="23:23">
      <c r="W4214" s="45"/>
    </row>
    <row r="4215" spans="23:23">
      <c r="W4215" s="45"/>
    </row>
    <row r="4216" spans="23:23">
      <c r="W4216" s="45"/>
    </row>
    <row r="4217" spans="23:23">
      <c r="W4217" s="45"/>
    </row>
    <row r="4218" spans="23:23">
      <c r="W4218" s="45"/>
    </row>
    <row r="4219" spans="23:23">
      <c r="W4219" s="45"/>
    </row>
    <row r="4220" spans="23:23">
      <c r="W4220" s="45"/>
    </row>
    <row r="4221" spans="23:23">
      <c r="W4221" s="45"/>
    </row>
    <row r="4222" spans="23:23">
      <c r="W4222" s="45"/>
    </row>
    <row r="4223" spans="23:23">
      <c r="W4223" s="45"/>
    </row>
    <row r="4224" spans="23:23">
      <c r="W4224" s="45"/>
    </row>
    <row r="4225" spans="23:23">
      <c r="W4225" s="45"/>
    </row>
    <row r="4226" spans="23:23">
      <c r="W4226" s="45"/>
    </row>
    <row r="4227" spans="23:23">
      <c r="W4227" s="45"/>
    </row>
    <row r="4228" spans="23:23">
      <c r="W4228" s="45"/>
    </row>
    <row r="4229" spans="23:23">
      <c r="W4229" s="45"/>
    </row>
    <row r="4230" spans="23:23">
      <c r="W4230" s="45"/>
    </row>
    <row r="4231" spans="23:23">
      <c r="W4231" s="45"/>
    </row>
    <row r="4232" spans="23:23">
      <c r="W4232" s="45"/>
    </row>
    <row r="4233" spans="23:23">
      <c r="W4233" s="45"/>
    </row>
    <row r="4234" spans="23:23">
      <c r="W4234" s="45"/>
    </row>
    <row r="4235" spans="23:23">
      <c r="W4235" s="45"/>
    </row>
    <row r="4236" spans="23:23">
      <c r="W4236" s="45"/>
    </row>
    <row r="4237" spans="23:23">
      <c r="W4237" s="45"/>
    </row>
    <row r="4238" spans="23:23">
      <c r="W4238" s="45"/>
    </row>
    <row r="4239" spans="23:23">
      <c r="W4239" s="45"/>
    </row>
    <row r="4240" spans="23:23">
      <c r="W4240" s="45"/>
    </row>
    <row r="4241" spans="23:23">
      <c r="W4241" s="45"/>
    </row>
    <row r="4242" spans="23:23">
      <c r="W4242" s="45"/>
    </row>
    <row r="4243" spans="23:23">
      <c r="W4243" s="45"/>
    </row>
    <row r="4244" spans="23:23">
      <c r="W4244" s="45"/>
    </row>
    <row r="4245" spans="23:23">
      <c r="W4245" s="45"/>
    </row>
    <row r="4246" spans="23:23">
      <c r="W4246" s="45"/>
    </row>
    <row r="4247" spans="23:23">
      <c r="W4247" s="45"/>
    </row>
    <row r="4248" spans="23:23">
      <c r="W4248" s="45"/>
    </row>
    <row r="4249" spans="23:23">
      <c r="W4249" s="45"/>
    </row>
    <row r="4250" spans="23:23">
      <c r="W4250" s="45"/>
    </row>
    <row r="4251" spans="23:23">
      <c r="W4251" s="45"/>
    </row>
    <row r="4252" spans="23:23">
      <c r="W4252" s="45"/>
    </row>
    <row r="4253" spans="23:23">
      <c r="W4253" s="45"/>
    </row>
    <row r="4254" spans="23:23">
      <c r="W4254" s="45"/>
    </row>
    <row r="4255" spans="23:23">
      <c r="W4255" s="45"/>
    </row>
    <row r="4256" spans="23:23">
      <c r="W4256" s="45"/>
    </row>
    <row r="4257" spans="23:23">
      <c r="W4257" s="45"/>
    </row>
    <row r="4258" spans="23:23">
      <c r="W4258" s="45"/>
    </row>
    <row r="4259" spans="23:23">
      <c r="W4259" s="45"/>
    </row>
    <row r="4260" spans="23:23">
      <c r="W4260" s="45"/>
    </row>
    <row r="4261" spans="23:23">
      <c r="W4261" s="45"/>
    </row>
    <row r="4262" spans="23:23">
      <c r="W4262" s="45"/>
    </row>
    <row r="4263" spans="23:23">
      <c r="W4263" s="45"/>
    </row>
    <row r="4264" spans="23:23">
      <c r="W4264" s="45"/>
    </row>
    <row r="4265" spans="23:23">
      <c r="W4265" s="45"/>
    </row>
    <row r="4266" spans="23:23">
      <c r="W4266" s="45"/>
    </row>
    <row r="4267" spans="23:23">
      <c r="W4267" s="45"/>
    </row>
    <row r="4268" spans="23:23">
      <c r="W4268" s="45"/>
    </row>
    <row r="4269" spans="23:23">
      <c r="W4269" s="45"/>
    </row>
    <row r="4270" spans="23:23">
      <c r="W4270" s="45"/>
    </row>
    <row r="4271" spans="23:23">
      <c r="W4271" s="45"/>
    </row>
    <row r="4272" spans="23:23">
      <c r="W4272" s="45"/>
    </row>
    <row r="4273" spans="23:23">
      <c r="W4273" s="45"/>
    </row>
    <row r="4274" spans="23:23">
      <c r="W4274" s="45"/>
    </row>
    <row r="4275" spans="23:23">
      <c r="W4275" s="45"/>
    </row>
    <row r="4276" spans="23:23">
      <c r="W4276" s="45"/>
    </row>
    <row r="4277" spans="23:23">
      <c r="W4277" s="45"/>
    </row>
    <row r="4278" spans="23:23">
      <c r="W4278" s="45"/>
    </row>
    <row r="4279" spans="23:23">
      <c r="W4279" s="45"/>
    </row>
    <row r="4280" spans="23:23">
      <c r="W4280" s="45"/>
    </row>
    <row r="4281" spans="23:23">
      <c r="W4281" s="45"/>
    </row>
    <row r="4282" spans="23:23">
      <c r="W4282" s="45"/>
    </row>
    <row r="4283" spans="23:23">
      <c r="W4283" s="45"/>
    </row>
    <row r="4284" spans="23:23">
      <c r="W4284" s="45"/>
    </row>
    <row r="4285" spans="23:23">
      <c r="W4285" s="45"/>
    </row>
    <row r="4286" spans="23:23">
      <c r="W4286" s="45"/>
    </row>
    <row r="4287" spans="23:23">
      <c r="W4287" s="45"/>
    </row>
    <row r="4288" spans="23:23">
      <c r="W4288" s="45"/>
    </row>
    <row r="4289" spans="23:23">
      <c r="W4289" s="45"/>
    </row>
    <row r="4290" spans="23:23">
      <c r="W4290" s="45"/>
    </row>
    <row r="4291" spans="23:23">
      <c r="W4291" s="45"/>
    </row>
    <row r="4292" spans="23:23">
      <c r="W4292" s="45"/>
    </row>
    <row r="4293" spans="23:23">
      <c r="W4293" s="45"/>
    </row>
    <row r="4294" spans="23:23">
      <c r="W4294" s="45"/>
    </row>
    <row r="4295" spans="23:23">
      <c r="W4295" s="45"/>
    </row>
    <row r="4296" spans="23:23">
      <c r="W4296" s="45"/>
    </row>
    <row r="4297" spans="23:23">
      <c r="W4297" s="45"/>
    </row>
    <row r="4298" spans="23:23">
      <c r="W4298" s="45"/>
    </row>
    <row r="4299" spans="23:23">
      <c r="W4299" s="45"/>
    </row>
    <row r="4300" spans="23:23">
      <c r="W4300" s="45"/>
    </row>
    <row r="4301" spans="23:23">
      <c r="W4301" s="45"/>
    </row>
    <row r="4302" spans="23:23">
      <c r="W4302" s="45"/>
    </row>
    <row r="4303" spans="23:23">
      <c r="W4303" s="45"/>
    </row>
    <row r="4304" spans="23:23">
      <c r="W4304" s="45"/>
    </row>
    <row r="4305" spans="23:23">
      <c r="W4305" s="45"/>
    </row>
    <row r="4306" spans="23:23">
      <c r="W4306" s="45"/>
    </row>
    <row r="4307" spans="23:23">
      <c r="W4307" s="45"/>
    </row>
    <row r="4308" spans="23:23">
      <c r="W4308" s="45"/>
    </row>
    <row r="4309" spans="23:23">
      <c r="W4309" s="45"/>
    </row>
    <row r="4310" spans="23:23">
      <c r="W4310" s="45"/>
    </row>
    <row r="4311" spans="23:23">
      <c r="W4311" s="45"/>
    </row>
    <row r="4312" spans="23:23">
      <c r="W4312" s="45"/>
    </row>
    <row r="4313" spans="23:23">
      <c r="W4313" s="45"/>
    </row>
    <row r="4314" spans="23:23">
      <c r="W4314" s="45"/>
    </row>
    <row r="4315" spans="23:23">
      <c r="W4315" s="45"/>
    </row>
    <row r="4316" spans="23:23">
      <c r="W4316" s="45"/>
    </row>
    <row r="4317" spans="23:23">
      <c r="W4317" s="45"/>
    </row>
    <row r="4318" spans="23:23">
      <c r="W4318" s="45"/>
    </row>
    <row r="4319" spans="23:23">
      <c r="W4319" s="45"/>
    </row>
    <row r="4320" spans="23:23">
      <c r="W4320" s="45"/>
    </row>
    <row r="4321" spans="23:23">
      <c r="W4321" s="45"/>
    </row>
    <row r="4322" spans="23:23">
      <c r="W4322" s="45"/>
    </row>
    <row r="4323" spans="23:23">
      <c r="W4323" s="45"/>
    </row>
    <row r="4324" spans="23:23">
      <c r="W4324" s="45"/>
    </row>
    <row r="4325" spans="23:23">
      <c r="W4325" s="45"/>
    </row>
    <row r="4326" spans="23:23">
      <c r="W4326" s="45"/>
    </row>
    <row r="4327" spans="23:23">
      <c r="W4327" s="45"/>
    </row>
    <row r="4328" spans="23:23">
      <c r="W4328" s="45"/>
    </row>
    <row r="4329" spans="23:23">
      <c r="W4329" s="45"/>
    </row>
    <row r="4330" spans="23:23">
      <c r="W4330" s="45"/>
    </row>
    <row r="4331" spans="23:23">
      <c r="W4331" s="45"/>
    </row>
    <row r="4332" spans="23:23">
      <c r="W4332" s="45"/>
    </row>
    <row r="4333" spans="23:23">
      <c r="W4333" s="45"/>
    </row>
    <row r="4334" spans="23:23">
      <c r="W4334" s="45"/>
    </row>
    <row r="4335" spans="23:23">
      <c r="W4335" s="45"/>
    </row>
    <row r="4336" spans="23:23">
      <c r="W4336" s="45"/>
    </row>
    <row r="4337" spans="23:23">
      <c r="W4337" s="45"/>
    </row>
    <row r="4338" spans="23:23">
      <c r="W4338" s="45"/>
    </row>
    <row r="4339" spans="23:23">
      <c r="W4339" s="45"/>
    </row>
    <row r="4340" spans="23:23">
      <c r="W4340" s="45"/>
    </row>
    <row r="4341" spans="23:23">
      <c r="W4341" s="45"/>
    </row>
    <row r="4342" spans="23:23">
      <c r="W4342" s="45"/>
    </row>
    <row r="4343" spans="23:23">
      <c r="W4343" s="45"/>
    </row>
    <row r="4344" spans="23:23">
      <c r="W4344" s="45"/>
    </row>
    <row r="4345" spans="23:23">
      <c r="W4345" s="45"/>
    </row>
    <row r="4346" spans="23:23">
      <c r="W4346" s="45"/>
    </row>
    <row r="4347" spans="23:23">
      <c r="W4347" s="45"/>
    </row>
    <row r="4348" spans="23:23">
      <c r="W4348" s="45"/>
    </row>
    <row r="4349" spans="23:23">
      <c r="W4349" s="45"/>
    </row>
    <row r="4350" spans="23:23">
      <c r="W4350" s="45"/>
    </row>
    <row r="4351" spans="23:23">
      <c r="W4351" s="45"/>
    </row>
    <row r="4352" spans="23:23">
      <c r="W4352" s="45"/>
    </row>
    <row r="4353" spans="23:23">
      <c r="W4353" s="45"/>
    </row>
    <row r="4354" spans="23:23">
      <c r="W4354" s="45"/>
    </row>
    <row r="4355" spans="23:23">
      <c r="W4355" s="45"/>
    </row>
    <row r="4356" spans="23:23">
      <c r="W4356" s="45"/>
    </row>
    <row r="4357" spans="23:23">
      <c r="W4357" s="45"/>
    </row>
    <row r="4358" spans="23:23">
      <c r="W4358" s="45"/>
    </row>
    <row r="4359" spans="23:23">
      <c r="W4359" s="45"/>
    </row>
    <row r="4360" spans="23:23">
      <c r="W4360" s="45"/>
    </row>
    <row r="4361" spans="23:23">
      <c r="W4361" s="45"/>
    </row>
    <row r="4362" spans="23:23">
      <c r="W4362" s="45"/>
    </row>
    <row r="4363" spans="23:23">
      <c r="W4363" s="45"/>
    </row>
    <row r="4364" spans="23:23">
      <c r="W4364" s="45"/>
    </row>
    <row r="4365" spans="23:23">
      <c r="W4365" s="45"/>
    </row>
    <row r="4366" spans="23:23">
      <c r="W4366" s="45"/>
    </row>
    <row r="4367" spans="23:23">
      <c r="W4367" s="45"/>
    </row>
    <row r="4368" spans="23:23">
      <c r="W4368" s="45"/>
    </row>
    <row r="4369" spans="23:23">
      <c r="W4369" s="45"/>
    </row>
    <row r="4370" spans="23:23">
      <c r="W4370" s="45"/>
    </row>
    <row r="4371" spans="23:23">
      <c r="W4371" s="45"/>
    </row>
    <row r="4372" spans="23:23">
      <c r="W4372" s="45"/>
    </row>
    <row r="4373" spans="23:23">
      <c r="W4373" s="45"/>
    </row>
    <row r="4374" spans="23:23">
      <c r="W4374" s="45"/>
    </row>
    <row r="4375" spans="23:23">
      <c r="W4375" s="45"/>
    </row>
    <row r="4376" spans="23:23">
      <c r="W4376" s="45"/>
    </row>
    <row r="4377" spans="23:23">
      <c r="W4377" s="45"/>
    </row>
    <row r="4378" spans="23:23">
      <c r="W4378" s="45"/>
    </row>
    <row r="4379" spans="23:23">
      <c r="W4379" s="45"/>
    </row>
    <row r="4380" spans="23:23">
      <c r="W4380" s="45"/>
    </row>
    <row r="4381" spans="23:23">
      <c r="W4381" s="45"/>
    </row>
    <row r="4382" spans="23:23">
      <c r="W4382" s="45"/>
    </row>
    <row r="4383" spans="23:23">
      <c r="W4383" s="45"/>
    </row>
    <row r="4384" spans="23:23">
      <c r="W4384" s="45"/>
    </row>
    <row r="4385" spans="23:23">
      <c r="W4385" s="45"/>
    </row>
    <row r="4386" spans="23:23">
      <c r="W4386" s="45"/>
    </row>
    <row r="4387" spans="23:23">
      <c r="W4387" s="45"/>
    </row>
    <row r="4388" spans="23:23">
      <c r="W4388" s="45"/>
    </row>
    <row r="4389" spans="23:23">
      <c r="W4389" s="45"/>
    </row>
    <row r="4390" spans="23:23">
      <c r="W4390" s="45"/>
    </row>
    <row r="4391" spans="23:23">
      <c r="W4391" s="45"/>
    </row>
    <row r="4392" spans="23:23">
      <c r="W4392" s="45"/>
    </row>
    <row r="4393" spans="23:23">
      <c r="W4393" s="45"/>
    </row>
    <row r="4394" spans="23:23">
      <c r="W4394" s="45"/>
    </row>
    <row r="4395" spans="23:23">
      <c r="W4395" s="45"/>
    </row>
    <row r="4396" spans="23:23">
      <c r="W4396" s="45"/>
    </row>
    <row r="4397" spans="23:23">
      <c r="W4397" s="45"/>
    </row>
    <row r="4398" spans="23:23">
      <c r="W4398" s="45"/>
    </row>
    <row r="4399" spans="23:23">
      <c r="W4399" s="45"/>
    </row>
    <row r="4400" spans="23:23">
      <c r="W4400" s="45"/>
    </row>
    <row r="4401" spans="23:23">
      <c r="W4401" s="45"/>
    </row>
    <row r="4402" spans="23:23">
      <c r="W4402" s="45"/>
    </row>
    <row r="4403" spans="23:23">
      <c r="W4403" s="45"/>
    </row>
    <row r="4404" spans="23:23">
      <c r="W4404" s="45"/>
    </row>
    <row r="4405" spans="23:23">
      <c r="W4405" s="45"/>
    </row>
    <row r="4406" spans="23:23">
      <c r="W4406" s="45"/>
    </row>
    <row r="4407" spans="23:23">
      <c r="W4407" s="45"/>
    </row>
    <row r="4408" spans="23:23">
      <c r="W4408" s="45"/>
    </row>
    <row r="4409" spans="23:23">
      <c r="W4409" s="45"/>
    </row>
    <row r="4410" spans="23:23">
      <c r="W4410" s="45"/>
    </row>
    <row r="4411" spans="23:23">
      <c r="W4411" s="45"/>
    </row>
    <row r="4412" spans="23:23">
      <c r="W4412" s="45"/>
    </row>
    <row r="4413" spans="23:23">
      <c r="W4413" s="45"/>
    </row>
    <row r="4414" spans="23:23">
      <c r="W4414" s="45"/>
    </row>
    <row r="4415" spans="23:23">
      <c r="W4415" s="45"/>
    </row>
    <row r="4416" spans="23:23">
      <c r="W4416" s="45"/>
    </row>
    <row r="4417" spans="23:23">
      <c r="W4417" s="45"/>
    </row>
    <row r="4418" spans="23:23">
      <c r="W4418" s="45"/>
    </row>
    <row r="4419" spans="23:23">
      <c r="W4419" s="45"/>
    </row>
    <row r="4420" spans="23:23">
      <c r="W4420" s="45"/>
    </row>
    <row r="4421" spans="23:23">
      <c r="W4421" s="45"/>
    </row>
    <row r="4422" spans="23:23">
      <c r="W4422" s="45"/>
    </row>
    <row r="4423" spans="23:23">
      <c r="W4423" s="45"/>
    </row>
    <row r="4424" spans="23:23">
      <c r="W4424" s="45"/>
    </row>
    <row r="4425" spans="23:23">
      <c r="W4425" s="45"/>
    </row>
    <row r="4426" spans="23:23">
      <c r="W4426" s="45"/>
    </row>
    <row r="4427" spans="23:23">
      <c r="W4427" s="45"/>
    </row>
    <row r="4428" spans="23:23">
      <c r="W4428" s="45"/>
    </row>
    <row r="4429" spans="23:23">
      <c r="W4429" s="45"/>
    </row>
    <row r="4430" spans="23:23">
      <c r="W4430" s="45"/>
    </row>
    <row r="4431" spans="23:23">
      <c r="W4431" s="45"/>
    </row>
    <row r="4432" spans="23:23">
      <c r="W4432" s="45"/>
    </row>
    <row r="4433" spans="23:23">
      <c r="W4433" s="45"/>
    </row>
    <row r="4434" spans="23:23">
      <c r="W4434" s="45"/>
    </row>
    <row r="4435" spans="23:23">
      <c r="W4435" s="45"/>
    </row>
    <row r="4436" spans="23:23">
      <c r="W4436" s="45"/>
    </row>
    <row r="4437" spans="23:23">
      <c r="W4437" s="45"/>
    </row>
    <row r="4438" spans="23:23">
      <c r="W4438" s="45"/>
    </row>
    <row r="4439" spans="23:23">
      <c r="W4439" s="45"/>
    </row>
    <row r="4440" spans="23:23">
      <c r="W4440" s="45"/>
    </row>
    <row r="4441" spans="23:23">
      <c r="W4441" s="45"/>
    </row>
    <row r="4442" spans="23:23">
      <c r="W4442" s="45"/>
    </row>
    <row r="4443" spans="23:23">
      <c r="W4443" s="45"/>
    </row>
    <row r="4444" spans="23:23">
      <c r="W4444" s="45"/>
    </row>
    <row r="4445" spans="23:23">
      <c r="W4445" s="45"/>
    </row>
    <row r="4446" spans="23:23">
      <c r="W4446" s="45"/>
    </row>
    <row r="4447" spans="23:23">
      <c r="W4447" s="45"/>
    </row>
    <row r="4448" spans="23:23">
      <c r="W4448" s="45"/>
    </row>
    <row r="4449" spans="23:23">
      <c r="W4449" s="45"/>
    </row>
    <row r="4450" spans="23:23">
      <c r="W4450" s="45"/>
    </row>
    <row r="4451" spans="23:23">
      <c r="W4451" s="45"/>
    </row>
    <row r="4452" spans="23:23">
      <c r="W4452" s="45"/>
    </row>
    <row r="4453" spans="23:23">
      <c r="W4453" s="45"/>
    </row>
    <row r="4454" spans="23:23">
      <c r="W4454" s="45"/>
    </row>
    <row r="4455" spans="23:23">
      <c r="W4455" s="45"/>
    </row>
    <row r="4456" spans="23:23">
      <c r="W4456" s="45"/>
    </row>
    <row r="4457" spans="23:23">
      <c r="W4457" s="45"/>
    </row>
    <row r="4458" spans="23:23">
      <c r="W4458" s="45"/>
    </row>
    <row r="4459" spans="23:23">
      <c r="W4459" s="45"/>
    </row>
    <row r="4460" spans="23:23">
      <c r="W4460" s="45"/>
    </row>
    <row r="4461" spans="23:23">
      <c r="W4461" s="45"/>
    </row>
    <row r="4462" spans="23:23">
      <c r="W4462" s="45"/>
    </row>
    <row r="4463" spans="23:23">
      <c r="W4463" s="45"/>
    </row>
    <row r="4464" spans="23:23">
      <c r="W4464" s="45"/>
    </row>
    <row r="4465" spans="23:23">
      <c r="W4465" s="45"/>
    </row>
    <row r="4466" spans="23:23">
      <c r="W4466" s="45"/>
    </row>
    <row r="4467" spans="23:23">
      <c r="W4467" s="45"/>
    </row>
    <row r="4468" spans="23:23">
      <c r="W4468" s="45"/>
    </row>
    <row r="4469" spans="23:23">
      <c r="W4469" s="45"/>
    </row>
    <row r="4470" spans="23:23">
      <c r="W4470" s="45"/>
    </row>
    <row r="4471" spans="23:23">
      <c r="W4471" s="45"/>
    </row>
    <row r="4472" spans="23:23">
      <c r="W4472" s="45"/>
    </row>
    <row r="4473" spans="23:23">
      <c r="W4473" s="45"/>
    </row>
    <row r="4474" spans="23:23">
      <c r="W4474" s="45"/>
    </row>
    <row r="4475" spans="23:23">
      <c r="W4475" s="45"/>
    </row>
    <row r="4476" spans="23:23">
      <c r="W4476" s="45"/>
    </row>
    <row r="4477" spans="23:23">
      <c r="W4477" s="45"/>
    </row>
    <row r="4478" spans="23:23">
      <c r="W4478" s="45"/>
    </row>
    <row r="4479" spans="23:23">
      <c r="W4479" s="45"/>
    </row>
    <row r="4480" spans="23:23">
      <c r="W4480" s="45"/>
    </row>
    <row r="4481" spans="23:23">
      <c r="W4481" s="45"/>
    </row>
    <row r="4482" spans="23:23">
      <c r="W4482" s="45"/>
    </row>
    <row r="4483" spans="23:23">
      <c r="W4483" s="45"/>
    </row>
    <row r="4484" spans="23:23">
      <c r="W4484" s="45"/>
    </row>
    <row r="4485" spans="23:23">
      <c r="W4485" s="45"/>
    </row>
    <row r="4486" spans="23:23">
      <c r="W4486" s="45"/>
    </row>
    <row r="4487" spans="23:23">
      <c r="W4487" s="45"/>
    </row>
    <row r="4488" spans="23:23">
      <c r="W4488" s="45"/>
    </row>
    <row r="4489" spans="23:23">
      <c r="W4489" s="45"/>
    </row>
    <row r="4490" spans="23:23">
      <c r="W4490" s="45"/>
    </row>
    <row r="4491" spans="23:23">
      <c r="W4491" s="45"/>
    </row>
    <row r="4492" spans="23:23">
      <c r="W4492" s="45"/>
    </row>
    <row r="4493" spans="23:23">
      <c r="W4493" s="45"/>
    </row>
    <row r="4494" spans="23:23">
      <c r="W4494" s="45"/>
    </row>
    <row r="4495" spans="23:23">
      <c r="W4495" s="45"/>
    </row>
    <row r="4496" spans="23:23">
      <c r="W4496" s="45"/>
    </row>
    <row r="4497" spans="23:23">
      <c r="W4497" s="45"/>
    </row>
    <row r="4498" spans="23:23">
      <c r="W4498" s="45"/>
    </row>
    <row r="4499" spans="23:23">
      <c r="W4499" s="45"/>
    </row>
    <row r="4500" spans="23:23">
      <c r="W4500" s="45"/>
    </row>
    <row r="4501" spans="23:23">
      <c r="W4501" s="45"/>
    </row>
    <row r="4502" spans="23:23">
      <c r="W4502" s="45"/>
    </row>
    <row r="4503" spans="23:23">
      <c r="W4503" s="45"/>
    </row>
    <row r="4504" spans="23:23">
      <c r="W4504" s="45"/>
    </row>
    <row r="4505" spans="23:23">
      <c r="W4505" s="45"/>
    </row>
    <row r="4506" spans="23:23">
      <c r="W4506" s="45"/>
    </row>
    <row r="4507" spans="23:23">
      <c r="W4507" s="45"/>
    </row>
    <row r="4508" spans="23:23">
      <c r="W4508" s="45"/>
    </row>
    <row r="4509" spans="23:23">
      <c r="W4509" s="45"/>
    </row>
    <row r="4510" spans="23:23">
      <c r="W4510" s="45"/>
    </row>
    <row r="4511" spans="23:23">
      <c r="W4511" s="45"/>
    </row>
    <row r="4512" spans="23:23">
      <c r="W4512" s="45"/>
    </row>
    <row r="4513" spans="23:23">
      <c r="W4513" s="45"/>
    </row>
    <row r="4514" spans="23:23">
      <c r="W4514" s="45"/>
    </row>
    <row r="4515" spans="23:23">
      <c r="W4515" s="45"/>
    </row>
    <row r="4516" spans="23:23">
      <c r="W4516" s="45"/>
    </row>
    <row r="4517" spans="23:23">
      <c r="W4517" s="45"/>
    </row>
    <row r="4518" spans="23:23">
      <c r="W4518" s="45"/>
    </row>
    <row r="4519" spans="23:23">
      <c r="W4519" s="45"/>
    </row>
    <row r="4520" spans="23:23">
      <c r="W4520" s="45"/>
    </row>
    <row r="4521" spans="23:23">
      <c r="W4521" s="45"/>
    </row>
    <row r="4522" spans="23:23">
      <c r="W4522" s="45"/>
    </row>
    <row r="4523" spans="23:23">
      <c r="W4523" s="45"/>
    </row>
    <row r="4524" spans="23:23">
      <c r="W4524" s="45"/>
    </row>
    <row r="4525" spans="23:23">
      <c r="W4525" s="45"/>
    </row>
    <row r="4526" spans="23:23">
      <c r="W4526" s="45"/>
    </row>
    <row r="4527" spans="23:23">
      <c r="W4527" s="45"/>
    </row>
    <row r="4528" spans="23:23">
      <c r="W4528" s="45"/>
    </row>
    <row r="4529" spans="23:23">
      <c r="W4529" s="45"/>
    </row>
    <row r="4530" spans="23:23">
      <c r="W4530" s="45"/>
    </row>
    <row r="4531" spans="23:23">
      <c r="W4531" s="45"/>
    </row>
    <row r="4532" spans="23:23">
      <c r="W4532" s="45"/>
    </row>
    <row r="4533" spans="23:23">
      <c r="W4533" s="45"/>
    </row>
    <row r="4534" spans="23:23">
      <c r="W4534" s="45"/>
    </row>
    <row r="4535" spans="23:23">
      <c r="W4535" s="45"/>
    </row>
    <row r="4536" spans="23:23">
      <c r="W4536" s="45"/>
    </row>
    <row r="4537" spans="23:23">
      <c r="W4537" s="45"/>
    </row>
    <row r="4538" spans="23:23">
      <c r="W4538" s="45"/>
    </row>
    <row r="4539" spans="23:23">
      <c r="W4539" s="45"/>
    </row>
    <row r="4540" spans="23:23">
      <c r="W4540" s="45"/>
    </row>
    <row r="4541" spans="23:23">
      <c r="W4541" s="45"/>
    </row>
    <row r="4542" spans="23:23">
      <c r="W4542" s="45"/>
    </row>
    <row r="4543" spans="23:23">
      <c r="W4543" s="45"/>
    </row>
    <row r="4544" spans="23:23">
      <c r="W4544" s="45"/>
    </row>
    <row r="4545" spans="23:23">
      <c r="W4545" s="45"/>
    </row>
    <row r="4546" spans="23:23">
      <c r="W4546" s="45"/>
    </row>
    <row r="4547" spans="23:23">
      <c r="W4547" s="45"/>
    </row>
    <row r="4548" spans="23:23">
      <c r="W4548" s="45"/>
    </row>
    <row r="4549" spans="23:23">
      <c r="W4549" s="45"/>
    </row>
    <row r="4550" spans="23:23">
      <c r="W4550" s="45"/>
    </row>
    <row r="4551" spans="23:23">
      <c r="W4551" s="45"/>
    </row>
    <row r="4552" spans="23:23">
      <c r="W4552" s="45"/>
    </row>
    <row r="4553" spans="23:23">
      <c r="W4553" s="45"/>
    </row>
    <row r="4554" spans="23:23">
      <c r="W4554" s="45"/>
    </row>
    <row r="4555" spans="23:23">
      <c r="W4555" s="45"/>
    </row>
    <row r="4556" spans="23:23">
      <c r="W4556" s="45"/>
    </row>
    <row r="4557" spans="23:23">
      <c r="W4557" s="45"/>
    </row>
    <row r="4558" spans="23:23">
      <c r="W4558" s="45"/>
    </row>
    <row r="4559" spans="23:23">
      <c r="W4559" s="45"/>
    </row>
    <row r="4560" spans="23:23">
      <c r="W4560" s="45"/>
    </row>
    <row r="4561" spans="23:23">
      <c r="W4561" s="45"/>
    </row>
    <row r="4562" spans="23:23">
      <c r="W4562" s="45"/>
    </row>
    <row r="4563" spans="23:23">
      <c r="W4563" s="45"/>
    </row>
    <row r="4564" spans="23:23">
      <c r="W4564" s="45"/>
    </row>
    <row r="4565" spans="23:23">
      <c r="W4565" s="45"/>
    </row>
    <row r="4566" spans="23:23">
      <c r="W4566" s="45"/>
    </row>
    <row r="4567" spans="23:23">
      <c r="W4567" s="45"/>
    </row>
    <row r="4568" spans="23:23">
      <c r="W4568" s="45"/>
    </row>
    <row r="4569" spans="23:23">
      <c r="W4569" s="45"/>
    </row>
    <row r="4570" spans="23:23">
      <c r="W4570" s="45"/>
    </row>
    <row r="4571" spans="23:23">
      <c r="W4571" s="45"/>
    </row>
    <row r="4572" spans="23:23">
      <c r="W4572" s="45"/>
    </row>
    <row r="4573" spans="23:23">
      <c r="W4573" s="45"/>
    </row>
    <row r="4574" spans="23:23">
      <c r="W4574" s="45"/>
    </row>
    <row r="4575" spans="23:23">
      <c r="W4575" s="45"/>
    </row>
    <row r="4576" spans="23:23">
      <c r="W4576" s="45"/>
    </row>
    <row r="4577" spans="23:23">
      <c r="W4577" s="45"/>
    </row>
    <row r="4578" spans="23:23">
      <c r="W4578" s="45"/>
    </row>
    <row r="4579" spans="23:23">
      <c r="W4579" s="45"/>
    </row>
    <row r="4580" spans="23:23">
      <c r="W4580" s="45"/>
    </row>
    <row r="4581" spans="23:23">
      <c r="W4581" s="45"/>
    </row>
    <row r="4582" spans="23:23">
      <c r="W4582" s="45"/>
    </row>
    <row r="4583" spans="23:23">
      <c r="W4583" s="45"/>
    </row>
    <row r="4584" spans="23:23">
      <c r="W4584" s="45"/>
    </row>
    <row r="4585" spans="23:23">
      <c r="W4585" s="45"/>
    </row>
    <row r="4586" spans="23:23">
      <c r="W4586" s="45"/>
    </row>
    <row r="4587" spans="23:23">
      <c r="W4587" s="45"/>
    </row>
    <row r="4588" spans="23:23">
      <c r="W4588" s="45"/>
    </row>
    <row r="4589" spans="23:23">
      <c r="W4589" s="45"/>
    </row>
    <row r="4590" spans="23:23">
      <c r="W4590" s="45"/>
    </row>
    <row r="4591" spans="23:23">
      <c r="W4591" s="45"/>
    </row>
    <row r="4592" spans="23:23">
      <c r="W4592" s="45"/>
    </row>
    <row r="4593" spans="23:23">
      <c r="W4593" s="45"/>
    </row>
    <row r="4594" spans="23:23">
      <c r="W4594" s="45"/>
    </row>
    <row r="4595" spans="23:23">
      <c r="W4595" s="45"/>
    </row>
    <row r="4596" spans="23:23">
      <c r="W4596" s="45"/>
    </row>
    <row r="4597" spans="23:23">
      <c r="W4597" s="45"/>
    </row>
    <row r="4598" spans="23:23">
      <c r="W4598" s="45"/>
    </row>
    <row r="4599" spans="23:23">
      <c r="W4599" s="45"/>
    </row>
    <row r="4600" spans="23:23">
      <c r="W4600" s="45"/>
    </row>
    <row r="4601" spans="23:23">
      <c r="W4601" s="45"/>
    </row>
    <row r="4602" spans="23:23">
      <c r="W4602" s="45"/>
    </row>
    <row r="4603" spans="23:23">
      <c r="W4603" s="45"/>
    </row>
    <row r="4604" spans="23:23">
      <c r="W4604" s="45"/>
    </row>
    <row r="4605" spans="23:23">
      <c r="W4605" s="45"/>
    </row>
    <row r="4606" spans="23:23">
      <c r="W4606" s="45"/>
    </row>
    <row r="4607" spans="23:23">
      <c r="W4607" s="45"/>
    </row>
    <row r="4608" spans="23:23">
      <c r="W4608" s="45"/>
    </row>
    <row r="4609" spans="23:23">
      <c r="W4609" s="45"/>
    </row>
    <row r="4610" spans="23:23">
      <c r="W4610" s="45"/>
    </row>
    <row r="4611" spans="23:23">
      <c r="W4611" s="45"/>
    </row>
    <row r="4612" spans="23:23">
      <c r="W4612" s="45"/>
    </row>
    <row r="4613" spans="23:23">
      <c r="W4613" s="45"/>
    </row>
    <row r="4614" spans="23:23">
      <c r="W4614" s="45"/>
    </row>
    <row r="4615" spans="23:23">
      <c r="W4615" s="45"/>
    </row>
    <row r="4616" spans="23:23">
      <c r="W4616" s="45"/>
    </row>
    <row r="4617" spans="23:23">
      <c r="W4617" s="45"/>
    </row>
    <row r="4618" spans="23:23">
      <c r="W4618" s="45"/>
    </row>
    <row r="4619" spans="23:23">
      <c r="W4619" s="45"/>
    </row>
    <row r="4620" spans="23:23">
      <c r="W4620" s="45"/>
    </row>
    <row r="4621" spans="23:23">
      <c r="W4621" s="45"/>
    </row>
    <row r="4622" spans="23:23">
      <c r="W4622" s="45"/>
    </row>
    <row r="4623" spans="23:23">
      <c r="W4623" s="45"/>
    </row>
    <row r="4624" spans="23:23">
      <c r="W4624" s="45"/>
    </row>
    <row r="4625" spans="23:23">
      <c r="W4625" s="45"/>
    </row>
    <row r="4626" spans="23:23">
      <c r="W4626" s="45"/>
    </row>
    <row r="4627" spans="23:23">
      <c r="W4627" s="45"/>
    </row>
    <row r="4628" spans="23:23">
      <c r="W4628" s="45"/>
    </row>
    <row r="4629" spans="23:23">
      <c r="W4629" s="45"/>
    </row>
    <row r="4630" spans="23:23">
      <c r="W4630" s="45"/>
    </row>
    <row r="4631" spans="23:23">
      <c r="W4631" s="45"/>
    </row>
    <row r="4632" spans="23:23">
      <c r="W4632" s="45"/>
    </row>
    <row r="4633" spans="23:23">
      <c r="W4633" s="45"/>
    </row>
    <row r="4634" spans="23:23">
      <c r="W4634" s="45"/>
    </row>
    <row r="4635" spans="23:23">
      <c r="W4635" s="45"/>
    </row>
    <row r="4636" spans="23:23">
      <c r="W4636" s="45"/>
    </row>
    <row r="4637" spans="23:23">
      <c r="W4637" s="45"/>
    </row>
    <row r="4638" spans="23:23">
      <c r="W4638" s="45"/>
    </row>
    <row r="4639" spans="23:23">
      <c r="W4639" s="45"/>
    </row>
    <row r="4640" spans="23:23">
      <c r="W4640" s="45"/>
    </row>
    <row r="4641" spans="23:23">
      <c r="W4641" s="45"/>
    </row>
    <row r="4642" spans="23:23">
      <c r="W4642" s="45"/>
    </row>
    <row r="4643" spans="23:23">
      <c r="W4643" s="45"/>
    </row>
    <row r="4644" spans="23:23">
      <c r="W4644" s="45"/>
    </row>
    <row r="4645" spans="23:23">
      <c r="W4645" s="45"/>
    </row>
    <row r="4646" spans="23:23">
      <c r="W4646" s="45"/>
    </row>
    <row r="4647" spans="23:23">
      <c r="W4647" s="45"/>
    </row>
    <row r="4648" spans="23:23">
      <c r="W4648" s="45"/>
    </row>
    <row r="4649" spans="23:23">
      <c r="W4649" s="45"/>
    </row>
    <row r="4650" spans="23:23">
      <c r="W4650" s="45"/>
    </row>
    <row r="4651" spans="23:23">
      <c r="W4651" s="45"/>
    </row>
    <row r="4652" spans="23:23">
      <c r="W4652" s="45"/>
    </row>
    <row r="4653" spans="23:23">
      <c r="W4653" s="45"/>
    </row>
    <row r="4654" spans="23:23">
      <c r="W4654" s="45"/>
    </row>
    <row r="4655" spans="23:23">
      <c r="W4655" s="45"/>
    </row>
    <row r="4656" spans="23:23">
      <c r="W4656" s="45"/>
    </row>
    <row r="4657" spans="23:23">
      <c r="W4657" s="45"/>
    </row>
    <row r="4658" spans="23:23">
      <c r="W4658" s="45"/>
    </row>
    <row r="4659" spans="23:23">
      <c r="W4659" s="45"/>
    </row>
    <row r="4660" spans="23:23">
      <c r="W4660" s="45"/>
    </row>
    <row r="4661" spans="23:23">
      <c r="W4661" s="45"/>
    </row>
    <row r="4662" spans="23:23">
      <c r="W4662" s="45"/>
    </row>
    <row r="4663" spans="23:23">
      <c r="W4663" s="45"/>
    </row>
    <row r="4664" spans="23:23">
      <c r="W4664" s="45"/>
    </row>
    <row r="4665" spans="23:23">
      <c r="W4665" s="45"/>
    </row>
    <row r="4666" spans="23:23">
      <c r="W4666" s="45"/>
    </row>
    <row r="4667" spans="23:23">
      <c r="W4667" s="45"/>
    </row>
    <row r="4668" spans="23:23">
      <c r="W4668" s="45"/>
    </row>
    <row r="4669" spans="23:23">
      <c r="W4669" s="45"/>
    </row>
    <row r="4670" spans="23:23">
      <c r="W4670" s="45"/>
    </row>
    <row r="4671" spans="23:23">
      <c r="W4671" s="45"/>
    </row>
    <row r="4672" spans="23:23">
      <c r="W4672" s="45"/>
    </row>
    <row r="4673" spans="23:23">
      <c r="W4673" s="45"/>
    </row>
    <row r="4674" spans="23:23">
      <c r="W4674" s="45"/>
    </row>
    <row r="4675" spans="23:23">
      <c r="W4675" s="45"/>
    </row>
    <row r="4676" spans="23:23">
      <c r="W4676" s="45"/>
    </row>
    <row r="4677" spans="23:23">
      <c r="W4677" s="45"/>
    </row>
    <row r="4678" spans="23:23">
      <c r="W4678" s="45"/>
    </row>
    <row r="4679" spans="23:23">
      <c r="W4679" s="45"/>
    </row>
    <row r="4680" spans="23:23">
      <c r="W4680" s="45"/>
    </row>
    <row r="4681" spans="23:23">
      <c r="W4681" s="45"/>
    </row>
    <row r="4682" spans="23:23">
      <c r="W4682" s="45"/>
    </row>
    <row r="4683" spans="23:23">
      <c r="W4683" s="45"/>
    </row>
    <row r="4684" spans="23:23">
      <c r="W4684" s="45"/>
    </row>
    <row r="4685" spans="23:23">
      <c r="W4685" s="45"/>
    </row>
    <row r="4686" spans="23:23">
      <c r="W4686" s="45"/>
    </row>
    <row r="4687" spans="23:23">
      <c r="W4687" s="45"/>
    </row>
    <row r="4688" spans="23:23">
      <c r="W4688" s="45"/>
    </row>
    <row r="4689" spans="23:23">
      <c r="W4689" s="45"/>
    </row>
    <row r="4690" spans="23:23">
      <c r="W4690" s="45"/>
    </row>
    <row r="4691" spans="23:23">
      <c r="W4691" s="45"/>
    </row>
    <row r="4692" spans="23:23">
      <c r="W4692" s="45"/>
    </row>
    <row r="4693" spans="23:23">
      <c r="W4693" s="45"/>
    </row>
    <row r="4694" spans="23:23">
      <c r="W4694" s="45"/>
    </row>
    <row r="4695" spans="23:23">
      <c r="W4695" s="45"/>
    </row>
    <row r="4696" spans="23:23">
      <c r="W4696" s="45"/>
    </row>
    <row r="4697" spans="23:23">
      <c r="W4697" s="45"/>
    </row>
    <row r="4698" spans="23:23">
      <c r="W4698" s="45"/>
    </row>
    <row r="4699" spans="23:23">
      <c r="W4699" s="45"/>
    </row>
    <row r="4700" spans="23:23">
      <c r="W4700" s="45"/>
    </row>
    <row r="4701" spans="23:23">
      <c r="W4701" s="45"/>
    </row>
    <row r="4702" spans="23:23">
      <c r="W4702" s="45"/>
    </row>
    <row r="4703" spans="23:23">
      <c r="W4703" s="45"/>
    </row>
    <row r="4704" spans="23:23">
      <c r="W4704" s="45"/>
    </row>
    <row r="4705" spans="23:23">
      <c r="W4705" s="45"/>
    </row>
    <row r="4706" spans="23:23">
      <c r="W4706" s="45"/>
    </row>
    <row r="4707" spans="23:23">
      <c r="W4707" s="45"/>
    </row>
    <row r="4708" spans="23:23">
      <c r="W4708" s="45"/>
    </row>
    <row r="4709" spans="23:23">
      <c r="W4709" s="45"/>
    </row>
    <row r="4710" spans="23:23">
      <c r="W4710" s="45"/>
    </row>
    <row r="4711" spans="23:23">
      <c r="W4711" s="45"/>
    </row>
    <row r="4712" spans="23:23">
      <c r="W4712" s="45"/>
    </row>
    <row r="4713" spans="23:23">
      <c r="W4713" s="45"/>
    </row>
    <row r="4714" spans="23:23">
      <c r="W4714" s="45"/>
    </row>
    <row r="4715" spans="23:23">
      <c r="W4715" s="45"/>
    </row>
    <row r="4716" spans="23:23">
      <c r="W4716" s="45"/>
    </row>
    <row r="4717" spans="23:23">
      <c r="W4717" s="45"/>
    </row>
    <row r="4718" spans="23:23">
      <c r="W4718" s="45"/>
    </row>
    <row r="4719" spans="23:23">
      <c r="W4719" s="45"/>
    </row>
    <row r="4720" spans="23:23">
      <c r="W4720" s="45"/>
    </row>
    <row r="4721" spans="23:23">
      <c r="W4721" s="45"/>
    </row>
    <row r="4722" spans="23:23">
      <c r="W4722" s="45"/>
    </row>
    <row r="4723" spans="23:23">
      <c r="W4723" s="45"/>
    </row>
    <row r="4724" spans="23:23">
      <c r="W4724" s="45"/>
    </row>
    <row r="4725" spans="23:23">
      <c r="W4725" s="45"/>
    </row>
    <row r="4726" spans="23:23">
      <c r="W4726" s="45"/>
    </row>
    <row r="4727" spans="23:23">
      <c r="W4727" s="45"/>
    </row>
    <row r="4728" spans="23:23">
      <c r="W4728" s="45"/>
    </row>
    <row r="4729" spans="23:23">
      <c r="W4729" s="45"/>
    </row>
    <row r="4730" spans="23:23">
      <c r="W4730" s="45"/>
    </row>
    <row r="4731" spans="23:23">
      <c r="W4731" s="45"/>
    </row>
    <row r="4732" spans="23:23">
      <c r="W4732" s="45"/>
    </row>
    <row r="4733" spans="23:23">
      <c r="W4733" s="45"/>
    </row>
    <row r="4734" spans="23:23">
      <c r="W4734" s="45"/>
    </row>
    <row r="4735" spans="23:23">
      <c r="W4735" s="45"/>
    </row>
    <row r="4736" spans="23:23">
      <c r="W4736" s="45"/>
    </row>
    <row r="4737" spans="23:23">
      <c r="W4737" s="45"/>
    </row>
    <row r="4738" spans="23:23">
      <c r="W4738" s="45"/>
    </row>
    <row r="4739" spans="23:23">
      <c r="W4739" s="45"/>
    </row>
    <row r="4740" spans="23:23">
      <c r="W4740" s="45"/>
    </row>
    <row r="4741" spans="23:23">
      <c r="W4741" s="45"/>
    </row>
    <row r="4742" spans="23:23">
      <c r="W4742" s="45"/>
    </row>
    <row r="4743" spans="23:23">
      <c r="W4743" s="45"/>
    </row>
    <row r="4744" spans="23:23">
      <c r="W4744" s="45"/>
    </row>
    <row r="4745" spans="23:23">
      <c r="W4745" s="45"/>
    </row>
    <row r="4746" spans="23:23">
      <c r="W4746" s="45"/>
    </row>
    <row r="4747" spans="23:23">
      <c r="W4747" s="45"/>
    </row>
    <row r="4748" spans="23:23">
      <c r="W4748" s="45"/>
    </row>
    <row r="4749" spans="23:23">
      <c r="W4749" s="45"/>
    </row>
    <row r="4750" spans="23:23">
      <c r="W4750" s="45"/>
    </row>
    <row r="4751" spans="23:23">
      <c r="W4751" s="45"/>
    </row>
    <row r="4752" spans="23:23">
      <c r="W4752" s="45"/>
    </row>
    <row r="4753" spans="23:23">
      <c r="W4753" s="45"/>
    </row>
    <row r="4754" spans="23:23">
      <c r="W4754" s="45"/>
    </row>
    <row r="4755" spans="23:23">
      <c r="W4755" s="45"/>
    </row>
    <row r="4756" spans="23:23">
      <c r="W4756" s="45"/>
    </row>
    <row r="4757" spans="23:23">
      <c r="W4757" s="45"/>
    </row>
    <row r="4758" spans="23:23">
      <c r="W4758" s="45"/>
    </row>
    <row r="4759" spans="23:23">
      <c r="W4759" s="45"/>
    </row>
    <row r="4760" spans="23:23">
      <c r="W4760" s="45"/>
    </row>
    <row r="4761" spans="23:23">
      <c r="W4761" s="45"/>
    </row>
    <row r="4762" spans="23:23">
      <c r="W4762" s="45"/>
    </row>
    <row r="4763" spans="23:23">
      <c r="W4763" s="45"/>
    </row>
    <row r="4764" spans="23:23">
      <c r="W4764" s="45"/>
    </row>
    <row r="4765" spans="23:23">
      <c r="W4765" s="45"/>
    </row>
    <row r="4766" spans="23:23">
      <c r="W4766" s="45"/>
    </row>
    <row r="4767" spans="23:23">
      <c r="W4767" s="45"/>
    </row>
    <row r="4768" spans="23:23">
      <c r="W4768" s="45"/>
    </row>
    <row r="4769" spans="23:23">
      <c r="W4769" s="45"/>
    </row>
    <row r="4770" spans="23:23">
      <c r="W4770" s="45"/>
    </row>
    <row r="4771" spans="23:23">
      <c r="W4771" s="45"/>
    </row>
    <row r="4772" spans="23:23">
      <c r="W4772" s="45"/>
    </row>
    <row r="4773" spans="23:23">
      <c r="W4773" s="45"/>
    </row>
    <row r="4774" spans="23:23">
      <c r="W4774" s="45"/>
    </row>
    <row r="4775" spans="23:23">
      <c r="W4775" s="45"/>
    </row>
    <row r="4776" spans="23:23">
      <c r="W4776" s="45"/>
    </row>
    <row r="4777" spans="23:23">
      <c r="W4777" s="45"/>
    </row>
    <row r="4778" spans="23:23">
      <c r="W4778" s="45"/>
    </row>
    <row r="4779" spans="23:23">
      <c r="W4779" s="45"/>
    </row>
    <row r="4780" spans="23:23">
      <c r="W4780" s="45"/>
    </row>
    <row r="4781" spans="23:23">
      <c r="W4781" s="45"/>
    </row>
    <row r="4782" spans="23:23">
      <c r="W4782" s="45"/>
    </row>
    <row r="4783" spans="23:23">
      <c r="W4783" s="45"/>
    </row>
    <row r="4784" spans="23:23">
      <c r="W4784" s="45"/>
    </row>
    <row r="4785" spans="23:23">
      <c r="W4785" s="45"/>
    </row>
    <row r="4786" spans="23:23">
      <c r="W4786" s="45"/>
    </row>
    <row r="4787" spans="23:23">
      <c r="W4787" s="45"/>
    </row>
    <row r="4788" spans="23:23">
      <c r="W4788" s="45"/>
    </row>
    <row r="4789" spans="23:23">
      <c r="W4789" s="45"/>
    </row>
    <row r="4790" spans="23:23">
      <c r="W4790" s="45"/>
    </row>
    <row r="4791" spans="23:23">
      <c r="W4791" s="45"/>
    </row>
    <row r="4792" spans="23:23">
      <c r="W4792" s="45"/>
    </row>
    <row r="4793" spans="23:23">
      <c r="W4793" s="45"/>
    </row>
    <row r="4794" spans="23:23">
      <c r="W4794" s="45"/>
    </row>
    <row r="4795" spans="23:23">
      <c r="W4795" s="45"/>
    </row>
    <row r="4796" spans="23:23">
      <c r="W4796" s="45"/>
    </row>
    <row r="4797" spans="23:23">
      <c r="W4797" s="45"/>
    </row>
    <row r="4798" spans="23:23">
      <c r="W4798" s="45"/>
    </row>
    <row r="4799" spans="23:23">
      <c r="W4799" s="45"/>
    </row>
    <row r="4800" spans="23:23">
      <c r="W4800" s="45"/>
    </row>
    <row r="4801" spans="23:23">
      <c r="W4801" s="45"/>
    </row>
    <row r="4802" spans="23:23">
      <c r="W4802" s="45"/>
    </row>
    <row r="4803" spans="23:23">
      <c r="W4803" s="45"/>
    </row>
    <row r="4804" spans="23:23">
      <c r="W4804" s="45"/>
    </row>
    <row r="4805" spans="23:23">
      <c r="W4805" s="45"/>
    </row>
    <row r="4806" spans="23:23">
      <c r="W4806" s="45"/>
    </row>
    <row r="4807" spans="23:23">
      <c r="W4807" s="45"/>
    </row>
    <row r="4808" spans="23:23">
      <c r="W4808" s="45"/>
    </row>
    <row r="4809" spans="23:23">
      <c r="W4809" s="45"/>
    </row>
    <row r="4810" spans="23:23">
      <c r="W4810" s="45"/>
    </row>
    <row r="4811" spans="23:23">
      <c r="W4811" s="45"/>
    </row>
    <row r="4812" spans="23:23">
      <c r="W4812" s="45"/>
    </row>
    <row r="4813" spans="23:23">
      <c r="W4813" s="45"/>
    </row>
    <row r="4814" spans="23:23">
      <c r="W4814" s="45"/>
    </row>
    <row r="4815" spans="23:23">
      <c r="W4815" s="45"/>
    </row>
    <row r="4816" spans="23:23">
      <c r="W4816" s="45"/>
    </row>
    <row r="4817" spans="23:23">
      <c r="W4817" s="45"/>
    </row>
    <row r="4818" spans="23:23">
      <c r="W4818" s="45"/>
    </row>
    <row r="4819" spans="23:23">
      <c r="W4819" s="45"/>
    </row>
    <row r="4820" spans="23:23">
      <c r="W4820" s="45"/>
    </row>
    <row r="4821" spans="23:23">
      <c r="W4821" s="45"/>
    </row>
    <row r="4822" spans="23:23">
      <c r="W4822" s="45"/>
    </row>
    <row r="4823" spans="23:23">
      <c r="W4823" s="45"/>
    </row>
    <row r="4824" spans="23:23">
      <c r="W4824" s="45"/>
    </row>
    <row r="4825" spans="23:23">
      <c r="W4825" s="45"/>
    </row>
    <row r="4826" spans="23:23">
      <c r="W4826" s="45"/>
    </row>
    <row r="4827" spans="23:23">
      <c r="W4827" s="45"/>
    </row>
    <row r="4828" spans="23:23">
      <c r="W4828" s="45"/>
    </row>
    <row r="4829" spans="23:23">
      <c r="W4829" s="45"/>
    </row>
    <row r="4830" spans="23:23">
      <c r="W4830" s="45"/>
    </row>
    <row r="4831" spans="23:23">
      <c r="W4831" s="45"/>
    </row>
    <row r="4832" spans="23:23">
      <c r="W4832" s="45"/>
    </row>
    <row r="4833" spans="23:23">
      <c r="W4833" s="45"/>
    </row>
    <row r="4834" spans="23:23">
      <c r="W4834" s="45"/>
    </row>
    <row r="4835" spans="23:23">
      <c r="W4835" s="45"/>
    </row>
    <row r="4836" spans="23:23">
      <c r="W4836" s="45"/>
    </row>
    <row r="4837" spans="23:23">
      <c r="W4837" s="45"/>
    </row>
    <row r="4838" spans="23:23">
      <c r="W4838" s="45"/>
    </row>
    <row r="4839" spans="23:23">
      <c r="W4839" s="45"/>
    </row>
    <row r="4840" spans="23:23">
      <c r="W4840" s="45"/>
    </row>
    <row r="4841" spans="23:23">
      <c r="W4841" s="45"/>
    </row>
    <row r="4842" spans="23:23">
      <c r="W4842" s="45"/>
    </row>
    <row r="4843" spans="23:23">
      <c r="W4843" s="45"/>
    </row>
    <row r="4844" spans="23:23">
      <c r="W4844" s="45"/>
    </row>
    <row r="4845" spans="23:23">
      <c r="W4845" s="45"/>
    </row>
    <row r="4846" spans="23:23">
      <c r="W4846" s="45"/>
    </row>
    <row r="4847" spans="23:23">
      <c r="W4847" s="45"/>
    </row>
    <row r="4848" spans="23:23">
      <c r="W4848" s="45"/>
    </row>
    <row r="4849" spans="23:23">
      <c r="W4849" s="45"/>
    </row>
    <row r="4850" spans="23:23">
      <c r="W4850" s="45"/>
    </row>
    <row r="4851" spans="23:23">
      <c r="W4851" s="45"/>
    </row>
    <row r="4852" spans="23:23">
      <c r="W4852" s="45"/>
    </row>
    <row r="4853" spans="23:23">
      <c r="W4853" s="45"/>
    </row>
    <row r="4854" spans="23:23">
      <c r="W4854" s="45"/>
    </row>
    <row r="4855" spans="23:23">
      <c r="W4855" s="45"/>
    </row>
    <row r="4856" spans="23:23">
      <c r="W4856" s="45"/>
    </row>
    <row r="4857" spans="23:23">
      <c r="W4857" s="45"/>
    </row>
    <row r="4858" spans="23:23">
      <c r="W4858" s="45"/>
    </row>
    <row r="4859" spans="23:23">
      <c r="W4859" s="45"/>
    </row>
    <row r="4860" spans="23:23">
      <c r="W4860" s="45"/>
    </row>
    <row r="4861" spans="23:23">
      <c r="W4861" s="45"/>
    </row>
    <row r="4862" spans="23:23">
      <c r="W4862" s="45"/>
    </row>
    <row r="4863" spans="23:23">
      <c r="W4863" s="45"/>
    </row>
    <row r="4864" spans="23:23">
      <c r="W4864" s="45"/>
    </row>
    <row r="4865" spans="23:23">
      <c r="W4865" s="45"/>
    </row>
    <row r="4866" spans="23:23">
      <c r="W4866" s="45"/>
    </row>
    <row r="4867" spans="23:23">
      <c r="W4867" s="45"/>
    </row>
    <row r="4868" spans="23:23">
      <c r="W4868" s="45"/>
    </row>
    <row r="4869" spans="23:23">
      <c r="W4869" s="45"/>
    </row>
    <row r="4870" spans="23:23">
      <c r="W4870" s="45"/>
    </row>
    <row r="4871" spans="23:23">
      <c r="W4871" s="45"/>
    </row>
    <row r="4872" spans="23:23">
      <c r="W4872" s="45"/>
    </row>
    <row r="4873" spans="23:23">
      <c r="W4873" s="45"/>
    </row>
    <row r="4874" spans="23:23">
      <c r="W4874" s="45"/>
    </row>
    <row r="4875" spans="23:23">
      <c r="W4875" s="45"/>
    </row>
    <row r="4876" spans="23:23">
      <c r="W4876" s="45"/>
    </row>
    <row r="4877" spans="23:23">
      <c r="W4877" s="45"/>
    </row>
    <row r="4878" spans="23:23">
      <c r="W4878" s="45"/>
    </row>
    <row r="4879" spans="23:23">
      <c r="W4879" s="45"/>
    </row>
    <row r="4880" spans="23:23">
      <c r="W4880" s="45"/>
    </row>
    <row r="4881" spans="23:23">
      <c r="W4881" s="45"/>
    </row>
    <row r="4882" spans="23:23">
      <c r="W4882" s="45"/>
    </row>
    <row r="4883" spans="23:23">
      <c r="W4883" s="45"/>
    </row>
    <row r="4884" spans="23:23">
      <c r="W4884" s="45"/>
    </row>
    <row r="4885" spans="23:23">
      <c r="W4885" s="45"/>
    </row>
    <row r="4886" spans="23:23">
      <c r="W4886" s="45"/>
    </row>
    <row r="4887" spans="23:23">
      <c r="W4887" s="45"/>
    </row>
    <row r="4888" spans="23:23">
      <c r="W4888" s="45"/>
    </row>
    <row r="4889" spans="23:23">
      <c r="W4889" s="45"/>
    </row>
    <row r="4890" spans="23:23">
      <c r="W4890" s="45"/>
    </row>
    <row r="4891" spans="23:23">
      <c r="W4891" s="45"/>
    </row>
    <row r="4892" spans="23:23">
      <c r="W4892" s="45"/>
    </row>
    <row r="4893" spans="23:23">
      <c r="W4893" s="45"/>
    </row>
    <row r="4894" spans="23:23">
      <c r="W4894" s="45"/>
    </row>
    <row r="4895" spans="23:23">
      <c r="W4895" s="45"/>
    </row>
    <row r="4896" spans="23:23">
      <c r="W4896" s="45"/>
    </row>
    <row r="4897" spans="23:23">
      <c r="W4897" s="45"/>
    </row>
    <row r="4898" spans="23:23">
      <c r="W4898" s="45"/>
    </row>
    <row r="4899" spans="23:23">
      <c r="W4899" s="45"/>
    </row>
    <row r="4900" spans="23:23">
      <c r="W4900" s="45"/>
    </row>
    <row r="4901" spans="23:23">
      <c r="W4901" s="45"/>
    </row>
    <row r="4902" spans="23:23">
      <c r="W4902" s="45"/>
    </row>
    <row r="4903" spans="23:23">
      <c r="W4903" s="45"/>
    </row>
    <row r="4904" spans="23:23">
      <c r="W4904" s="45"/>
    </row>
    <row r="4905" spans="23:23">
      <c r="W4905" s="45"/>
    </row>
    <row r="4906" spans="23:23">
      <c r="W4906" s="45"/>
    </row>
    <row r="4907" spans="23:23">
      <c r="W4907" s="45"/>
    </row>
    <row r="4908" spans="23:23">
      <c r="W4908" s="45"/>
    </row>
    <row r="4909" spans="23:23">
      <c r="W4909" s="45"/>
    </row>
    <row r="4910" spans="23:23">
      <c r="W4910" s="45"/>
    </row>
    <row r="4911" spans="23:23">
      <c r="W4911" s="45"/>
    </row>
    <row r="4912" spans="23:23">
      <c r="W4912" s="45"/>
    </row>
    <row r="4913" spans="23:23">
      <c r="W4913" s="45"/>
    </row>
    <row r="4914" spans="23:23">
      <c r="W4914" s="45"/>
    </row>
    <row r="4915" spans="23:23">
      <c r="W4915" s="45"/>
    </row>
    <row r="4916" spans="23:23">
      <c r="W4916" s="45"/>
    </row>
    <row r="4917" spans="23:23">
      <c r="W4917" s="45"/>
    </row>
    <row r="4918" spans="23:23">
      <c r="W4918" s="45"/>
    </row>
    <row r="4919" spans="23:23">
      <c r="W4919" s="45"/>
    </row>
    <row r="4920" spans="23:23">
      <c r="W4920" s="45"/>
    </row>
    <row r="4921" spans="23:23">
      <c r="W4921" s="45"/>
    </row>
    <row r="4922" spans="23:23">
      <c r="W4922" s="45"/>
    </row>
    <row r="4923" spans="23:23">
      <c r="W4923" s="45"/>
    </row>
    <row r="4924" spans="23:23">
      <c r="W4924" s="45"/>
    </row>
    <row r="4925" spans="23:23">
      <c r="W4925" s="45"/>
    </row>
    <row r="4926" spans="23:23">
      <c r="W4926" s="45"/>
    </row>
    <row r="4927" spans="23:23">
      <c r="W4927" s="45"/>
    </row>
    <row r="4928" spans="23:23">
      <c r="W4928" s="45"/>
    </row>
    <row r="4929" spans="23:23">
      <c r="W4929" s="45"/>
    </row>
    <row r="4930" spans="23:23">
      <c r="W4930" s="45"/>
    </row>
    <row r="4931" spans="23:23">
      <c r="W4931" s="45"/>
    </row>
    <row r="4932" spans="23:23">
      <c r="W4932" s="45"/>
    </row>
    <row r="4933" spans="23:23">
      <c r="W4933" s="45"/>
    </row>
    <row r="4934" spans="23:23">
      <c r="W4934" s="45"/>
    </row>
    <row r="4935" spans="23:23">
      <c r="W4935" s="45"/>
    </row>
    <row r="4936" spans="23:23">
      <c r="W4936" s="45"/>
    </row>
    <row r="4937" spans="23:23">
      <c r="W4937" s="45"/>
    </row>
    <row r="4938" spans="23:23">
      <c r="W4938" s="45"/>
    </row>
    <row r="4939" spans="23:23">
      <c r="W4939" s="45"/>
    </row>
    <row r="4940" spans="23:23">
      <c r="W4940" s="45"/>
    </row>
    <row r="4941" spans="23:23">
      <c r="W4941" s="45"/>
    </row>
    <row r="4942" spans="23:23">
      <c r="W4942" s="45"/>
    </row>
    <row r="4943" spans="23:23">
      <c r="W4943" s="45"/>
    </row>
    <row r="4944" spans="23:23">
      <c r="W4944" s="45"/>
    </row>
    <row r="4945" spans="23:23">
      <c r="W4945" s="45"/>
    </row>
    <row r="4946" spans="23:23">
      <c r="W4946" s="45"/>
    </row>
    <row r="4947" spans="23:23">
      <c r="W4947" s="45"/>
    </row>
    <row r="4948" spans="23:23">
      <c r="W4948" s="45"/>
    </row>
    <row r="4949" spans="23:23">
      <c r="W4949" s="45"/>
    </row>
    <row r="4950" spans="23:23">
      <c r="W4950" s="45"/>
    </row>
    <row r="4951" spans="23:23">
      <c r="W4951" s="45"/>
    </row>
    <row r="4952" spans="23:23">
      <c r="W4952" s="45"/>
    </row>
    <row r="4953" spans="23:23">
      <c r="W4953" s="45"/>
    </row>
    <row r="4954" spans="23:23">
      <c r="W4954" s="45"/>
    </row>
    <row r="4955" spans="23:23">
      <c r="W4955" s="45"/>
    </row>
    <row r="4956" spans="23:23">
      <c r="W4956" s="45"/>
    </row>
    <row r="4957" spans="23:23">
      <c r="W4957" s="45"/>
    </row>
    <row r="4958" spans="23:23">
      <c r="W4958" s="45"/>
    </row>
    <row r="4959" spans="23:23">
      <c r="W4959" s="45"/>
    </row>
    <row r="4960" spans="23:23">
      <c r="W4960" s="45"/>
    </row>
    <row r="4961" spans="23:23">
      <c r="W4961" s="45"/>
    </row>
    <row r="4962" spans="23:23">
      <c r="W4962" s="45"/>
    </row>
    <row r="4963" spans="23:23">
      <c r="W4963" s="45"/>
    </row>
    <row r="4964" spans="23:23">
      <c r="W4964" s="45"/>
    </row>
    <row r="4965" spans="23:23">
      <c r="W4965" s="45"/>
    </row>
    <row r="4966" spans="23:23">
      <c r="W4966" s="45"/>
    </row>
    <row r="4967" spans="23:23">
      <c r="W4967" s="45"/>
    </row>
    <row r="4968" spans="23:23">
      <c r="W4968" s="45"/>
    </row>
    <row r="4969" spans="23:23">
      <c r="W4969" s="45"/>
    </row>
    <row r="4970" spans="23:23">
      <c r="W4970" s="45"/>
    </row>
    <row r="4971" spans="23:23">
      <c r="W4971" s="45"/>
    </row>
    <row r="4972" spans="23:23">
      <c r="W4972" s="45"/>
    </row>
    <row r="4973" spans="23:23">
      <c r="W4973" s="45"/>
    </row>
    <row r="4974" spans="23:23">
      <c r="W4974" s="45"/>
    </row>
    <row r="4975" spans="23:23">
      <c r="W4975" s="45"/>
    </row>
    <row r="4976" spans="23:23">
      <c r="W4976" s="45"/>
    </row>
    <row r="4977" spans="23:23">
      <c r="W4977" s="45"/>
    </row>
    <row r="4978" spans="23:23">
      <c r="W4978" s="45"/>
    </row>
    <row r="4979" spans="23:23">
      <c r="W4979" s="45"/>
    </row>
    <row r="4980" spans="23:23">
      <c r="W4980" s="45"/>
    </row>
    <row r="4981" spans="23:23">
      <c r="W4981" s="45"/>
    </row>
    <row r="4982" spans="23:23">
      <c r="W4982" s="45"/>
    </row>
    <row r="4983" spans="23:23">
      <c r="W4983" s="45"/>
    </row>
    <row r="4984" spans="23:23">
      <c r="W4984" s="45"/>
    </row>
    <row r="4985" spans="23:23">
      <c r="W4985" s="45"/>
    </row>
    <row r="4986" spans="23:23">
      <c r="W4986" s="45"/>
    </row>
    <row r="4987" spans="23:23">
      <c r="W4987" s="45"/>
    </row>
    <row r="4988" spans="23:23">
      <c r="W4988" s="45"/>
    </row>
    <row r="4989" spans="23:23">
      <c r="W4989" s="45"/>
    </row>
    <row r="4990" spans="23:23">
      <c r="W4990" s="45"/>
    </row>
    <row r="4991" spans="23:23">
      <c r="W4991" s="45"/>
    </row>
    <row r="4992" spans="23:23">
      <c r="W4992" s="45"/>
    </row>
    <row r="4993" spans="23:23">
      <c r="W4993" s="45"/>
    </row>
    <row r="4994" spans="23:23">
      <c r="W4994" s="45"/>
    </row>
    <row r="4995" spans="23:23">
      <c r="W4995" s="45"/>
    </row>
    <row r="4996" spans="23:23">
      <c r="W4996" s="45"/>
    </row>
    <row r="4997" spans="23:23">
      <c r="W4997" s="45"/>
    </row>
    <row r="4998" spans="23:23">
      <c r="W4998" s="45"/>
    </row>
    <row r="4999" spans="23:23">
      <c r="W4999" s="45"/>
    </row>
    <row r="5000" spans="23:23">
      <c r="W5000" s="45"/>
    </row>
    <row r="5001" spans="23:23">
      <c r="W5001" s="45"/>
    </row>
    <row r="5002" spans="23:23">
      <c r="W5002" s="45"/>
    </row>
    <row r="5003" spans="23:23">
      <c r="W5003" s="45"/>
    </row>
    <row r="5004" spans="23:23">
      <c r="W5004" s="45"/>
    </row>
    <row r="5005" spans="23:23">
      <c r="W5005" s="45"/>
    </row>
    <row r="5006" spans="23:23">
      <c r="W5006" s="45"/>
    </row>
    <row r="5007" spans="23:23">
      <c r="W5007" s="45"/>
    </row>
    <row r="5008" spans="23:23">
      <c r="W5008" s="45"/>
    </row>
    <row r="5009" spans="23:23">
      <c r="W5009" s="45"/>
    </row>
    <row r="5010" spans="23:23">
      <c r="W5010" s="45"/>
    </row>
    <row r="5011" spans="23:23">
      <c r="W5011" s="45"/>
    </row>
    <row r="5012" spans="23:23">
      <c r="W5012" s="45"/>
    </row>
    <row r="5013" spans="23:23">
      <c r="W5013" s="45"/>
    </row>
    <row r="5014" spans="23:23">
      <c r="W5014" s="45"/>
    </row>
    <row r="5015" spans="23:23">
      <c r="W5015" s="45"/>
    </row>
    <row r="5016" spans="23:23">
      <c r="W5016" s="45"/>
    </row>
    <row r="5017" spans="23:23">
      <c r="W5017" s="45"/>
    </row>
    <row r="5018" spans="23:23">
      <c r="W5018" s="45"/>
    </row>
    <row r="5019" spans="23:23">
      <c r="W5019" s="45"/>
    </row>
    <row r="5020" spans="23:23">
      <c r="W5020" s="45"/>
    </row>
    <row r="5021" spans="23:23">
      <c r="W5021" s="45"/>
    </row>
    <row r="5022" spans="23:23">
      <c r="W5022" s="45"/>
    </row>
    <row r="5023" spans="23:23">
      <c r="W5023" s="45"/>
    </row>
    <row r="5024" spans="23:23">
      <c r="W5024" s="45"/>
    </row>
    <row r="5025" spans="23:23">
      <c r="W5025" s="45"/>
    </row>
    <row r="5026" spans="23:23">
      <c r="W5026" s="45"/>
    </row>
    <row r="5027" spans="23:23">
      <c r="W5027" s="45"/>
    </row>
    <row r="5028" spans="23:23">
      <c r="W5028" s="45"/>
    </row>
    <row r="5029" spans="23:23">
      <c r="W5029" s="45"/>
    </row>
    <row r="5030" spans="23:23">
      <c r="W5030" s="45"/>
    </row>
    <row r="5031" spans="23:23">
      <c r="W5031" s="45"/>
    </row>
    <row r="5032" spans="23:23">
      <c r="W5032" s="45"/>
    </row>
    <row r="5033" spans="23:23">
      <c r="W5033" s="45"/>
    </row>
    <row r="5034" spans="23:23">
      <c r="W5034" s="45"/>
    </row>
    <row r="5035" spans="23:23">
      <c r="W5035" s="45"/>
    </row>
    <row r="5036" spans="23:23">
      <c r="W5036" s="45"/>
    </row>
    <row r="5037" spans="23:23">
      <c r="W5037" s="45"/>
    </row>
    <row r="5038" spans="23:23">
      <c r="W5038" s="45"/>
    </row>
    <row r="5039" spans="23:23">
      <c r="W5039" s="45"/>
    </row>
    <row r="5040" spans="23:23">
      <c r="W5040" s="45"/>
    </row>
    <row r="5041" spans="23:23">
      <c r="W5041" s="45"/>
    </row>
    <row r="5042" spans="23:23">
      <c r="W5042" s="45"/>
    </row>
    <row r="5043" spans="23:23">
      <c r="W5043" s="45"/>
    </row>
    <row r="5044" spans="23:23">
      <c r="W5044" s="45"/>
    </row>
    <row r="5045" spans="23:23">
      <c r="W5045" s="45"/>
    </row>
    <row r="5046" spans="23:23">
      <c r="W5046" s="45"/>
    </row>
    <row r="5047" spans="23:23">
      <c r="W5047" s="45"/>
    </row>
    <row r="5048" spans="23:23">
      <c r="W5048" s="45"/>
    </row>
    <row r="5049" spans="23:23">
      <c r="W5049" s="45"/>
    </row>
    <row r="5050" spans="23:23">
      <c r="W5050" s="45"/>
    </row>
    <row r="5051" spans="23:23">
      <c r="W5051" s="45"/>
    </row>
    <row r="5052" spans="23:23">
      <c r="W5052" s="45"/>
    </row>
    <row r="5053" spans="23:23">
      <c r="W5053" s="45"/>
    </row>
    <row r="5054" spans="23:23">
      <c r="W5054" s="45"/>
    </row>
    <row r="5055" spans="23:23">
      <c r="W5055" s="45"/>
    </row>
    <row r="5056" spans="23:23">
      <c r="W5056" s="45"/>
    </row>
    <row r="5057" spans="23:23">
      <c r="W5057" s="45"/>
    </row>
    <row r="5058" spans="23:23">
      <c r="W5058" s="45"/>
    </row>
    <row r="5059" spans="23:23">
      <c r="W5059" s="45"/>
    </row>
    <row r="5060" spans="23:23">
      <c r="W5060" s="45"/>
    </row>
    <row r="5061" spans="23:23">
      <c r="W5061" s="45"/>
    </row>
    <row r="5062" spans="23:23">
      <c r="W5062" s="45"/>
    </row>
    <row r="5063" spans="23:23">
      <c r="W5063" s="45"/>
    </row>
    <row r="5064" spans="23:23">
      <c r="W5064" s="45"/>
    </row>
    <row r="5065" spans="23:23">
      <c r="W5065" s="45"/>
    </row>
    <row r="5066" spans="23:23">
      <c r="W5066" s="45"/>
    </row>
    <row r="5067" spans="23:23">
      <c r="W5067" s="45"/>
    </row>
    <row r="5068" spans="23:23">
      <c r="W5068" s="45"/>
    </row>
    <row r="5069" spans="23:23">
      <c r="W5069" s="45"/>
    </row>
    <row r="5070" spans="23:23">
      <c r="W5070" s="45"/>
    </row>
    <row r="5071" spans="23:23">
      <c r="W5071" s="45"/>
    </row>
    <row r="5072" spans="23:23">
      <c r="W5072" s="45"/>
    </row>
    <row r="5073" spans="23:23">
      <c r="W5073" s="45"/>
    </row>
    <row r="5074" spans="23:23">
      <c r="W5074" s="45"/>
    </row>
    <row r="5075" spans="23:23">
      <c r="W5075" s="45"/>
    </row>
    <row r="5076" spans="23:23">
      <c r="W5076" s="45"/>
    </row>
    <row r="5077" spans="23:23">
      <c r="W5077" s="45"/>
    </row>
    <row r="5078" spans="23:23">
      <c r="W5078" s="45"/>
    </row>
    <row r="5079" spans="23:23">
      <c r="W5079" s="45"/>
    </row>
    <row r="5080" spans="23:23">
      <c r="W5080" s="45"/>
    </row>
    <row r="5081" spans="23:23">
      <c r="W5081" s="45"/>
    </row>
    <row r="5082" spans="23:23">
      <c r="W5082" s="45"/>
    </row>
    <row r="5083" spans="23:23">
      <c r="W5083" s="45"/>
    </row>
    <row r="5084" spans="23:23">
      <c r="W5084" s="45"/>
    </row>
    <row r="5085" spans="23:23">
      <c r="W5085" s="45"/>
    </row>
    <row r="5086" spans="23:23">
      <c r="W5086" s="45"/>
    </row>
    <row r="5087" spans="23:23">
      <c r="W5087" s="45"/>
    </row>
    <row r="5088" spans="23:23">
      <c r="W5088" s="45"/>
    </row>
    <row r="5089" spans="23:23">
      <c r="W5089" s="45"/>
    </row>
    <row r="5090" spans="23:23">
      <c r="W5090" s="45"/>
    </row>
    <row r="5091" spans="23:23">
      <c r="W5091" s="45"/>
    </row>
    <row r="5092" spans="23:23">
      <c r="W5092" s="45"/>
    </row>
    <row r="5093" spans="23:23">
      <c r="W5093" s="45"/>
    </row>
    <row r="5094" spans="23:23">
      <c r="W5094" s="45"/>
    </row>
    <row r="5095" spans="23:23">
      <c r="W5095" s="45"/>
    </row>
    <row r="5096" spans="23:23">
      <c r="W5096" s="45"/>
    </row>
    <row r="5097" spans="23:23">
      <c r="W5097" s="45"/>
    </row>
    <row r="5098" spans="23:23">
      <c r="W5098" s="45"/>
    </row>
    <row r="5099" spans="23:23">
      <c r="W5099" s="45"/>
    </row>
    <row r="5100" spans="23:23">
      <c r="W5100" s="45"/>
    </row>
    <row r="5101" spans="23:23">
      <c r="W5101" s="45"/>
    </row>
    <row r="5102" spans="23:23">
      <c r="W5102" s="45"/>
    </row>
    <row r="5103" spans="23:23">
      <c r="W5103" s="45"/>
    </row>
    <row r="5104" spans="23:23">
      <c r="W5104" s="45"/>
    </row>
    <row r="5105" spans="23:23">
      <c r="W5105" s="45"/>
    </row>
    <row r="5106" spans="23:23">
      <c r="W5106" s="45"/>
    </row>
    <row r="5107" spans="23:23">
      <c r="W5107" s="45"/>
    </row>
    <row r="5108" spans="23:23">
      <c r="W5108" s="45"/>
    </row>
    <row r="5109" spans="23:23">
      <c r="W5109" s="45"/>
    </row>
    <row r="5110" spans="23:23">
      <c r="W5110" s="45"/>
    </row>
    <row r="5111" spans="23:23">
      <c r="W5111" s="45"/>
    </row>
    <row r="5112" spans="23:23">
      <c r="W5112" s="45"/>
    </row>
    <row r="5113" spans="23:23">
      <c r="W5113" s="45"/>
    </row>
    <row r="5114" spans="23:23">
      <c r="W5114" s="45"/>
    </row>
    <row r="5115" spans="23:23">
      <c r="W5115" s="45"/>
    </row>
    <row r="5116" spans="23:23">
      <c r="W5116" s="45"/>
    </row>
    <row r="5117" spans="23:23">
      <c r="W5117" s="45"/>
    </row>
    <row r="5118" spans="23:23">
      <c r="W5118" s="45"/>
    </row>
    <row r="5119" spans="23:23">
      <c r="W5119" s="45"/>
    </row>
    <row r="5120" spans="23:23">
      <c r="W5120" s="45"/>
    </row>
    <row r="5121" spans="23:23">
      <c r="W5121" s="45"/>
    </row>
    <row r="5122" spans="23:23">
      <c r="W5122" s="45"/>
    </row>
    <row r="5123" spans="23:23">
      <c r="W5123" s="45"/>
    </row>
    <row r="5124" spans="23:23">
      <c r="W5124" s="45"/>
    </row>
    <row r="5125" spans="23:23">
      <c r="W5125" s="45"/>
    </row>
    <row r="5126" spans="23:23">
      <c r="W5126" s="45"/>
    </row>
    <row r="5127" spans="23:23">
      <c r="W5127" s="45"/>
    </row>
    <row r="5128" spans="23:23">
      <c r="W5128" s="45"/>
    </row>
    <row r="5129" spans="23:23">
      <c r="W5129" s="45"/>
    </row>
    <row r="5130" spans="23:23">
      <c r="W5130" s="45"/>
    </row>
    <row r="5131" spans="23:23">
      <c r="W5131" s="45"/>
    </row>
    <row r="5132" spans="23:23">
      <c r="W5132" s="45"/>
    </row>
    <row r="5133" spans="23:23">
      <c r="W5133" s="45"/>
    </row>
    <row r="5134" spans="23:23">
      <c r="W5134" s="45"/>
    </row>
    <row r="5135" spans="23:23">
      <c r="W5135" s="45"/>
    </row>
    <row r="5136" spans="23:23">
      <c r="W5136" s="45"/>
    </row>
    <row r="5137" spans="23:23">
      <c r="W5137" s="45"/>
    </row>
    <row r="5138" spans="23:23">
      <c r="W5138" s="45"/>
    </row>
    <row r="5139" spans="23:23">
      <c r="W5139" s="45"/>
    </row>
    <row r="5140" spans="23:23">
      <c r="W5140" s="45"/>
    </row>
    <row r="5141" spans="23:23">
      <c r="W5141" s="45"/>
    </row>
    <row r="5142" spans="23:23">
      <c r="W5142" s="45"/>
    </row>
    <row r="5143" spans="23:23">
      <c r="W5143" s="45"/>
    </row>
    <row r="5144" spans="23:23">
      <c r="W5144" s="45"/>
    </row>
    <row r="5145" spans="23:23">
      <c r="W5145" s="45"/>
    </row>
    <row r="5146" spans="23:23">
      <c r="W5146" s="45"/>
    </row>
    <row r="5147" spans="23:23">
      <c r="W5147" s="45"/>
    </row>
    <row r="5148" spans="23:23">
      <c r="W5148" s="45"/>
    </row>
    <row r="5149" spans="23:23">
      <c r="W5149" s="45"/>
    </row>
    <row r="5150" spans="23:23">
      <c r="W5150" s="45"/>
    </row>
    <row r="5151" spans="23:23">
      <c r="W5151" s="45"/>
    </row>
    <row r="5152" spans="23:23">
      <c r="W5152" s="45"/>
    </row>
    <row r="5153" spans="23:23">
      <c r="W5153" s="45"/>
    </row>
    <row r="5154" spans="23:23">
      <c r="W5154" s="45"/>
    </row>
    <row r="5155" spans="23:23">
      <c r="W5155" s="45"/>
    </row>
    <row r="5156" spans="23:23">
      <c r="W5156" s="45"/>
    </row>
    <row r="5157" spans="23:23">
      <c r="W5157" s="45"/>
    </row>
    <row r="5158" spans="23:23">
      <c r="W5158" s="45"/>
    </row>
    <row r="5159" spans="23:23">
      <c r="W5159" s="45"/>
    </row>
    <row r="5160" spans="23:23">
      <c r="W5160" s="45"/>
    </row>
    <row r="5161" spans="23:23">
      <c r="W5161" s="45"/>
    </row>
    <row r="5162" spans="23:23">
      <c r="W5162" s="45"/>
    </row>
    <row r="5163" spans="23:23">
      <c r="W5163" s="45"/>
    </row>
    <row r="5164" spans="23:23">
      <c r="W5164" s="45"/>
    </row>
    <row r="5165" spans="23:23">
      <c r="W5165" s="45"/>
    </row>
    <row r="5166" spans="23:23">
      <c r="W5166" s="45"/>
    </row>
    <row r="5167" spans="23:23">
      <c r="W5167" s="45"/>
    </row>
    <row r="5168" spans="23:23">
      <c r="W5168" s="45"/>
    </row>
    <row r="5169" spans="23:23">
      <c r="W5169" s="45"/>
    </row>
    <row r="5170" spans="23:23">
      <c r="W5170" s="45"/>
    </row>
    <row r="5171" spans="23:23">
      <c r="W5171" s="45"/>
    </row>
    <row r="5172" spans="23:23">
      <c r="W5172" s="45"/>
    </row>
    <row r="5173" spans="23:23">
      <c r="W5173" s="45"/>
    </row>
    <row r="5174" spans="23:23">
      <c r="W5174" s="45"/>
    </row>
    <row r="5175" spans="23:23">
      <c r="W5175" s="45"/>
    </row>
    <row r="5176" spans="23:23">
      <c r="W5176" s="45"/>
    </row>
    <row r="5177" spans="23:23">
      <c r="W5177" s="45"/>
    </row>
    <row r="5178" spans="23:23">
      <c r="W5178" s="45"/>
    </row>
    <row r="5179" spans="23:23">
      <c r="W5179" s="45"/>
    </row>
    <row r="5180" spans="23:23">
      <c r="W5180" s="45"/>
    </row>
    <row r="5181" spans="23:23">
      <c r="W5181" s="45"/>
    </row>
    <row r="5182" spans="23:23">
      <c r="W5182" s="45"/>
    </row>
    <row r="5183" spans="23:23">
      <c r="W5183" s="45"/>
    </row>
    <row r="5184" spans="23:23">
      <c r="W5184" s="45"/>
    </row>
    <row r="5185" spans="23:23">
      <c r="W5185" s="45"/>
    </row>
    <row r="5186" spans="23:23">
      <c r="W5186" s="45"/>
    </row>
    <row r="5187" spans="23:23">
      <c r="W5187" s="45"/>
    </row>
    <row r="5188" spans="23:23">
      <c r="W5188" s="45"/>
    </row>
    <row r="5189" spans="23:23">
      <c r="W5189" s="45"/>
    </row>
    <row r="5190" spans="23:23">
      <c r="W5190" s="45"/>
    </row>
    <row r="5191" spans="23:23">
      <c r="W5191" s="45"/>
    </row>
    <row r="5192" spans="23:23">
      <c r="W5192" s="45"/>
    </row>
    <row r="5193" spans="23:23">
      <c r="W5193" s="45"/>
    </row>
    <row r="5194" spans="23:23">
      <c r="W5194" s="45"/>
    </row>
    <row r="5195" spans="23:23">
      <c r="W5195" s="45"/>
    </row>
    <row r="5196" spans="23:23">
      <c r="W5196" s="45"/>
    </row>
    <row r="5197" spans="23:23">
      <c r="W5197" s="45"/>
    </row>
    <row r="5198" spans="23:23">
      <c r="W5198" s="45"/>
    </row>
    <row r="5199" spans="23:23">
      <c r="W5199" s="45"/>
    </row>
    <row r="5200" spans="23:23">
      <c r="W5200" s="45"/>
    </row>
    <row r="5201" spans="23:23">
      <c r="W5201" s="45"/>
    </row>
    <row r="5202" spans="23:23">
      <c r="W5202" s="45"/>
    </row>
    <row r="5203" spans="23:23">
      <c r="W5203" s="45"/>
    </row>
    <row r="5204" spans="23:23">
      <c r="W5204" s="45"/>
    </row>
    <row r="5205" spans="23:23">
      <c r="W5205" s="45"/>
    </row>
    <row r="5206" spans="23:23">
      <c r="W5206" s="45"/>
    </row>
    <row r="5207" spans="23:23">
      <c r="W5207" s="45"/>
    </row>
    <row r="5208" spans="23:23">
      <c r="W5208" s="45"/>
    </row>
    <row r="5209" spans="23:23">
      <c r="W5209" s="45"/>
    </row>
    <row r="5210" spans="23:23">
      <c r="W5210" s="45"/>
    </row>
    <row r="5211" spans="23:23">
      <c r="W5211" s="45"/>
    </row>
    <row r="5212" spans="23:23">
      <c r="W5212" s="45"/>
    </row>
    <row r="5213" spans="23:23">
      <c r="W5213" s="45"/>
    </row>
    <row r="5214" spans="23:23">
      <c r="W5214" s="45"/>
    </row>
    <row r="5215" spans="23:23">
      <c r="W5215" s="45"/>
    </row>
    <row r="5216" spans="23:23">
      <c r="W5216" s="45"/>
    </row>
    <row r="5217" spans="23:23">
      <c r="W5217" s="45"/>
    </row>
    <row r="5218" spans="23:23">
      <c r="W5218" s="45"/>
    </row>
    <row r="5219" spans="23:23">
      <c r="W5219" s="45"/>
    </row>
    <row r="5220" spans="23:23">
      <c r="W5220" s="45"/>
    </row>
    <row r="5221" spans="23:23">
      <c r="W5221" s="45"/>
    </row>
    <row r="5222" spans="23:23">
      <c r="W5222" s="45"/>
    </row>
    <row r="5223" spans="23:23">
      <c r="W5223" s="45"/>
    </row>
    <row r="5224" spans="23:23">
      <c r="W5224" s="45"/>
    </row>
    <row r="5225" spans="23:23">
      <c r="W5225" s="45"/>
    </row>
    <row r="5226" spans="23:23">
      <c r="W5226" s="45"/>
    </row>
    <row r="5227" spans="23:23">
      <c r="W5227" s="45"/>
    </row>
    <row r="5228" spans="23:23">
      <c r="W5228" s="45"/>
    </row>
    <row r="5229" spans="23:23">
      <c r="W5229" s="45"/>
    </row>
    <row r="5230" spans="23:23">
      <c r="W5230" s="45"/>
    </row>
    <row r="5231" spans="23:23">
      <c r="W5231" s="45"/>
    </row>
    <row r="5232" spans="23:23">
      <c r="W5232" s="45"/>
    </row>
    <row r="5233" spans="23:23">
      <c r="W5233" s="45"/>
    </row>
    <row r="5234" spans="23:23">
      <c r="W5234" s="45"/>
    </row>
    <row r="5235" spans="23:23">
      <c r="W5235" s="45"/>
    </row>
    <row r="5236" spans="23:23">
      <c r="W5236" s="45"/>
    </row>
    <row r="5237" spans="23:23">
      <c r="W5237" s="45"/>
    </row>
    <row r="5238" spans="23:23">
      <c r="W5238" s="45"/>
    </row>
    <row r="5239" spans="23:23">
      <c r="W5239" s="45"/>
    </row>
    <row r="5240" spans="23:23">
      <c r="W5240" s="45"/>
    </row>
    <row r="5241" spans="23:23">
      <c r="W5241" s="45"/>
    </row>
    <row r="5242" spans="23:23">
      <c r="W5242" s="45"/>
    </row>
    <row r="5243" spans="23:23">
      <c r="W5243" s="45"/>
    </row>
    <row r="5244" spans="23:23">
      <c r="W5244" s="45"/>
    </row>
    <row r="5245" spans="23:23">
      <c r="W5245" s="45"/>
    </row>
    <row r="5246" spans="23:23">
      <c r="W5246" s="45"/>
    </row>
    <row r="5247" spans="23:23">
      <c r="W5247" s="45"/>
    </row>
    <row r="5248" spans="23:23">
      <c r="W5248" s="45"/>
    </row>
    <row r="5249" spans="23:23">
      <c r="W5249" s="45"/>
    </row>
    <row r="5250" spans="23:23">
      <c r="W5250" s="45"/>
    </row>
    <row r="5251" spans="23:23">
      <c r="W5251" s="45"/>
    </row>
    <row r="5252" spans="23:23">
      <c r="W5252" s="45"/>
    </row>
    <row r="5253" spans="23:23">
      <c r="W5253" s="45"/>
    </row>
    <row r="5254" spans="23:23">
      <c r="W5254" s="45"/>
    </row>
    <row r="5255" spans="23:23">
      <c r="W5255" s="45"/>
    </row>
    <row r="5256" spans="23:23">
      <c r="W5256" s="45"/>
    </row>
    <row r="5257" spans="23:23">
      <c r="W5257" s="45"/>
    </row>
    <row r="5258" spans="23:23">
      <c r="W5258" s="45"/>
    </row>
    <row r="5259" spans="23:23">
      <c r="W5259" s="45"/>
    </row>
    <row r="5260" spans="23:23">
      <c r="W5260" s="45"/>
    </row>
    <row r="5261" spans="23:23">
      <c r="W5261" s="45"/>
    </row>
    <row r="5262" spans="23:23">
      <c r="W5262" s="45"/>
    </row>
    <row r="5263" spans="23:23">
      <c r="W5263" s="45"/>
    </row>
    <row r="5264" spans="23:23">
      <c r="W5264" s="45"/>
    </row>
    <row r="5265" spans="23:23">
      <c r="W5265" s="45"/>
    </row>
    <row r="5266" spans="23:23">
      <c r="W5266" s="45"/>
    </row>
    <row r="5267" spans="23:23">
      <c r="W5267" s="45"/>
    </row>
    <row r="5268" spans="23:23">
      <c r="W5268" s="45"/>
    </row>
    <row r="5269" spans="23:23">
      <c r="W5269" s="45"/>
    </row>
    <row r="5270" spans="23:23">
      <c r="W5270" s="45"/>
    </row>
    <row r="5271" spans="23:23">
      <c r="W5271" s="45"/>
    </row>
    <row r="5272" spans="23:23">
      <c r="W5272" s="45"/>
    </row>
    <row r="5273" spans="23:23">
      <c r="W5273" s="45"/>
    </row>
    <row r="5274" spans="23:23">
      <c r="W5274" s="45"/>
    </row>
    <row r="5275" spans="23:23">
      <c r="W5275" s="45"/>
    </row>
    <row r="5276" spans="23:23">
      <c r="W5276" s="45"/>
    </row>
    <row r="5277" spans="23:23">
      <c r="W5277" s="45"/>
    </row>
    <row r="5278" spans="23:23">
      <c r="W5278" s="45"/>
    </row>
    <row r="5279" spans="23:23">
      <c r="W5279" s="45"/>
    </row>
    <row r="5280" spans="23:23">
      <c r="W5280" s="45"/>
    </row>
    <row r="5281" spans="23:23">
      <c r="W5281" s="45"/>
    </row>
    <row r="5282" spans="23:23">
      <c r="W5282" s="45"/>
    </row>
    <row r="5283" spans="23:23">
      <c r="W5283" s="45"/>
    </row>
    <row r="5284" spans="23:23">
      <c r="W5284" s="45"/>
    </row>
    <row r="5285" spans="23:23">
      <c r="W5285" s="45"/>
    </row>
    <row r="5286" spans="23:23">
      <c r="W5286" s="45"/>
    </row>
    <row r="5287" spans="23:23">
      <c r="W5287" s="45"/>
    </row>
    <row r="5288" spans="23:23">
      <c r="W5288" s="45"/>
    </row>
    <row r="5289" spans="23:23">
      <c r="W5289" s="45"/>
    </row>
    <row r="5290" spans="23:23">
      <c r="W5290" s="45"/>
    </row>
    <row r="5291" spans="23:23">
      <c r="W5291" s="45"/>
    </row>
    <row r="5292" spans="23:23">
      <c r="W5292" s="45"/>
    </row>
    <row r="5293" spans="23:23">
      <c r="W5293" s="45"/>
    </row>
    <row r="5294" spans="23:23">
      <c r="W5294" s="45"/>
    </row>
    <row r="5295" spans="23:23">
      <c r="W5295" s="45"/>
    </row>
    <row r="5296" spans="23:23">
      <c r="W5296" s="45"/>
    </row>
    <row r="5297" spans="23:23">
      <c r="W5297" s="45"/>
    </row>
    <row r="5298" spans="23:23">
      <c r="W5298" s="45"/>
    </row>
    <row r="5299" spans="23:23">
      <c r="W5299" s="45"/>
    </row>
    <row r="5300" spans="23:23">
      <c r="W5300" s="45"/>
    </row>
    <row r="5301" spans="23:23">
      <c r="W5301" s="45"/>
    </row>
    <row r="5302" spans="23:23">
      <c r="W5302" s="45"/>
    </row>
    <row r="5303" spans="23:23">
      <c r="W5303" s="45"/>
    </row>
    <row r="5304" spans="23:23">
      <c r="W5304" s="45"/>
    </row>
    <row r="5305" spans="23:23">
      <c r="W5305" s="45"/>
    </row>
    <row r="5306" spans="23:23">
      <c r="W5306" s="45"/>
    </row>
    <row r="5307" spans="23:23">
      <c r="W5307" s="45"/>
    </row>
    <row r="5308" spans="23:23">
      <c r="W5308" s="45"/>
    </row>
    <row r="5309" spans="23:23">
      <c r="W5309" s="45"/>
    </row>
    <row r="5310" spans="23:23">
      <c r="W5310" s="45"/>
    </row>
    <row r="5311" spans="23:23">
      <c r="W5311" s="45"/>
    </row>
    <row r="5312" spans="23:23">
      <c r="W5312" s="45"/>
    </row>
    <row r="5313" spans="23:23">
      <c r="W5313" s="45"/>
    </row>
    <row r="5314" spans="23:23">
      <c r="W5314" s="45"/>
    </row>
    <row r="5315" spans="23:23">
      <c r="W5315" s="45"/>
    </row>
    <row r="5316" spans="23:23">
      <c r="W5316" s="45"/>
    </row>
    <row r="5317" spans="23:23">
      <c r="W5317" s="45"/>
    </row>
    <row r="5318" spans="23:23">
      <c r="W5318" s="45"/>
    </row>
    <row r="5319" spans="23:23">
      <c r="W5319" s="45"/>
    </row>
    <row r="5320" spans="23:23">
      <c r="W5320" s="45"/>
    </row>
    <row r="5321" spans="23:23">
      <c r="W5321" s="45"/>
    </row>
    <row r="5322" spans="23:23">
      <c r="W5322" s="45"/>
    </row>
    <row r="5323" spans="23:23">
      <c r="W5323" s="45"/>
    </row>
    <row r="5324" spans="23:23">
      <c r="W5324" s="45"/>
    </row>
    <row r="5325" spans="23:23">
      <c r="W5325" s="45"/>
    </row>
    <row r="5326" spans="23:23">
      <c r="W5326" s="45"/>
    </row>
    <row r="5327" spans="23:23">
      <c r="W5327" s="45"/>
    </row>
    <row r="5328" spans="23:23">
      <c r="W5328" s="45"/>
    </row>
    <row r="5329" spans="23:23">
      <c r="W5329" s="45"/>
    </row>
    <row r="5330" spans="23:23">
      <c r="W5330" s="45"/>
    </row>
    <row r="5331" spans="23:23">
      <c r="W5331" s="45"/>
    </row>
    <row r="5332" spans="23:23">
      <c r="W5332" s="45"/>
    </row>
    <row r="5333" spans="23:23">
      <c r="W5333" s="45"/>
    </row>
    <row r="5334" spans="23:23">
      <c r="W5334" s="45"/>
    </row>
    <row r="5335" spans="23:23">
      <c r="W5335" s="45"/>
    </row>
    <row r="5336" spans="23:23">
      <c r="W5336" s="45"/>
    </row>
    <row r="5337" spans="23:23">
      <c r="W5337" s="45"/>
    </row>
    <row r="5338" spans="23:23">
      <c r="W5338" s="45"/>
    </row>
    <row r="5339" spans="23:23">
      <c r="W5339" s="45"/>
    </row>
    <row r="5340" spans="23:23">
      <c r="W5340" s="45"/>
    </row>
    <row r="5341" spans="23:23">
      <c r="W5341" s="45"/>
    </row>
    <row r="5342" spans="23:23">
      <c r="W5342" s="45"/>
    </row>
    <row r="5343" spans="23:23">
      <c r="W5343" s="45"/>
    </row>
    <row r="5344" spans="23:23">
      <c r="W5344" s="45"/>
    </row>
    <row r="5345" spans="23:23">
      <c r="W5345" s="45"/>
    </row>
    <row r="5346" spans="23:23">
      <c r="W5346" s="45"/>
    </row>
    <row r="5347" spans="23:23">
      <c r="W5347" s="45"/>
    </row>
    <row r="5348" spans="23:23">
      <c r="W5348" s="45"/>
    </row>
    <row r="5349" spans="23:23">
      <c r="W5349" s="45"/>
    </row>
    <row r="5350" spans="23:23">
      <c r="W5350" s="45"/>
    </row>
    <row r="5351" spans="23:23">
      <c r="W5351" s="45"/>
    </row>
    <row r="5352" spans="23:23">
      <c r="W5352" s="45"/>
    </row>
    <row r="5353" spans="23:23">
      <c r="W5353" s="45"/>
    </row>
    <row r="5354" spans="23:23">
      <c r="W5354" s="45"/>
    </row>
    <row r="5355" spans="23:23">
      <c r="W5355" s="45"/>
    </row>
    <row r="5356" spans="23:23">
      <c r="W5356" s="45"/>
    </row>
    <row r="5357" spans="23:23">
      <c r="W5357" s="45"/>
    </row>
    <row r="5358" spans="23:23">
      <c r="W5358" s="45"/>
    </row>
    <row r="5359" spans="23:23">
      <c r="W5359" s="45"/>
    </row>
    <row r="5360" spans="23:23">
      <c r="W5360" s="45"/>
    </row>
    <row r="5361" spans="23:23">
      <c r="W5361" s="45"/>
    </row>
    <row r="5362" spans="23:23">
      <c r="W5362" s="45"/>
    </row>
    <row r="5363" spans="23:23">
      <c r="W5363" s="45"/>
    </row>
    <row r="5364" spans="23:23">
      <c r="W5364" s="45"/>
    </row>
    <row r="5365" spans="23:23">
      <c r="W5365" s="45"/>
    </row>
    <row r="5366" spans="23:23">
      <c r="W5366" s="45"/>
    </row>
    <row r="5367" spans="23:23">
      <c r="W5367" s="45"/>
    </row>
    <row r="5368" spans="23:23">
      <c r="W5368" s="45"/>
    </row>
    <row r="5369" spans="23:23">
      <c r="W5369" s="45"/>
    </row>
    <row r="5370" spans="23:23">
      <c r="W5370" s="45"/>
    </row>
    <row r="5371" spans="23:23">
      <c r="W5371" s="45"/>
    </row>
    <row r="5372" spans="23:23">
      <c r="W5372" s="45"/>
    </row>
    <row r="5373" spans="23:23">
      <c r="W5373" s="45"/>
    </row>
    <row r="5374" spans="23:23">
      <c r="W5374" s="45"/>
    </row>
    <row r="5375" spans="23:23">
      <c r="W5375" s="45"/>
    </row>
    <row r="5376" spans="23:23">
      <c r="W5376" s="45"/>
    </row>
    <row r="5377" spans="23:23">
      <c r="W5377" s="45"/>
    </row>
    <row r="5378" spans="23:23">
      <c r="W5378" s="45"/>
    </row>
    <row r="5379" spans="23:23">
      <c r="W5379" s="45"/>
    </row>
    <row r="5380" spans="23:23">
      <c r="W5380" s="45"/>
    </row>
    <row r="5381" spans="23:23">
      <c r="W5381" s="45"/>
    </row>
    <row r="5382" spans="23:23">
      <c r="W5382" s="45"/>
    </row>
    <row r="5383" spans="23:23">
      <c r="W5383" s="45"/>
    </row>
    <row r="5384" spans="23:23">
      <c r="W5384" s="45"/>
    </row>
    <row r="5385" spans="23:23">
      <c r="W5385" s="45"/>
    </row>
    <row r="5386" spans="23:23">
      <c r="W5386" s="45"/>
    </row>
    <row r="5387" spans="23:23">
      <c r="W5387" s="45"/>
    </row>
    <row r="5388" spans="23:23">
      <c r="W5388" s="45"/>
    </row>
    <row r="5389" spans="23:23">
      <c r="W5389" s="45"/>
    </row>
    <row r="5390" spans="23:23">
      <c r="W5390" s="45"/>
    </row>
    <row r="5391" spans="23:23">
      <c r="W5391" s="45"/>
    </row>
    <row r="5392" spans="23:23">
      <c r="W5392" s="45"/>
    </row>
    <row r="5393" spans="23:23">
      <c r="W5393" s="45"/>
    </row>
    <row r="5394" spans="23:23">
      <c r="W5394" s="45"/>
    </row>
    <row r="5395" spans="23:23">
      <c r="W5395" s="45"/>
    </row>
    <row r="5396" spans="23:23">
      <c r="W5396" s="45"/>
    </row>
    <row r="5397" spans="23:23">
      <c r="W5397" s="45"/>
    </row>
    <row r="5398" spans="23:23">
      <c r="W5398" s="45"/>
    </row>
    <row r="5399" spans="23:23">
      <c r="W5399" s="45"/>
    </row>
    <row r="5400" spans="23:23">
      <c r="W5400" s="45"/>
    </row>
    <row r="5401" spans="23:23">
      <c r="W5401" s="45"/>
    </row>
    <row r="5402" spans="23:23">
      <c r="W5402" s="45"/>
    </row>
    <row r="5403" spans="23:23">
      <c r="W5403" s="45"/>
    </row>
    <row r="5404" spans="23:23">
      <c r="W5404" s="45"/>
    </row>
    <row r="5405" spans="23:23">
      <c r="W5405" s="45"/>
    </row>
    <row r="5406" spans="23:23">
      <c r="W5406" s="45"/>
    </row>
    <row r="5407" spans="23:23">
      <c r="W5407" s="45"/>
    </row>
    <row r="5408" spans="23:23">
      <c r="W5408" s="45"/>
    </row>
    <row r="5409" spans="23:23">
      <c r="W5409" s="45"/>
    </row>
    <row r="5410" spans="23:23">
      <c r="W5410" s="45"/>
    </row>
    <row r="5411" spans="23:23">
      <c r="W5411" s="45"/>
    </row>
    <row r="5412" spans="23:23">
      <c r="W5412" s="45"/>
    </row>
    <row r="5413" spans="23:23">
      <c r="W5413" s="45"/>
    </row>
    <row r="5414" spans="23:23">
      <c r="W5414" s="45"/>
    </row>
    <row r="5415" spans="23:23">
      <c r="W5415" s="45"/>
    </row>
    <row r="5416" spans="23:23">
      <c r="W5416" s="45"/>
    </row>
    <row r="5417" spans="23:23">
      <c r="W5417" s="45"/>
    </row>
    <row r="5418" spans="23:23">
      <c r="W5418" s="45"/>
    </row>
    <row r="5419" spans="23:23">
      <c r="W5419" s="45"/>
    </row>
    <row r="5420" spans="23:23">
      <c r="W5420" s="45"/>
    </row>
    <row r="5421" spans="23:23">
      <c r="W5421" s="45"/>
    </row>
    <row r="5422" spans="23:23">
      <c r="W5422" s="45"/>
    </row>
    <row r="5423" spans="23:23">
      <c r="W5423" s="45"/>
    </row>
    <row r="5424" spans="23:23">
      <c r="W5424" s="45"/>
    </row>
    <row r="5425" spans="23:23">
      <c r="W5425" s="45"/>
    </row>
    <row r="5426" spans="23:23">
      <c r="W5426" s="45"/>
    </row>
    <row r="5427" spans="23:23">
      <c r="W5427" s="45"/>
    </row>
    <row r="5428" spans="23:23">
      <c r="W5428" s="45"/>
    </row>
    <row r="5429" spans="23:23">
      <c r="W5429" s="45"/>
    </row>
    <row r="5430" spans="23:23">
      <c r="W5430" s="45"/>
    </row>
    <row r="5431" spans="23:23">
      <c r="W5431" s="45"/>
    </row>
    <row r="5432" spans="23:23">
      <c r="W5432" s="45"/>
    </row>
    <row r="5433" spans="23:23">
      <c r="W5433" s="45"/>
    </row>
    <row r="5434" spans="23:23">
      <c r="W5434" s="45"/>
    </row>
    <row r="5435" spans="23:23">
      <c r="W5435" s="45"/>
    </row>
    <row r="5436" spans="23:23">
      <c r="W5436" s="45"/>
    </row>
    <row r="5437" spans="23:23">
      <c r="W5437" s="45"/>
    </row>
    <row r="5438" spans="23:23">
      <c r="W5438" s="45"/>
    </row>
    <row r="5439" spans="23:23">
      <c r="W5439" s="45"/>
    </row>
    <row r="5440" spans="23:23">
      <c r="W5440" s="45"/>
    </row>
    <row r="5441" spans="23:23">
      <c r="W5441" s="45"/>
    </row>
    <row r="5442" spans="23:23">
      <c r="W5442" s="45"/>
    </row>
    <row r="5443" spans="23:23">
      <c r="W5443" s="45"/>
    </row>
    <row r="5444" spans="23:23">
      <c r="W5444" s="45"/>
    </row>
    <row r="5445" spans="23:23">
      <c r="W5445" s="45"/>
    </row>
    <row r="5446" spans="23:23">
      <c r="W5446" s="45"/>
    </row>
    <row r="5447" spans="23:23">
      <c r="W5447" s="45"/>
    </row>
    <row r="5448" spans="23:23">
      <c r="W5448" s="45"/>
    </row>
    <row r="5449" spans="23:23">
      <c r="W5449" s="45"/>
    </row>
    <row r="5450" spans="23:23">
      <c r="W5450" s="45"/>
    </row>
    <row r="5451" spans="23:23">
      <c r="W5451" s="45"/>
    </row>
    <row r="5452" spans="23:23">
      <c r="W5452" s="45"/>
    </row>
    <row r="5453" spans="23:23">
      <c r="W5453" s="45"/>
    </row>
    <row r="5454" spans="23:23">
      <c r="W5454" s="45"/>
    </row>
    <row r="5455" spans="23:23">
      <c r="W5455" s="45"/>
    </row>
    <row r="5456" spans="23:23">
      <c r="W5456" s="45"/>
    </row>
    <row r="5457" spans="23:23">
      <c r="W5457" s="45"/>
    </row>
    <row r="5458" spans="23:23">
      <c r="W5458" s="45"/>
    </row>
    <row r="5459" spans="23:23">
      <c r="W5459" s="45"/>
    </row>
    <row r="5460" spans="23:23">
      <c r="W5460" s="45"/>
    </row>
    <row r="5461" spans="23:23">
      <c r="W5461" s="45"/>
    </row>
    <row r="5462" spans="23:23">
      <c r="W5462" s="45"/>
    </row>
    <row r="5463" spans="23:23">
      <c r="W5463" s="45"/>
    </row>
    <row r="5464" spans="23:23">
      <c r="W5464" s="45"/>
    </row>
    <row r="5465" spans="23:23">
      <c r="W5465" s="45"/>
    </row>
    <row r="5466" spans="23:23">
      <c r="W5466" s="45"/>
    </row>
    <row r="5467" spans="23:23">
      <c r="W5467" s="45"/>
    </row>
    <row r="5468" spans="23:23">
      <c r="W5468" s="45"/>
    </row>
    <row r="5469" spans="23:23">
      <c r="W5469" s="45"/>
    </row>
    <row r="5470" spans="23:23">
      <c r="W5470" s="45"/>
    </row>
    <row r="5471" spans="23:23">
      <c r="W5471" s="45"/>
    </row>
    <row r="5472" spans="23:23">
      <c r="W5472" s="45"/>
    </row>
    <row r="5473" spans="23:23">
      <c r="W5473" s="45"/>
    </row>
    <row r="5474" spans="23:23">
      <c r="W5474" s="45"/>
    </row>
    <row r="5475" spans="23:23">
      <c r="W5475" s="45"/>
    </row>
    <row r="5476" spans="23:23">
      <c r="W5476" s="45"/>
    </row>
    <row r="5477" spans="23:23">
      <c r="W5477" s="45"/>
    </row>
    <row r="5478" spans="23:23">
      <c r="W5478" s="45"/>
    </row>
    <row r="5479" spans="23:23">
      <c r="W5479" s="45"/>
    </row>
    <row r="5480" spans="23:23">
      <c r="W5480" s="45"/>
    </row>
    <row r="5481" spans="23:23">
      <c r="W5481" s="45"/>
    </row>
    <row r="5482" spans="23:23">
      <c r="W5482" s="45"/>
    </row>
    <row r="5483" spans="23:23">
      <c r="W5483" s="45"/>
    </row>
    <row r="5484" spans="23:23">
      <c r="W5484" s="45"/>
    </row>
    <row r="5485" spans="23:23">
      <c r="W5485" s="45"/>
    </row>
    <row r="5486" spans="23:23">
      <c r="W5486" s="45"/>
    </row>
    <row r="5487" spans="23:23">
      <c r="W5487" s="45"/>
    </row>
    <row r="5488" spans="23:23">
      <c r="W5488" s="45"/>
    </row>
    <row r="5489" spans="23:23">
      <c r="W5489" s="45"/>
    </row>
    <row r="5490" spans="23:23">
      <c r="W5490" s="45"/>
    </row>
    <row r="5491" spans="23:23">
      <c r="W5491" s="45"/>
    </row>
    <row r="5492" spans="23:23">
      <c r="W5492" s="45"/>
    </row>
    <row r="5493" spans="23:23">
      <c r="W5493" s="45"/>
    </row>
    <row r="5494" spans="23:23">
      <c r="W5494" s="45"/>
    </row>
    <row r="5495" spans="23:23">
      <c r="W5495" s="45"/>
    </row>
    <row r="5496" spans="23:23">
      <c r="W5496" s="45"/>
    </row>
    <row r="5497" spans="23:23">
      <c r="W5497" s="45"/>
    </row>
    <row r="5498" spans="23:23">
      <c r="W5498" s="45"/>
    </row>
    <row r="5499" spans="23:23">
      <c r="W5499" s="45"/>
    </row>
    <row r="5500" spans="23:23">
      <c r="W5500" s="45"/>
    </row>
    <row r="5501" spans="23:23">
      <c r="W5501" s="45"/>
    </row>
    <row r="5502" spans="23:23">
      <c r="W5502" s="45"/>
    </row>
    <row r="5503" spans="23:23">
      <c r="W5503" s="45"/>
    </row>
    <row r="5504" spans="23:23">
      <c r="W5504" s="45"/>
    </row>
    <row r="5505" spans="23:23">
      <c r="W5505" s="45"/>
    </row>
    <row r="5506" spans="23:23">
      <c r="W5506" s="45"/>
    </row>
    <row r="5507" spans="23:23">
      <c r="W5507" s="45"/>
    </row>
    <row r="5508" spans="23:23">
      <c r="W5508" s="45"/>
    </row>
    <row r="5509" spans="23:23">
      <c r="W5509" s="45"/>
    </row>
    <row r="5510" spans="23:23">
      <c r="W5510" s="45"/>
    </row>
    <row r="5511" spans="23:23">
      <c r="W5511" s="45"/>
    </row>
    <row r="5512" spans="23:23">
      <c r="W5512" s="45"/>
    </row>
    <row r="5513" spans="23:23">
      <c r="W5513" s="45"/>
    </row>
    <row r="5514" spans="23:23">
      <c r="W5514" s="45"/>
    </row>
    <row r="5515" spans="23:23">
      <c r="W5515" s="45"/>
    </row>
    <row r="5516" spans="23:23">
      <c r="W5516" s="45"/>
    </row>
    <row r="5517" spans="23:23">
      <c r="W5517" s="45"/>
    </row>
    <row r="5518" spans="23:23">
      <c r="W5518" s="45"/>
    </row>
    <row r="5519" spans="23:23">
      <c r="W5519" s="45"/>
    </row>
    <row r="5520" spans="23:23">
      <c r="W5520" s="45"/>
    </row>
    <row r="5521" spans="23:23">
      <c r="W5521" s="45"/>
    </row>
    <row r="5522" spans="23:23">
      <c r="W5522" s="45"/>
    </row>
    <row r="5523" spans="23:23">
      <c r="W5523" s="45"/>
    </row>
    <row r="5524" spans="23:23">
      <c r="W5524" s="45"/>
    </row>
    <row r="5525" spans="23:23">
      <c r="W5525" s="45"/>
    </row>
    <row r="5526" spans="23:23">
      <c r="W5526" s="45"/>
    </row>
    <row r="5527" spans="23:23">
      <c r="W5527" s="45"/>
    </row>
    <row r="5528" spans="23:23">
      <c r="W5528" s="45"/>
    </row>
    <row r="5529" spans="23:23">
      <c r="W5529" s="45"/>
    </row>
    <row r="5530" spans="23:23">
      <c r="W5530" s="45"/>
    </row>
    <row r="5531" spans="23:23">
      <c r="W5531" s="45"/>
    </row>
    <row r="5532" spans="23:23">
      <c r="W5532" s="45"/>
    </row>
    <row r="5533" spans="23:23">
      <c r="W5533" s="45"/>
    </row>
    <row r="5534" spans="23:23">
      <c r="W5534" s="45"/>
    </row>
    <row r="5535" spans="23:23">
      <c r="W5535" s="45"/>
    </row>
    <row r="5536" spans="23:23">
      <c r="W5536" s="45"/>
    </row>
    <row r="5537" spans="23:23">
      <c r="W5537" s="45"/>
    </row>
    <row r="5538" spans="23:23">
      <c r="W5538" s="45"/>
    </row>
    <row r="5539" spans="23:23">
      <c r="W5539" s="45"/>
    </row>
    <row r="5540" spans="23:23">
      <c r="W5540" s="45"/>
    </row>
    <row r="5541" spans="23:23">
      <c r="W5541" s="45"/>
    </row>
    <row r="5542" spans="23:23">
      <c r="W5542" s="45"/>
    </row>
    <row r="5543" spans="23:23">
      <c r="W5543" s="45"/>
    </row>
    <row r="5544" spans="23:23">
      <c r="W5544" s="45"/>
    </row>
    <row r="5545" spans="23:23">
      <c r="W5545" s="45"/>
    </row>
    <row r="5546" spans="23:23">
      <c r="W5546" s="45"/>
    </row>
    <row r="5547" spans="23:23">
      <c r="W5547" s="45"/>
    </row>
    <row r="5548" spans="23:23">
      <c r="W5548" s="45"/>
    </row>
    <row r="5549" spans="23:23">
      <c r="W5549" s="45"/>
    </row>
    <row r="5550" spans="23:23">
      <c r="W5550" s="45"/>
    </row>
    <row r="5551" spans="23:23">
      <c r="W5551" s="45"/>
    </row>
    <row r="5552" spans="23:23">
      <c r="W5552" s="45"/>
    </row>
    <row r="5553" spans="23:23">
      <c r="W5553" s="45"/>
    </row>
    <row r="5554" spans="23:23">
      <c r="W5554" s="45"/>
    </row>
    <row r="5555" spans="23:23">
      <c r="W5555" s="45"/>
    </row>
    <row r="5556" spans="23:23">
      <c r="W5556" s="45"/>
    </row>
    <row r="5557" spans="23:23">
      <c r="W5557" s="45"/>
    </row>
    <row r="5558" spans="23:23">
      <c r="W5558" s="45"/>
    </row>
    <row r="5559" spans="23:23">
      <c r="W5559" s="45"/>
    </row>
    <row r="5560" spans="23:23">
      <c r="W5560" s="45"/>
    </row>
    <row r="5561" spans="23:23">
      <c r="W5561" s="45"/>
    </row>
    <row r="5562" spans="23:23">
      <c r="W5562" s="45"/>
    </row>
    <row r="5563" spans="23:23">
      <c r="W5563" s="45"/>
    </row>
    <row r="5564" spans="23:23">
      <c r="W5564" s="45"/>
    </row>
    <row r="5565" spans="23:23">
      <c r="W5565" s="45"/>
    </row>
    <row r="5566" spans="23:23">
      <c r="W5566" s="45"/>
    </row>
    <row r="5567" spans="23:23">
      <c r="W5567" s="45"/>
    </row>
    <row r="5568" spans="23:23">
      <c r="W5568" s="45"/>
    </row>
    <row r="5569" spans="23:23">
      <c r="W5569" s="45"/>
    </row>
    <row r="5570" spans="23:23">
      <c r="W5570" s="45"/>
    </row>
    <row r="5571" spans="23:23">
      <c r="W5571" s="45"/>
    </row>
    <row r="5572" spans="23:23">
      <c r="W5572" s="45"/>
    </row>
    <row r="5573" spans="23:23">
      <c r="W5573" s="45"/>
    </row>
    <row r="5574" spans="23:23">
      <c r="W5574" s="45"/>
    </row>
    <row r="5575" spans="23:23">
      <c r="W5575" s="45"/>
    </row>
    <row r="5576" spans="23:23">
      <c r="W5576" s="45"/>
    </row>
    <row r="5577" spans="23:23">
      <c r="W5577" s="45"/>
    </row>
    <row r="5578" spans="23:23">
      <c r="W5578" s="45"/>
    </row>
    <row r="5579" spans="23:23">
      <c r="W5579" s="45"/>
    </row>
    <row r="5580" spans="23:23">
      <c r="W5580" s="45"/>
    </row>
    <row r="5581" spans="23:23">
      <c r="W5581" s="45"/>
    </row>
    <row r="5582" spans="23:23">
      <c r="W5582" s="45"/>
    </row>
    <row r="5583" spans="23:23">
      <c r="W5583" s="45"/>
    </row>
    <row r="5584" spans="23:23">
      <c r="W5584" s="45"/>
    </row>
    <row r="5585" spans="23:23">
      <c r="W5585" s="45"/>
    </row>
    <row r="5586" spans="23:23">
      <c r="W5586" s="45"/>
    </row>
    <row r="5587" spans="23:23">
      <c r="W5587" s="45"/>
    </row>
    <row r="5588" spans="23:23">
      <c r="W5588" s="45"/>
    </row>
    <row r="5589" spans="23:23">
      <c r="W5589" s="45"/>
    </row>
    <row r="5590" spans="23:23">
      <c r="W5590" s="45"/>
    </row>
    <row r="5591" spans="23:23">
      <c r="W5591" s="45"/>
    </row>
    <row r="5592" spans="23:23">
      <c r="W5592" s="45"/>
    </row>
    <row r="5593" spans="23:23">
      <c r="W5593" s="45"/>
    </row>
    <row r="5594" spans="23:23">
      <c r="W5594" s="45"/>
    </row>
    <row r="5595" spans="23:23">
      <c r="W5595" s="45"/>
    </row>
    <row r="5596" spans="23:23">
      <c r="W5596" s="45"/>
    </row>
    <row r="5597" spans="23:23">
      <c r="W5597" s="45"/>
    </row>
    <row r="5598" spans="23:23">
      <c r="W5598" s="45"/>
    </row>
    <row r="5599" spans="23:23">
      <c r="W5599" s="45"/>
    </row>
    <row r="5600" spans="23:23">
      <c r="W5600" s="45"/>
    </row>
    <row r="5601" spans="23:23">
      <c r="W5601" s="45"/>
    </row>
    <row r="5602" spans="23:23">
      <c r="W5602" s="45"/>
    </row>
    <row r="5603" spans="23:23">
      <c r="W5603" s="45"/>
    </row>
    <row r="5604" spans="23:23">
      <c r="W5604" s="45"/>
    </row>
    <row r="5605" spans="23:23">
      <c r="W5605" s="45"/>
    </row>
    <row r="5606" spans="23:23">
      <c r="W5606" s="45"/>
    </row>
    <row r="5607" spans="23:23">
      <c r="W5607" s="45"/>
    </row>
    <row r="5608" spans="23:23">
      <c r="W5608" s="45"/>
    </row>
    <row r="5609" spans="23:23">
      <c r="W5609" s="45"/>
    </row>
    <row r="5610" spans="23:23">
      <c r="W5610" s="45"/>
    </row>
    <row r="5611" spans="23:23">
      <c r="W5611" s="45"/>
    </row>
    <row r="5612" spans="23:23">
      <c r="W5612" s="45"/>
    </row>
    <row r="5613" spans="23:23">
      <c r="W5613" s="45"/>
    </row>
    <row r="5614" spans="23:23">
      <c r="W5614" s="45"/>
    </row>
    <row r="5615" spans="23:23">
      <c r="W5615" s="45"/>
    </row>
    <row r="5616" spans="23:23">
      <c r="W5616" s="45"/>
    </row>
    <row r="5617" spans="23:23">
      <c r="W5617" s="45"/>
    </row>
    <row r="5618" spans="23:23">
      <c r="W5618" s="45"/>
    </row>
    <row r="5619" spans="23:23">
      <c r="W5619" s="45"/>
    </row>
    <row r="5620" spans="23:23">
      <c r="W5620" s="45"/>
    </row>
    <row r="5621" spans="23:23">
      <c r="W5621" s="45"/>
    </row>
    <row r="5622" spans="23:23">
      <c r="W5622" s="45"/>
    </row>
    <row r="5623" spans="23:23">
      <c r="W5623" s="45"/>
    </row>
    <row r="5624" spans="23:23">
      <c r="W5624" s="45"/>
    </row>
    <row r="5625" spans="23:23">
      <c r="W5625" s="45"/>
    </row>
    <row r="5626" spans="23:23">
      <c r="W5626" s="45"/>
    </row>
    <row r="5627" spans="23:23">
      <c r="W5627" s="45"/>
    </row>
    <row r="5628" spans="23:23">
      <c r="W5628" s="45"/>
    </row>
    <row r="5629" spans="23:23">
      <c r="W5629" s="45"/>
    </row>
    <row r="5630" spans="23:23">
      <c r="W5630" s="45"/>
    </row>
    <row r="5631" spans="23:23">
      <c r="W5631" s="45"/>
    </row>
    <row r="5632" spans="23:23">
      <c r="W5632" s="45"/>
    </row>
    <row r="5633" spans="23:23">
      <c r="W5633" s="45"/>
    </row>
    <row r="5634" spans="23:23">
      <c r="W5634" s="45"/>
    </row>
    <row r="5635" spans="23:23">
      <c r="W5635" s="45"/>
    </row>
    <row r="5636" spans="23:23">
      <c r="W5636" s="45"/>
    </row>
    <row r="5637" spans="23:23">
      <c r="W5637" s="45"/>
    </row>
    <row r="5638" spans="23:23">
      <c r="W5638" s="45"/>
    </row>
    <row r="5639" spans="23:23">
      <c r="W5639" s="45"/>
    </row>
    <row r="5640" spans="23:23">
      <c r="W5640" s="45"/>
    </row>
    <row r="5641" spans="23:23">
      <c r="W5641" s="45"/>
    </row>
    <row r="5642" spans="23:23">
      <c r="W5642" s="45"/>
    </row>
    <row r="5643" spans="23:23">
      <c r="W5643" s="45"/>
    </row>
    <row r="5644" spans="23:23">
      <c r="W5644" s="45"/>
    </row>
    <row r="5645" spans="23:23">
      <c r="W5645" s="45"/>
    </row>
    <row r="5646" spans="23:23">
      <c r="W5646" s="45"/>
    </row>
    <row r="5647" spans="23:23">
      <c r="W5647" s="45"/>
    </row>
    <row r="5648" spans="23:23">
      <c r="W5648" s="45"/>
    </row>
    <row r="5649" spans="23:23">
      <c r="W5649" s="45"/>
    </row>
    <row r="5650" spans="23:23">
      <c r="W5650" s="45"/>
    </row>
    <row r="5651" spans="23:23">
      <c r="W5651" s="45"/>
    </row>
    <row r="5652" spans="23:23">
      <c r="W5652" s="45"/>
    </row>
    <row r="5653" spans="23:23">
      <c r="W5653" s="45"/>
    </row>
    <row r="5654" spans="23:23">
      <c r="W5654" s="45"/>
    </row>
    <row r="5655" spans="23:23">
      <c r="W5655" s="45"/>
    </row>
    <row r="5656" spans="23:23">
      <c r="W5656" s="45"/>
    </row>
    <row r="5657" spans="23:23">
      <c r="W5657" s="45"/>
    </row>
    <row r="5658" spans="23:23">
      <c r="W5658" s="45"/>
    </row>
    <row r="5659" spans="23:23">
      <c r="W5659" s="45"/>
    </row>
    <row r="5660" spans="23:23">
      <c r="W5660" s="45"/>
    </row>
    <row r="5661" spans="23:23">
      <c r="W5661" s="45"/>
    </row>
    <row r="5662" spans="23:23">
      <c r="W5662" s="45"/>
    </row>
    <row r="5663" spans="23:23">
      <c r="W5663" s="45"/>
    </row>
    <row r="5664" spans="23:23">
      <c r="W5664" s="45"/>
    </row>
    <row r="5665" spans="23:23">
      <c r="W5665" s="45"/>
    </row>
    <row r="5666" spans="23:23">
      <c r="W5666" s="45"/>
    </row>
    <row r="5667" spans="23:23">
      <c r="W5667" s="45"/>
    </row>
    <row r="5668" spans="23:23">
      <c r="W5668" s="45"/>
    </row>
    <row r="5669" spans="23:23">
      <c r="W5669" s="45"/>
    </row>
    <row r="5670" spans="23:23">
      <c r="W5670" s="45"/>
    </row>
    <row r="5671" spans="23:23">
      <c r="W5671" s="45"/>
    </row>
    <row r="5672" spans="23:23">
      <c r="W5672" s="45"/>
    </row>
    <row r="5673" spans="23:23">
      <c r="W5673" s="45"/>
    </row>
    <row r="5674" spans="23:23">
      <c r="W5674" s="45"/>
    </row>
    <row r="5675" spans="23:23">
      <c r="W5675" s="45"/>
    </row>
    <row r="5676" spans="23:23">
      <c r="W5676" s="45"/>
    </row>
    <row r="5677" spans="23:23">
      <c r="W5677" s="45"/>
    </row>
    <row r="5678" spans="23:23">
      <c r="W5678" s="45"/>
    </row>
    <row r="5679" spans="23:23">
      <c r="W5679" s="45"/>
    </row>
    <row r="5680" spans="23:23">
      <c r="W5680" s="45"/>
    </row>
    <row r="5681" spans="23:23">
      <c r="W5681" s="45"/>
    </row>
    <row r="5682" spans="23:23">
      <c r="W5682" s="45"/>
    </row>
    <row r="5683" spans="23:23">
      <c r="W5683" s="45"/>
    </row>
    <row r="5684" spans="23:23">
      <c r="W5684" s="45"/>
    </row>
    <row r="5685" spans="23:23">
      <c r="W5685" s="45"/>
    </row>
    <row r="5686" spans="23:23">
      <c r="W5686" s="45"/>
    </row>
    <row r="5687" spans="23:23">
      <c r="W5687" s="45"/>
    </row>
    <row r="5688" spans="23:23">
      <c r="W5688" s="45"/>
    </row>
    <row r="5689" spans="23:23">
      <c r="W5689" s="45"/>
    </row>
    <row r="5690" spans="23:23">
      <c r="W5690" s="45"/>
    </row>
    <row r="5691" spans="23:23">
      <c r="W5691" s="45"/>
    </row>
    <row r="5692" spans="23:23">
      <c r="W5692" s="45"/>
    </row>
    <row r="5693" spans="23:23">
      <c r="W5693" s="45"/>
    </row>
    <row r="5694" spans="23:23">
      <c r="W5694" s="45"/>
    </row>
    <row r="5695" spans="23:23">
      <c r="W5695" s="45"/>
    </row>
    <row r="5696" spans="23:23">
      <c r="W5696" s="45"/>
    </row>
    <row r="5697" spans="23:23">
      <c r="W5697" s="45"/>
    </row>
    <row r="5698" spans="23:23">
      <c r="W5698" s="45"/>
    </row>
    <row r="5699" spans="23:23">
      <c r="W5699" s="45"/>
    </row>
    <row r="5700" spans="23:23">
      <c r="W5700" s="45"/>
    </row>
    <row r="5701" spans="23:23">
      <c r="W5701" s="45"/>
    </row>
    <row r="5702" spans="23:23">
      <c r="W5702" s="45"/>
    </row>
    <row r="5703" spans="23:23">
      <c r="W5703" s="45"/>
    </row>
    <row r="5704" spans="23:23">
      <c r="W5704" s="45"/>
    </row>
    <row r="5705" spans="23:23">
      <c r="W5705" s="45"/>
    </row>
    <row r="5706" spans="23:23">
      <c r="W5706" s="45"/>
    </row>
    <row r="5707" spans="23:23">
      <c r="W5707" s="45"/>
    </row>
    <row r="5708" spans="23:23">
      <c r="W5708" s="45"/>
    </row>
    <row r="5709" spans="23:23">
      <c r="W5709" s="45"/>
    </row>
    <row r="5710" spans="23:23">
      <c r="W5710" s="45"/>
    </row>
    <row r="5711" spans="23:23">
      <c r="W5711" s="45"/>
    </row>
    <row r="5712" spans="23:23">
      <c r="W5712" s="45"/>
    </row>
    <row r="5713" spans="23:23">
      <c r="W5713" s="45"/>
    </row>
    <row r="5714" spans="23:23">
      <c r="W5714" s="45"/>
    </row>
    <row r="5715" spans="23:23">
      <c r="W5715" s="45"/>
    </row>
    <row r="5716" spans="23:23">
      <c r="W5716" s="45"/>
    </row>
    <row r="5717" spans="23:23">
      <c r="W5717" s="45"/>
    </row>
    <row r="5718" spans="23:23">
      <c r="W5718" s="45"/>
    </row>
    <row r="5719" spans="23:23">
      <c r="W5719" s="45"/>
    </row>
    <row r="5720" spans="23:23">
      <c r="W5720" s="45"/>
    </row>
    <row r="5721" spans="23:23">
      <c r="W5721" s="45"/>
    </row>
    <row r="5722" spans="23:23">
      <c r="W5722" s="45"/>
    </row>
    <row r="5723" spans="23:23">
      <c r="W5723" s="45"/>
    </row>
    <row r="5724" spans="23:23">
      <c r="W5724" s="45"/>
    </row>
    <row r="5725" spans="23:23">
      <c r="W5725" s="45"/>
    </row>
    <row r="5726" spans="23:23">
      <c r="W5726" s="45"/>
    </row>
    <row r="5727" spans="23:23">
      <c r="W5727" s="45"/>
    </row>
    <row r="5728" spans="23:23">
      <c r="W5728" s="45"/>
    </row>
    <row r="5729" spans="23:23">
      <c r="W5729" s="45"/>
    </row>
    <row r="5730" spans="23:23">
      <c r="W5730" s="45"/>
    </row>
    <row r="5731" spans="23:23">
      <c r="W5731" s="45"/>
    </row>
    <row r="5732" spans="23:23">
      <c r="W5732" s="45"/>
    </row>
    <row r="5733" spans="23:23">
      <c r="W5733" s="45"/>
    </row>
    <row r="5734" spans="23:23">
      <c r="W5734" s="45"/>
    </row>
    <row r="5735" spans="23:23">
      <c r="W5735" s="45"/>
    </row>
    <row r="5736" spans="23:23">
      <c r="W5736" s="45"/>
    </row>
    <row r="5737" spans="23:23">
      <c r="W5737" s="45"/>
    </row>
    <row r="5738" spans="23:23">
      <c r="W5738" s="45"/>
    </row>
    <row r="5739" spans="23:23">
      <c r="W5739" s="45"/>
    </row>
    <row r="5740" spans="23:23">
      <c r="W5740" s="45"/>
    </row>
    <row r="5741" spans="23:23">
      <c r="W5741" s="45"/>
    </row>
    <row r="5742" spans="23:23">
      <c r="W5742" s="45"/>
    </row>
    <row r="5743" spans="23:23">
      <c r="W5743" s="45"/>
    </row>
    <row r="5744" spans="23:23">
      <c r="W5744" s="45"/>
    </row>
    <row r="5745" spans="23:23">
      <c r="W5745" s="45"/>
    </row>
    <row r="5746" spans="23:23">
      <c r="W5746" s="45"/>
    </row>
    <row r="5747" spans="23:23">
      <c r="W5747" s="45"/>
    </row>
    <row r="5748" spans="23:23">
      <c r="W5748" s="45"/>
    </row>
    <row r="5749" spans="23:23">
      <c r="W5749" s="45"/>
    </row>
    <row r="5750" spans="23:23">
      <c r="W5750" s="45"/>
    </row>
    <row r="5751" spans="23:23">
      <c r="W5751" s="45"/>
    </row>
    <row r="5752" spans="23:23">
      <c r="W5752" s="45"/>
    </row>
    <row r="5753" spans="23:23">
      <c r="W5753" s="45"/>
    </row>
    <row r="5754" spans="23:23">
      <c r="W5754" s="45"/>
    </row>
    <row r="5755" spans="23:23">
      <c r="W5755" s="45"/>
    </row>
    <row r="5756" spans="23:23">
      <c r="W5756" s="45"/>
    </row>
    <row r="5757" spans="23:23">
      <c r="W5757" s="45"/>
    </row>
    <row r="5758" spans="23:23">
      <c r="W5758" s="45"/>
    </row>
    <row r="5759" spans="23:23">
      <c r="W5759" s="45"/>
    </row>
    <row r="5760" spans="23:23">
      <c r="W5760" s="45"/>
    </row>
    <row r="5761" spans="23:23">
      <c r="W5761" s="45"/>
    </row>
    <row r="5762" spans="23:23">
      <c r="W5762" s="45"/>
    </row>
    <row r="5763" spans="23:23">
      <c r="W5763" s="45"/>
    </row>
    <row r="5764" spans="23:23">
      <c r="W5764" s="45"/>
    </row>
    <row r="5765" spans="23:23">
      <c r="W5765" s="45"/>
    </row>
    <row r="5766" spans="23:23">
      <c r="W5766" s="45"/>
    </row>
    <row r="5767" spans="23:23">
      <c r="W5767" s="45"/>
    </row>
    <row r="5768" spans="23:23">
      <c r="W5768" s="45"/>
    </row>
    <row r="5769" spans="23:23">
      <c r="W5769" s="45"/>
    </row>
    <row r="5770" spans="23:23">
      <c r="W5770" s="45"/>
    </row>
    <row r="5771" spans="23:23">
      <c r="W5771" s="45"/>
    </row>
    <row r="5772" spans="23:23">
      <c r="W5772" s="45"/>
    </row>
    <row r="5773" spans="23:23">
      <c r="W5773" s="45"/>
    </row>
    <row r="5774" spans="23:23">
      <c r="W5774" s="45"/>
    </row>
    <row r="5775" spans="23:23">
      <c r="W5775" s="45"/>
    </row>
    <row r="5776" spans="23:23">
      <c r="W5776" s="45"/>
    </row>
    <row r="5777" spans="23:23">
      <c r="W5777" s="45"/>
    </row>
    <row r="5778" spans="23:23">
      <c r="W5778" s="45"/>
    </row>
    <row r="5779" spans="23:23">
      <c r="W5779" s="45"/>
    </row>
    <row r="5780" spans="23:23">
      <c r="W5780" s="45"/>
    </row>
    <row r="5781" spans="23:23">
      <c r="W5781" s="45"/>
    </row>
    <row r="5782" spans="23:23">
      <c r="W5782" s="45"/>
    </row>
    <row r="5783" spans="23:23">
      <c r="W5783" s="45"/>
    </row>
    <row r="5784" spans="23:23">
      <c r="W5784" s="45"/>
    </row>
    <row r="5785" spans="23:23">
      <c r="W5785" s="45"/>
    </row>
    <row r="5786" spans="23:23">
      <c r="W5786" s="45"/>
    </row>
    <row r="5787" spans="23:23">
      <c r="W5787" s="45"/>
    </row>
    <row r="5788" spans="23:23">
      <c r="W5788" s="45"/>
    </row>
    <row r="5789" spans="23:23">
      <c r="W5789" s="45"/>
    </row>
    <row r="5790" spans="23:23">
      <c r="W5790" s="45"/>
    </row>
    <row r="5791" spans="23:23">
      <c r="W5791" s="45"/>
    </row>
    <row r="5792" spans="23:23">
      <c r="W5792" s="45"/>
    </row>
    <row r="5793" spans="23:23">
      <c r="W5793" s="45"/>
    </row>
    <row r="5794" spans="23:23">
      <c r="W5794" s="45"/>
    </row>
    <row r="5795" spans="23:23">
      <c r="W5795" s="45"/>
    </row>
    <row r="5796" spans="23:23">
      <c r="W5796" s="45"/>
    </row>
    <row r="5797" spans="23:23">
      <c r="W5797" s="45"/>
    </row>
    <row r="5798" spans="23:23">
      <c r="W5798" s="45"/>
    </row>
    <row r="5799" spans="23:23">
      <c r="W5799" s="45"/>
    </row>
    <row r="5800" spans="23:23">
      <c r="W5800" s="45"/>
    </row>
    <row r="5801" spans="23:23">
      <c r="W5801" s="45"/>
    </row>
    <row r="5802" spans="23:23">
      <c r="W5802" s="45"/>
    </row>
    <row r="5803" spans="23:23">
      <c r="W5803" s="45"/>
    </row>
    <row r="5804" spans="23:23">
      <c r="W5804" s="45"/>
    </row>
    <row r="5805" spans="23:23">
      <c r="W5805" s="45"/>
    </row>
    <row r="5806" spans="23:23">
      <c r="W5806" s="45"/>
    </row>
    <row r="5807" spans="23:23">
      <c r="W5807" s="45"/>
    </row>
    <row r="5808" spans="23:23">
      <c r="W5808" s="45"/>
    </row>
    <row r="5809" spans="23:23">
      <c r="W5809" s="45"/>
    </row>
    <row r="5810" spans="23:23">
      <c r="W5810" s="45"/>
    </row>
    <row r="5811" spans="23:23">
      <c r="W5811" s="45"/>
    </row>
    <row r="5812" spans="23:23">
      <c r="W5812" s="45"/>
    </row>
    <row r="5813" spans="23:23">
      <c r="W5813" s="45"/>
    </row>
    <row r="5814" spans="23:23">
      <c r="W5814" s="45"/>
    </row>
    <row r="5815" spans="23:23">
      <c r="W5815" s="45"/>
    </row>
    <row r="5816" spans="23:23">
      <c r="W5816" s="45"/>
    </row>
    <row r="5817" spans="23:23">
      <c r="W5817" s="45"/>
    </row>
    <row r="5818" spans="23:23">
      <c r="W5818" s="45"/>
    </row>
    <row r="5819" spans="23:23">
      <c r="W5819" s="45"/>
    </row>
    <row r="5820" spans="23:23">
      <c r="W5820" s="45"/>
    </row>
    <row r="5821" spans="23:23">
      <c r="W5821" s="45"/>
    </row>
    <row r="5822" spans="23:23">
      <c r="W5822" s="45"/>
    </row>
    <row r="5823" spans="23:23">
      <c r="W5823" s="45"/>
    </row>
    <row r="5824" spans="23:23">
      <c r="W5824" s="45"/>
    </row>
    <row r="5825" spans="23:23">
      <c r="W5825" s="45"/>
    </row>
    <row r="5826" spans="23:23">
      <c r="W5826" s="45"/>
    </row>
    <row r="5827" spans="23:23">
      <c r="W5827" s="45"/>
    </row>
    <row r="5828" spans="23:23">
      <c r="W5828" s="45"/>
    </row>
    <row r="5829" spans="23:23">
      <c r="W5829" s="45"/>
    </row>
    <row r="5830" spans="23:23">
      <c r="W5830" s="45"/>
    </row>
    <row r="5831" spans="23:23">
      <c r="W5831" s="45"/>
    </row>
    <row r="5832" spans="23:23">
      <c r="W5832" s="45"/>
    </row>
    <row r="5833" spans="23:23">
      <c r="W5833" s="45"/>
    </row>
    <row r="5834" spans="23:23">
      <c r="W5834" s="45"/>
    </row>
    <row r="5835" spans="23:23">
      <c r="W5835" s="45"/>
    </row>
    <row r="5836" spans="23:23">
      <c r="W5836" s="45"/>
    </row>
    <row r="5837" spans="23:23">
      <c r="W5837" s="45"/>
    </row>
    <row r="5838" spans="23:23">
      <c r="W5838" s="45"/>
    </row>
    <row r="5839" spans="23:23">
      <c r="W5839" s="45"/>
    </row>
    <row r="5840" spans="23:23">
      <c r="W5840" s="45"/>
    </row>
    <row r="5841" spans="23:23">
      <c r="W5841" s="45"/>
    </row>
    <row r="5842" spans="23:23">
      <c r="W5842" s="45"/>
    </row>
    <row r="5843" spans="23:23">
      <c r="W5843" s="45"/>
    </row>
    <row r="5844" spans="23:23">
      <c r="W5844" s="45"/>
    </row>
    <row r="5845" spans="23:23">
      <c r="W5845" s="45"/>
    </row>
    <row r="5846" spans="23:23">
      <c r="W5846" s="45"/>
    </row>
    <row r="5847" spans="23:23">
      <c r="W5847" s="45"/>
    </row>
    <row r="5848" spans="23:23">
      <c r="W5848" s="45"/>
    </row>
    <row r="5849" spans="23:23">
      <c r="W5849" s="45"/>
    </row>
    <row r="5850" spans="23:23">
      <c r="W5850" s="45"/>
    </row>
    <row r="5851" spans="23:23">
      <c r="W5851" s="45"/>
    </row>
    <row r="5852" spans="23:23">
      <c r="W5852" s="45"/>
    </row>
    <row r="5853" spans="23:23">
      <c r="W5853" s="45"/>
    </row>
    <row r="5854" spans="23:23">
      <c r="W5854" s="45"/>
    </row>
    <row r="5855" spans="23:23">
      <c r="W5855" s="45"/>
    </row>
    <row r="5856" spans="23:23">
      <c r="W5856" s="45"/>
    </row>
    <row r="5857" spans="23:23">
      <c r="W5857" s="45"/>
    </row>
    <row r="5858" spans="23:23">
      <c r="W5858" s="45"/>
    </row>
    <row r="5859" spans="23:23">
      <c r="W5859" s="45"/>
    </row>
    <row r="5860" spans="23:23">
      <c r="W5860" s="45"/>
    </row>
    <row r="5861" spans="23:23">
      <c r="W5861" s="45"/>
    </row>
    <row r="5862" spans="23:23">
      <c r="W5862" s="45"/>
    </row>
    <row r="5863" spans="23:23">
      <c r="W5863" s="45"/>
    </row>
    <row r="5864" spans="23:23">
      <c r="W5864" s="45"/>
    </row>
    <row r="5865" spans="23:23">
      <c r="W5865" s="45"/>
    </row>
    <row r="5866" spans="23:23">
      <c r="W5866" s="45"/>
    </row>
    <row r="5867" spans="23:23">
      <c r="W5867" s="45"/>
    </row>
    <row r="5868" spans="23:23">
      <c r="W5868" s="45"/>
    </row>
    <row r="5869" spans="23:23">
      <c r="W5869" s="45"/>
    </row>
    <row r="5870" spans="23:23">
      <c r="W5870" s="45"/>
    </row>
    <row r="5871" spans="23:23">
      <c r="W5871" s="45"/>
    </row>
    <row r="5872" spans="23:23">
      <c r="W5872" s="45"/>
    </row>
    <row r="5873" spans="23:23">
      <c r="W5873" s="45"/>
    </row>
    <row r="5874" spans="23:23">
      <c r="W5874" s="45"/>
    </row>
    <row r="5875" spans="23:23">
      <c r="W5875" s="45"/>
    </row>
    <row r="5876" spans="23:23">
      <c r="W5876" s="45"/>
    </row>
    <row r="5877" spans="23:23">
      <c r="W5877" s="45"/>
    </row>
    <row r="5878" spans="23:23">
      <c r="W5878" s="45"/>
    </row>
    <row r="5879" spans="23:23">
      <c r="W5879" s="45"/>
    </row>
    <row r="5880" spans="23:23">
      <c r="W5880" s="45"/>
    </row>
    <row r="5881" spans="23:23">
      <c r="W5881" s="45"/>
    </row>
    <row r="5882" spans="23:23">
      <c r="W5882" s="45"/>
    </row>
    <row r="5883" spans="23:23">
      <c r="W5883" s="45"/>
    </row>
    <row r="5884" spans="23:23">
      <c r="W5884" s="45"/>
    </row>
    <row r="5885" spans="23:23">
      <c r="W5885" s="45"/>
    </row>
    <row r="5886" spans="23:23">
      <c r="W5886" s="45"/>
    </row>
    <row r="5887" spans="23:23">
      <c r="W5887" s="45"/>
    </row>
    <row r="5888" spans="23:23">
      <c r="W5888" s="45"/>
    </row>
    <row r="5889" spans="23:23">
      <c r="W5889" s="45"/>
    </row>
    <row r="5890" spans="23:23">
      <c r="W5890" s="45"/>
    </row>
    <row r="5891" spans="23:23">
      <c r="W5891" s="45"/>
    </row>
    <row r="5892" spans="23:23">
      <c r="W5892" s="45"/>
    </row>
    <row r="5893" spans="23:23">
      <c r="W5893" s="45"/>
    </row>
    <row r="5894" spans="23:23">
      <c r="W5894" s="45"/>
    </row>
    <row r="5895" spans="23:23">
      <c r="W5895" s="45"/>
    </row>
    <row r="5896" spans="23:23">
      <c r="W5896" s="45"/>
    </row>
    <row r="5897" spans="23:23">
      <c r="W5897" s="45"/>
    </row>
    <row r="5898" spans="23:23">
      <c r="W5898" s="45"/>
    </row>
    <row r="5899" spans="23:23">
      <c r="W5899" s="45"/>
    </row>
    <row r="5900" spans="23:23">
      <c r="W5900" s="45"/>
    </row>
    <row r="5901" spans="23:23">
      <c r="W5901" s="45"/>
    </row>
    <row r="5902" spans="23:23">
      <c r="W5902" s="45"/>
    </row>
    <row r="5903" spans="23:23">
      <c r="W5903" s="45"/>
    </row>
    <row r="5904" spans="23:23">
      <c r="W5904" s="45"/>
    </row>
    <row r="5905" spans="23:23">
      <c r="W5905" s="45"/>
    </row>
    <row r="5906" spans="23:23">
      <c r="W5906" s="45"/>
    </row>
    <row r="5907" spans="23:23">
      <c r="W5907" s="45"/>
    </row>
    <row r="5908" spans="23:23">
      <c r="W5908" s="45"/>
    </row>
    <row r="5909" spans="23:23">
      <c r="W5909" s="45"/>
    </row>
    <row r="5910" spans="23:23">
      <c r="W5910" s="45"/>
    </row>
    <row r="5911" spans="23:23">
      <c r="W5911" s="45"/>
    </row>
    <row r="5912" spans="23:23">
      <c r="W5912" s="45"/>
    </row>
    <row r="5913" spans="23:23">
      <c r="W5913" s="45"/>
    </row>
    <row r="5914" spans="23:23">
      <c r="W5914" s="45"/>
    </row>
    <row r="5915" spans="23:23">
      <c r="W5915" s="45"/>
    </row>
    <row r="5916" spans="23:23">
      <c r="W5916" s="45"/>
    </row>
    <row r="5917" spans="23:23">
      <c r="W5917" s="45"/>
    </row>
    <row r="5918" spans="23:23">
      <c r="W5918" s="45"/>
    </row>
    <row r="5919" spans="23:23">
      <c r="W5919" s="45"/>
    </row>
    <row r="5920" spans="23:23">
      <c r="W5920" s="45"/>
    </row>
    <row r="5921" spans="23:23">
      <c r="W5921" s="45"/>
    </row>
    <row r="5922" spans="23:23">
      <c r="W5922" s="45"/>
    </row>
    <row r="5923" spans="23:23">
      <c r="W5923" s="45"/>
    </row>
    <row r="5924" spans="23:23">
      <c r="W5924" s="45"/>
    </row>
    <row r="5925" spans="23:23">
      <c r="W5925" s="45"/>
    </row>
    <row r="5926" spans="23:23">
      <c r="W5926" s="45"/>
    </row>
    <row r="5927" spans="23:23">
      <c r="W5927" s="45"/>
    </row>
    <row r="5928" spans="23:23">
      <c r="W5928" s="45"/>
    </row>
    <row r="5929" spans="23:23">
      <c r="W5929" s="45"/>
    </row>
    <row r="5930" spans="23:23">
      <c r="W5930" s="45"/>
    </row>
    <row r="5931" spans="23:23">
      <c r="W5931" s="45"/>
    </row>
    <row r="5932" spans="23:23">
      <c r="W5932" s="45"/>
    </row>
    <row r="5933" spans="23:23">
      <c r="W5933" s="45"/>
    </row>
    <row r="5934" spans="23:23">
      <c r="W5934" s="45"/>
    </row>
    <row r="5935" spans="23:23">
      <c r="W5935" s="45"/>
    </row>
    <row r="5936" spans="23:23">
      <c r="W5936" s="45"/>
    </row>
    <row r="5937" spans="23:23">
      <c r="W5937" s="45"/>
    </row>
    <row r="5938" spans="23:23">
      <c r="W5938" s="45"/>
    </row>
    <row r="5939" spans="23:23">
      <c r="W5939" s="45"/>
    </row>
    <row r="5940" spans="23:23">
      <c r="W5940" s="45"/>
    </row>
    <row r="5941" spans="23:23">
      <c r="W5941" s="45"/>
    </row>
    <row r="5942" spans="23:23">
      <c r="W5942" s="45"/>
    </row>
    <row r="5943" spans="23:23">
      <c r="W5943" s="45"/>
    </row>
    <row r="5944" spans="23:23">
      <c r="W5944" s="45"/>
    </row>
    <row r="5945" spans="23:23">
      <c r="W5945" s="45"/>
    </row>
    <row r="5946" spans="23:23">
      <c r="W5946" s="45"/>
    </row>
    <row r="5947" spans="23:23">
      <c r="W5947" s="45"/>
    </row>
    <row r="5948" spans="23:23">
      <c r="W5948" s="45"/>
    </row>
    <row r="5949" spans="23:23">
      <c r="W5949" s="45"/>
    </row>
    <row r="5950" spans="23:23">
      <c r="W5950" s="45"/>
    </row>
    <row r="5951" spans="23:23">
      <c r="W5951" s="45"/>
    </row>
    <row r="5952" spans="23:23">
      <c r="W5952" s="45"/>
    </row>
    <row r="5953" spans="23:23">
      <c r="W5953" s="45"/>
    </row>
    <row r="5954" spans="23:23">
      <c r="W5954" s="45"/>
    </row>
    <row r="5955" spans="23:23">
      <c r="W5955" s="45"/>
    </row>
    <row r="5956" spans="23:23">
      <c r="W5956" s="45"/>
    </row>
    <row r="5957" spans="23:23">
      <c r="W5957" s="45"/>
    </row>
    <row r="5958" spans="23:23">
      <c r="W5958" s="45"/>
    </row>
    <row r="5959" spans="23:23">
      <c r="W5959" s="45"/>
    </row>
    <row r="5960" spans="23:23">
      <c r="W5960" s="45"/>
    </row>
    <row r="5961" spans="23:23">
      <c r="W5961" s="45"/>
    </row>
    <row r="5962" spans="23:23">
      <c r="W5962" s="45"/>
    </row>
    <row r="5963" spans="23:23">
      <c r="W5963" s="45"/>
    </row>
    <row r="5964" spans="23:23">
      <c r="W5964" s="45"/>
    </row>
    <row r="5965" spans="23:23">
      <c r="W5965" s="45"/>
    </row>
    <row r="5966" spans="23:23">
      <c r="W5966" s="45"/>
    </row>
    <row r="5967" spans="23:23">
      <c r="W5967" s="45"/>
    </row>
    <row r="5968" spans="23:23">
      <c r="W5968" s="45"/>
    </row>
    <row r="5969" spans="23:23">
      <c r="W5969" s="45"/>
    </row>
    <row r="5970" spans="23:23">
      <c r="W5970" s="45"/>
    </row>
    <row r="5971" spans="23:23">
      <c r="W5971" s="45"/>
    </row>
    <row r="5972" spans="23:23">
      <c r="W5972" s="45"/>
    </row>
    <row r="5973" spans="23:23">
      <c r="W5973" s="45"/>
    </row>
    <row r="5974" spans="23:23">
      <c r="W5974" s="45"/>
    </row>
    <row r="5975" spans="23:23">
      <c r="W5975" s="45"/>
    </row>
    <row r="5976" spans="23:23">
      <c r="W5976" s="45"/>
    </row>
    <row r="5977" spans="23:23">
      <c r="W5977" s="45"/>
    </row>
    <row r="5978" spans="23:23">
      <c r="W5978" s="45"/>
    </row>
    <row r="5979" spans="23:23">
      <c r="W5979" s="45"/>
    </row>
    <row r="5980" spans="23:23">
      <c r="W5980" s="45"/>
    </row>
    <row r="5981" spans="23:23">
      <c r="W5981" s="45"/>
    </row>
    <row r="5982" spans="23:23">
      <c r="W5982" s="45"/>
    </row>
    <row r="5983" spans="23:23">
      <c r="W5983" s="45"/>
    </row>
    <row r="5984" spans="23:23">
      <c r="W5984" s="45"/>
    </row>
    <row r="5985" spans="23:23">
      <c r="W5985" s="45"/>
    </row>
    <row r="5986" spans="23:23">
      <c r="W5986" s="45"/>
    </row>
    <row r="5987" spans="23:23">
      <c r="W5987" s="45"/>
    </row>
    <row r="5988" spans="23:23">
      <c r="W5988" s="45"/>
    </row>
    <row r="5989" spans="23:23">
      <c r="W5989" s="45"/>
    </row>
    <row r="5990" spans="23:23">
      <c r="W5990" s="45"/>
    </row>
    <row r="5991" spans="23:23">
      <c r="W5991" s="45"/>
    </row>
    <row r="5992" spans="23:23">
      <c r="W5992" s="45"/>
    </row>
    <row r="5993" spans="23:23">
      <c r="W5993" s="45"/>
    </row>
    <row r="5994" spans="23:23">
      <c r="W5994" s="45"/>
    </row>
    <row r="5995" spans="23:23">
      <c r="W5995" s="45"/>
    </row>
    <row r="5996" spans="23:23">
      <c r="W5996" s="45"/>
    </row>
    <row r="5997" spans="23:23">
      <c r="W5997" s="45"/>
    </row>
    <row r="5998" spans="23:23">
      <c r="W5998" s="45"/>
    </row>
    <row r="5999" spans="23:23">
      <c r="W5999" s="45"/>
    </row>
    <row r="6000" spans="23:23">
      <c r="W6000" s="45"/>
    </row>
    <row r="6001" spans="23:23">
      <c r="W6001" s="45"/>
    </row>
    <row r="6002" spans="23:23">
      <c r="W6002" s="45"/>
    </row>
    <row r="6003" spans="23:23">
      <c r="W6003" s="45"/>
    </row>
    <row r="6004" spans="23:23">
      <c r="W6004" s="45"/>
    </row>
    <row r="6005" spans="23:23">
      <c r="W6005" s="45"/>
    </row>
    <row r="6006" spans="23:23">
      <c r="W6006" s="45"/>
    </row>
    <row r="6007" spans="23:23">
      <c r="W6007" s="45"/>
    </row>
    <row r="6008" spans="23:23">
      <c r="W6008" s="45"/>
    </row>
    <row r="6009" spans="23:23">
      <c r="W6009" s="45"/>
    </row>
    <row r="6010" spans="23:23">
      <c r="W6010" s="45"/>
    </row>
    <row r="6011" spans="23:23">
      <c r="W6011" s="45"/>
    </row>
    <row r="6012" spans="23:23">
      <c r="W6012" s="45"/>
    </row>
    <row r="6013" spans="23:23">
      <c r="W6013" s="45"/>
    </row>
    <row r="6014" spans="23:23">
      <c r="W6014" s="45"/>
    </row>
    <row r="6015" spans="23:23">
      <c r="W6015" s="45"/>
    </row>
    <row r="6016" spans="23:23">
      <c r="W6016" s="45"/>
    </row>
    <row r="6017" spans="23:23">
      <c r="W6017" s="45"/>
    </row>
    <row r="6018" spans="23:23">
      <c r="W6018" s="45"/>
    </row>
    <row r="6019" spans="23:23">
      <c r="W6019" s="45"/>
    </row>
    <row r="6020" spans="23:23">
      <c r="W6020" s="45"/>
    </row>
    <row r="6021" spans="23:23">
      <c r="W6021" s="45"/>
    </row>
    <row r="6022" spans="23:23">
      <c r="W6022" s="45"/>
    </row>
    <row r="6023" spans="23:23">
      <c r="W6023" s="45"/>
    </row>
    <row r="6024" spans="23:23">
      <c r="W6024" s="45"/>
    </row>
    <row r="6025" spans="23:23">
      <c r="W6025" s="45"/>
    </row>
    <row r="6026" spans="23:23">
      <c r="W6026" s="45"/>
    </row>
    <row r="6027" spans="23:23">
      <c r="W6027" s="45"/>
    </row>
    <row r="6028" spans="23:23">
      <c r="W6028" s="45"/>
    </row>
    <row r="6029" spans="23:23">
      <c r="W6029" s="45"/>
    </row>
    <row r="6030" spans="23:23">
      <c r="W6030" s="45"/>
    </row>
    <row r="6031" spans="23:23">
      <c r="W6031" s="45"/>
    </row>
    <row r="6032" spans="23:23">
      <c r="W6032" s="45"/>
    </row>
    <row r="6033" spans="23:23">
      <c r="W6033" s="45"/>
    </row>
    <row r="6034" spans="23:23">
      <c r="W6034" s="45"/>
    </row>
    <row r="6035" spans="23:23">
      <c r="W6035" s="45"/>
    </row>
    <row r="6036" spans="23:23">
      <c r="W6036" s="45"/>
    </row>
    <row r="6037" spans="23:23">
      <c r="W6037" s="45"/>
    </row>
    <row r="6038" spans="23:23">
      <c r="W6038" s="45"/>
    </row>
    <row r="6039" spans="23:23">
      <c r="W6039" s="45"/>
    </row>
    <row r="6040" spans="23:23">
      <c r="W6040" s="45"/>
    </row>
    <row r="6041" spans="23:23">
      <c r="W6041" s="45"/>
    </row>
    <row r="6042" spans="23:23">
      <c r="W6042" s="45"/>
    </row>
    <row r="6043" spans="23:23">
      <c r="W6043" s="45"/>
    </row>
    <row r="6044" spans="23:23">
      <c r="W6044" s="45"/>
    </row>
    <row r="6045" spans="23:23">
      <c r="W6045" s="45"/>
    </row>
    <row r="6046" spans="23:23">
      <c r="W6046" s="45"/>
    </row>
    <row r="6047" spans="23:23">
      <c r="W6047" s="45"/>
    </row>
    <row r="6048" spans="23:23">
      <c r="W6048" s="45"/>
    </row>
    <row r="6049" spans="23:23">
      <c r="W6049" s="45"/>
    </row>
    <row r="6050" spans="23:23">
      <c r="W6050" s="45"/>
    </row>
    <row r="6051" spans="23:23">
      <c r="W6051" s="45"/>
    </row>
    <row r="6052" spans="23:23">
      <c r="W6052" s="45"/>
    </row>
    <row r="6053" spans="23:23">
      <c r="W6053" s="45"/>
    </row>
    <row r="6054" spans="23:23">
      <c r="W6054" s="45"/>
    </row>
    <row r="6055" spans="23:23">
      <c r="W6055" s="45"/>
    </row>
    <row r="6056" spans="23:23">
      <c r="W6056" s="45"/>
    </row>
    <row r="6057" spans="23:23">
      <c r="W6057" s="45"/>
    </row>
    <row r="6058" spans="23:23">
      <c r="W6058" s="45"/>
    </row>
    <row r="6059" spans="23:23">
      <c r="W6059" s="45"/>
    </row>
    <row r="6060" spans="23:23">
      <c r="W6060" s="45"/>
    </row>
    <row r="6061" spans="23:23">
      <c r="W6061" s="45"/>
    </row>
    <row r="6062" spans="23:23">
      <c r="W6062" s="45"/>
    </row>
    <row r="6063" spans="23:23">
      <c r="W6063" s="45"/>
    </row>
    <row r="6064" spans="23:23">
      <c r="W6064" s="45"/>
    </row>
    <row r="6065" spans="23:23">
      <c r="W6065" s="45"/>
    </row>
    <row r="6066" spans="23:23">
      <c r="W6066" s="45"/>
    </row>
    <row r="6067" spans="23:23">
      <c r="W6067" s="45"/>
    </row>
    <row r="6068" spans="23:23">
      <c r="W6068" s="45"/>
    </row>
    <row r="6069" spans="23:23">
      <c r="W6069" s="45"/>
    </row>
    <row r="6070" spans="23:23">
      <c r="W6070" s="45"/>
    </row>
    <row r="6071" spans="23:23">
      <c r="W6071" s="45"/>
    </row>
    <row r="6072" spans="23:23">
      <c r="W6072" s="45"/>
    </row>
    <row r="6073" spans="23:23">
      <c r="W6073" s="45"/>
    </row>
    <row r="6074" spans="23:23">
      <c r="W6074" s="45"/>
    </row>
    <row r="6075" spans="23:23">
      <c r="W6075" s="45"/>
    </row>
    <row r="6076" spans="23:23">
      <c r="W6076" s="45"/>
    </row>
    <row r="6077" spans="23:23">
      <c r="W6077" s="45"/>
    </row>
    <row r="6078" spans="23:23">
      <c r="W6078" s="45"/>
    </row>
    <row r="6079" spans="23:23">
      <c r="W6079" s="45"/>
    </row>
    <row r="6080" spans="23:23">
      <c r="W6080" s="45"/>
    </row>
    <row r="6081" spans="23:23">
      <c r="W6081" s="45"/>
    </row>
    <row r="6082" spans="23:23">
      <c r="W6082" s="45"/>
    </row>
    <row r="6083" spans="23:23">
      <c r="W6083" s="45"/>
    </row>
    <row r="6084" spans="23:23">
      <c r="W6084" s="45"/>
    </row>
    <row r="6085" spans="23:23">
      <c r="W6085" s="45"/>
    </row>
    <row r="6086" spans="23:23">
      <c r="W6086" s="45"/>
    </row>
    <row r="6087" spans="23:23">
      <c r="W6087" s="45"/>
    </row>
    <row r="6088" spans="23:23">
      <c r="W6088" s="45"/>
    </row>
    <row r="6089" spans="23:23">
      <c r="W6089" s="45"/>
    </row>
    <row r="6090" spans="23:23">
      <c r="W6090" s="45"/>
    </row>
    <row r="6091" spans="23:23">
      <c r="W6091" s="45"/>
    </row>
    <row r="6092" spans="23:23">
      <c r="W6092" s="45"/>
    </row>
    <row r="6093" spans="23:23">
      <c r="W6093" s="45"/>
    </row>
    <row r="6094" spans="23:23">
      <c r="W6094" s="45"/>
    </row>
    <row r="6095" spans="23:23">
      <c r="W6095" s="45"/>
    </row>
    <row r="6096" spans="23:23">
      <c r="W6096" s="45"/>
    </row>
    <row r="6097" spans="23:23">
      <c r="W6097" s="45"/>
    </row>
    <row r="6098" spans="23:23">
      <c r="W6098" s="45"/>
    </row>
    <row r="6099" spans="23:23">
      <c r="W6099" s="45"/>
    </row>
    <row r="6100" spans="23:23">
      <c r="W6100" s="45"/>
    </row>
    <row r="6101" spans="23:23">
      <c r="W6101" s="45"/>
    </row>
    <row r="6102" spans="23:23">
      <c r="W6102" s="45"/>
    </row>
    <row r="6103" spans="23:23">
      <c r="W6103" s="45"/>
    </row>
    <row r="6104" spans="23:23">
      <c r="W6104" s="45"/>
    </row>
    <row r="6105" spans="23:23">
      <c r="W6105" s="45"/>
    </row>
    <row r="6106" spans="23:23">
      <c r="W6106" s="45"/>
    </row>
    <row r="6107" spans="23:23">
      <c r="W6107" s="45"/>
    </row>
    <row r="6108" spans="23:23">
      <c r="W6108" s="45"/>
    </row>
    <row r="6109" spans="23:23">
      <c r="W6109" s="45"/>
    </row>
    <row r="6110" spans="23:23">
      <c r="W6110" s="45"/>
    </row>
    <row r="6111" spans="23:23">
      <c r="W6111" s="45"/>
    </row>
    <row r="6112" spans="23:23">
      <c r="W6112" s="45"/>
    </row>
    <row r="6113" spans="23:23">
      <c r="W6113" s="45"/>
    </row>
    <row r="6114" spans="23:23">
      <c r="W6114" s="45"/>
    </row>
    <row r="6115" spans="23:23">
      <c r="W6115" s="45"/>
    </row>
    <row r="6116" spans="23:23">
      <c r="W6116" s="45"/>
    </row>
    <row r="6117" spans="23:23">
      <c r="W6117" s="45"/>
    </row>
    <row r="6118" spans="23:23">
      <c r="W6118" s="45"/>
    </row>
    <row r="6119" spans="23:23">
      <c r="W6119" s="45"/>
    </row>
    <row r="6120" spans="23:23">
      <c r="W6120" s="45"/>
    </row>
    <row r="6121" spans="23:23">
      <c r="W6121" s="45"/>
    </row>
    <row r="6122" spans="23:23">
      <c r="W6122" s="45"/>
    </row>
    <row r="6123" spans="23:23">
      <c r="W6123" s="45"/>
    </row>
    <row r="6124" spans="23:23">
      <c r="W6124" s="45"/>
    </row>
    <row r="6125" spans="23:23">
      <c r="W6125" s="45"/>
    </row>
    <row r="6126" spans="23:23">
      <c r="W6126" s="45"/>
    </row>
    <row r="6127" spans="23:23">
      <c r="W6127" s="45"/>
    </row>
    <row r="6128" spans="23:23">
      <c r="W6128" s="45"/>
    </row>
    <row r="6129" spans="23:23">
      <c r="W6129" s="45"/>
    </row>
    <row r="6130" spans="23:23">
      <c r="W6130" s="45"/>
    </row>
    <row r="6131" spans="23:23">
      <c r="W6131" s="45"/>
    </row>
    <row r="6132" spans="23:23">
      <c r="W6132" s="45"/>
    </row>
    <row r="6133" spans="23:23">
      <c r="W6133" s="45"/>
    </row>
    <row r="6134" spans="23:23">
      <c r="W6134" s="45"/>
    </row>
    <row r="6135" spans="23:23">
      <c r="W6135" s="45"/>
    </row>
    <row r="6136" spans="23:23">
      <c r="W6136" s="45"/>
    </row>
    <row r="6137" spans="23:23">
      <c r="W6137" s="45"/>
    </row>
    <row r="6138" spans="23:23">
      <c r="W6138" s="45"/>
    </row>
    <row r="6139" spans="23:23">
      <c r="W6139" s="45"/>
    </row>
    <row r="6140" spans="23:23">
      <c r="W6140" s="45"/>
    </row>
    <row r="6141" spans="23:23">
      <c r="W6141" s="45"/>
    </row>
    <row r="6142" spans="23:23">
      <c r="W6142" s="45"/>
    </row>
    <row r="6143" spans="23:23">
      <c r="W6143" s="45"/>
    </row>
    <row r="6144" spans="23:23">
      <c r="W6144" s="45"/>
    </row>
    <row r="6145" spans="23:23">
      <c r="W6145" s="45"/>
    </row>
    <row r="6146" spans="23:23">
      <c r="W6146" s="45"/>
    </row>
    <row r="6147" spans="23:23">
      <c r="W6147" s="45"/>
    </row>
    <row r="6148" spans="23:23">
      <c r="W6148" s="45"/>
    </row>
    <row r="6149" spans="23:23">
      <c r="W6149" s="45"/>
    </row>
    <row r="6150" spans="23:23">
      <c r="W6150" s="45"/>
    </row>
    <row r="6151" spans="23:23">
      <c r="W6151" s="45"/>
    </row>
    <row r="6152" spans="23:23">
      <c r="W6152" s="45"/>
    </row>
    <row r="6153" spans="23:23">
      <c r="W6153" s="45"/>
    </row>
    <row r="6154" spans="23:23">
      <c r="W6154" s="45"/>
    </row>
    <row r="6155" spans="23:23">
      <c r="W6155" s="45"/>
    </row>
    <row r="6156" spans="23:23">
      <c r="W6156" s="45"/>
    </row>
    <row r="6157" spans="23:23">
      <c r="W6157" s="45"/>
    </row>
    <row r="6158" spans="23:23">
      <c r="W6158" s="45"/>
    </row>
    <row r="6159" spans="23:23">
      <c r="W6159" s="45"/>
    </row>
    <row r="6160" spans="23:23">
      <c r="W6160" s="45"/>
    </row>
    <row r="6161" spans="23:23">
      <c r="W6161" s="45"/>
    </row>
    <row r="6162" spans="23:23">
      <c r="W6162" s="45"/>
    </row>
    <row r="6163" spans="23:23">
      <c r="W6163" s="45"/>
    </row>
    <row r="6164" spans="23:23">
      <c r="W6164" s="45"/>
    </row>
    <row r="6165" spans="23:23">
      <c r="W6165" s="45"/>
    </row>
    <row r="6166" spans="23:23">
      <c r="W6166" s="45"/>
    </row>
    <row r="6167" spans="23:23">
      <c r="W6167" s="45"/>
    </row>
    <row r="6168" spans="23:23">
      <c r="W6168" s="45"/>
    </row>
    <row r="6169" spans="23:23">
      <c r="W6169" s="45"/>
    </row>
    <row r="6170" spans="23:23">
      <c r="W6170" s="45"/>
    </row>
    <row r="6171" spans="23:23">
      <c r="W6171" s="45"/>
    </row>
    <row r="6172" spans="23:23">
      <c r="W6172" s="45"/>
    </row>
    <row r="6173" spans="23:23">
      <c r="W6173" s="45"/>
    </row>
    <row r="6174" spans="23:23">
      <c r="W6174" s="45"/>
    </row>
    <row r="6175" spans="23:23">
      <c r="W6175" s="45"/>
    </row>
    <row r="6176" spans="23:23">
      <c r="W6176" s="45"/>
    </row>
    <row r="6177" spans="23:23">
      <c r="W6177" s="45"/>
    </row>
    <row r="6178" spans="23:23">
      <c r="W6178" s="45"/>
    </row>
    <row r="6179" spans="23:23">
      <c r="W6179" s="45"/>
    </row>
    <row r="6180" spans="23:23">
      <c r="W6180" s="45"/>
    </row>
    <row r="6181" spans="23:23">
      <c r="W6181" s="45"/>
    </row>
    <row r="6182" spans="23:23">
      <c r="W6182" s="45"/>
    </row>
    <row r="6183" spans="23:23">
      <c r="W6183" s="45"/>
    </row>
    <row r="6184" spans="23:23">
      <c r="W6184" s="45"/>
    </row>
    <row r="6185" spans="23:23">
      <c r="W6185" s="45"/>
    </row>
    <row r="6186" spans="23:23">
      <c r="W6186" s="45"/>
    </row>
    <row r="6187" spans="23:23">
      <c r="W6187" s="45"/>
    </row>
    <row r="6188" spans="23:23">
      <c r="W6188" s="45"/>
    </row>
    <row r="6189" spans="23:23">
      <c r="W6189" s="45"/>
    </row>
    <row r="6190" spans="23:23">
      <c r="W6190" s="45"/>
    </row>
    <row r="6191" spans="23:23">
      <c r="W6191" s="45"/>
    </row>
    <row r="6192" spans="23:23">
      <c r="W6192" s="45"/>
    </row>
    <row r="6193" spans="23:23">
      <c r="W6193" s="45"/>
    </row>
    <row r="6194" spans="23:23">
      <c r="W6194" s="45"/>
    </row>
    <row r="6195" spans="23:23">
      <c r="W6195" s="45"/>
    </row>
    <row r="6196" spans="23:23">
      <c r="W6196" s="45"/>
    </row>
    <row r="6197" spans="23:23">
      <c r="W6197" s="45"/>
    </row>
    <row r="6198" spans="23:23">
      <c r="W6198" s="45"/>
    </row>
    <row r="6199" spans="23:23">
      <c r="W6199" s="45"/>
    </row>
    <row r="6200" spans="23:23">
      <c r="W6200" s="45"/>
    </row>
    <row r="6201" spans="23:23">
      <c r="W6201" s="45"/>
    </row>
    <row r="6202" spans="23:23">
      <c r="W6202" s="45"/>
    </row>
    <row r="6203" spans="23:23">
      <c r="W6203" s="45"/>
    </row>
    <row r="6204" spans="23:23">
      <c r="W6204" s="45"/>
    </row>
    <row r="6205" spans="23:23">
      <c r="W6205" s="45"/>
    </row>
    <row r="6206" spans="23:23">
      <c r="W6206" s="45"/>
    </row>
    <row r="6207" spans="23:23">
      <c r="W6207" s="45"/>
    </row>
    <row r="6208" spans="23:23">
      <c r="W6208" s="45"/>
    </row>
    <row r="6209" spans="23:23">
      <c r="W6209" s="45"/>
    </row>
    <row r="6210" spans="23:23">
      <c r="W6210" s="45"/>
    </row>
    <row r="6211" spans="23:23">
      <c r="W6211" s="45"/>
    </row>
    <row r="6212" spans="23:23">
      <c r="W6212" s="45"/>
    </row>
    <row r="6213" spans="23:23">
      <c r="W6213" s="45"/>
    </row>
    <row r="6214" spans="23:23">
      <c r="W6214" s="45"/>
    </row>
    <row r="6215" spans="23:23">
      <c r="W6215" s="45"/>
    </row>
    <row r="6216" spans="23:23">
      <c r="W6216" s="45"/>
    </row>
    <row r="6217" spans="23:23">
      <c r="W6217" s="45"/>
    </row>
    <row r="6218" spans="23:23">
      <c r="W6218" s="45"/>
    </row>
    <row r="6219" spans="23:23">
      <c r="W6219" s="45"/>
    </row>
    <row r="6220" spans="23:23">
      <c r="W6220" s="45"/>
    </row>
    <row r="6221" spans="23:23">
      <c r="W6221" s="45"/>
    </row>
    <row r="6222" spans="23:23">
      <c r="W6222" s="45"/>
    </row>
    <row r="6223" spans="23:23">
      <c r="W6223" s="45"/>
    </row>
    <row r="6224" spans="23:23">
      <c r="W6224" s="45"/>
    </row>
    <row r="6225" spans="23:23">
      <c r="W6225" s="45"/>
    </row>
    <row r="6226" spans="23:23">
      <c r="W6226" s="45"/>
    </row>
    <row r="6227" spans="23:23">
      <c r="W6227" s="45"/>
    </row>
    <row r="6228" spans="23:23">
      <c r="W6228" s="45"/>
    </row>
    <row r="6229" spans="23:23">
      <c r="W6229" s="45"/>
    </row>
    <row r="6230" spans="23:23">
      <c r="W6230" s="45"/>
    </row>
    <row r="6231" spans="23:23">
      <c r="W6231" s="45"/>
    </row>
    <row r="6232" spans="23:23">
      <c r="W6232" s="45"/>
    </row>
    <row r="6233" spans="23:23">
      <c r="W6233" s="45"/>
    </row>
    <row r="6234" spans="23:23">
      <c r="W6234" s="45"/>
    </row>
    <row r="6235" spans="23:23">
      <c r="W6235" s="45"/>
    </row>
    <row r="6236" spans="23:23">
      <c r="W6236" s="45"/>
    </row>
    <row r="6237" spans="23:23">
      <c r="W6237" s="45"/>
    </row>
    <row r="6238" spans="23:23">
      <c r="W6238" s="45"/>
    </row>
    <row r="6239" spans="23:23">
      <c r="W6239" s="45"/>
    </row>
    <row r="6240" spans="23:23">
      <c r="W6240" s="45"/>
    </row>
    <row r="6241" spans="23:23">
      <c r="W6241" s="45"/>
    </row>
    <row r="6242" spans="23:23">
      <c r="W6242" s="45"/>
    </row>
    <row r="6243" spans="23:23">
      <c r="W6243" s="45"/>
    </row>
    <row r="6244" spans="23:23">
      <c r="W6244" s="45"/>
    </row>
    <row r="6245" spans="23:23">
      <c r="W6245" s="45"/>
    </row>
    <row r="6246" spans="23:23">
      <c r="W6246" s="45"/>
    </row>
    <row r="6247" spans="23:23">
      <c r="W6247" s="45"/>
    </row>
    <row r="6248" spans="23:23">
      <c r="W6248" s="45"/>
    </row>
    <row r="6249" spans="23:23">
      <c r="W6249" s="45"/>
    </row>
    <row r="6250" spans="23:23">
      <c r="W6250" s="45"/>
    </row>
    <row r="6251" spans="23:23">
      <c r="W6251" s="45"/>
    </row>
    <row r="6252" spans="23:23">
      <c r="W6252" s="45"/>
    </row>
    <row r="6253" spans="23:23">
      <c r="W6253" s="45"/>
    </row>
    <row r="6254" spans="23:23">
      <c r="W6254" s="45"/>
    </row>
    <row r="6255" spans="23:23">
      <c r="W6255" s="45"/>
    </row>
    <row r="6256" spans="23:23">
      <c r="W6256" s="45"/>
    </row>
    <row r="6257" spans="23:23">
      <c r="W6257" s="45"/>
    </row>
    <row r="6258" spans="23:23">
      <c r="W6258" s="45"/>
    </row>
    <row r="6259" spans="23:23">
      <c r="W6259" s="45"/>
    </row>
    <row r="6260" spans="23:23">
      <c r="W6260" s="45"/>
    </row>
    <row r="6261" spans="23:23">
      <c r="W6261" s="45"/>
    </row>
    <row r="6262" spans="23:23">
      <c r="W6262" s="45"/>
    </row>
    <row r="6263" spans="23:23">
      <c r="W6263" s="45"/>
    </row>
    <row r="6264" spans="23:23">
      <c r="W6264" s="45"/>
    </row>
    <row r="6265" spans="23:23">
      <c r="W6265" s="45"/>
    </row>
    <row r="6266" spans="23:23">
      <c r="W6266" s="45"/>
    </row>
    <row r="6267" spans="23:23">
      <c r="W6267" s="45"/>
    </row>
    <row r="6268" spans="23:23">
      <c r="W6268" s="45"/>
    </row>
    <row r="6269" spans="23:23">
      <c r="W6269" s="45"/>
    </row>
    <row r="6270" spans="23:23">
      <c r="W6270" s="45"/>
    </row>
    <row r="6271" spans="23:23">
      <c r="W6271" s="45"/>
    </row>
    <row r="6272" spans="23:23">
      <c r="W6272" s="45"/>
    </row>
    <row r="6273" spans="23:23">
      <c r="W6273" s="45"/>
    </row>
    <row r="6274" spans="23:23">
      <c r="W6274" s="45"/>
    </row>
    <row r="6275" spans="23:23">
      <c r="W6275" s="45"/>
    </row>
    <row r="6276" spans="23:23">
      <c r="W6276" s="45"/>
    </row>
    <row r="6277" spans="23:23">
      <c r="W6277" s="45"/>
    </row>
    <row r="6278" spans="23:23">
      <c r="W6278" s="45"/>
    </row>
    <row r="6279" spans="23:23">
      <c r="W6279" s="45"/>
    </row>
    <row r="6280" spans="23:23">
      <c r="W6280" s="45"/>
    </row>
    <row r="6281" spans="23:23">
      <c r="W6281" s="45"/>
    </row>
    <row r="6282" spans="23:23">
      <c r="W6282" s="45"/>
    </row>
    <row r="6283" spans="23:23">
      <c r="W6283" s="45"/>
    </row>
    <row r="6284" spans="23:23">
      <c r="W6284" s="45"/>
    </row>
    <row r="6285" spans="23:23">
      <c r="W6285" s="45"/>
    </row>
    <row r="6286" spans="23:23">
      <c r="W6286" s="45"/>
    </row>
    <row r="6287" spans="23:23">
      <c r="W6287" s="45"/>
    </row>
    <row r="6288" spans="23:23">
      <c r="W6288" s="45"/>
    </row>
    <row r="6289" spans="23:23">
      <c r="W6289" s="45"/>
    </row>
    <row r="6290" spans="23:23">
      <c r="W6290" s="45"/>
    </row>
    <row r="6291" spans="23:23">
      <c r="W6291" s="45"/>
    </row>
    <row r="6292" spans="23:23">
      <c r="W6292" s="45"/>
    </row>
    <row r="6293" spans="23:23">
      <c r="W6293" s="45"/>
    </row>
    <row r="6294" spans="23:23">
      <c r="W6294" s="45"/>
    </row>
    <row r="6295" spans="23:23">
      <c r="W6295" s="45"/>
    </row>
    <row r="6296" spans="23:23">
      <c r="W6296" s="45"/>
    </row>
    <row r="6297" spans="23:23">
      <c r="W6297" s="45"/>
    </row>
    <row r="6298" spans="23:23">
      <c r="W6298" s="45"/>
    </row>
    <row r="6299" spans="23:23">
      <c r="W6299" s="45"/>
    </row>
    <row r="6300" spans="23:23">
      <c r="W6300" s="45"/>
    </row>
    <row r="6301" spans="23:23">
      <c r="W6301" s="45"/>
    </row>
    <row r="6302" spans="23:23">
      <c r="W6302" s="45"/>
    </row>
    <row r="6303" spans="23:23">
      <c r="W6303" s="45"/>
    </row>
    <row r="6304" spans="23:23">
      <c r="W6304" s="45"/>
    </row>
    <row r="6305" spans="23:23">
      <c r="W6305" s="45"/>
    </row>
    <row r="6306" spans="23:23">
      <c r="W6306" s="45"/>
    </row>
    <row r="6307" spans="23:23">
      <c r="W6307" s="45"/>
    </row>
    <row r="6308" spans="23:23">
      <c r="W6308" s="45"/>
    </row>
    <row r="6309" spans="23:23">
      <c r="W6309" s="45"/>
    </row>
    <row r="6310" spans="23:23">
      <c r="W6310" s="45"/>
    </row>
    <row r="6311" spans="23:23">
      <c r="W6311" s="45"/>
    </row>
    <row r="6312" spans="23:23">
      <c r="W6312" s="45"/>
    </row>
    <row r="6313" spans="23:23">
      <c r="W6313" s="45"/>
    </row>
    <row r="6314" spans="23:23">
      <c r="W6314" s="45"/>
    </row>
    <row r="6315" spans="23:23">
      <c r="W6315" s="45"/>
    </row>
    <row r="6316" spans="23:23">
      <c r="W6316" s="45"/>
    </row>
    <row r="6317" spans="23:23">
      <c r="W6317" s="45"/>
    </row>
    <row r="6318" spans="23:23">
      <c r="W6318" s="45"/>
    </row>
    <row r="6319" spans="23:23">
      <c r="W6319" s="45"/>
    </row>
    <row r="6320" spans="23:23">
      <c r="W6320" s="45"/>
    </row>
    <row r="6321" spans="23:23">
      <c r="W6321" s="45"/>
    </row>
    <row r="6322" spans="23:23">
      <c r="W6322" s="45"/>
    </row>
    <row r="6323" spans="23:23">
      <c r="W6323" s="45"/>
    </row>
    <row r="6324" spans="23:23">
      <c r="W6324" s="45"/>
    </row>
    <row r="6325" spans="23:23">
      <c r="W6325" s="45"/>
    </row>
    <row r="6326" spans="23:23">
      <c r="W6326" s="45"/>
    </row>
    <row r="6327" spans="23:23">
      <c r="W6327" s="45"/>
    </row>
    <row r="6328" spans="23:23">
      <c r="W6328" s="45"/>
    </row>
    <row r="6329" spans="23:23">
      <c r="W6329" s="45"/>
    </row>
    <row r="6330" spans="23:23">
      <c r="W6330" s="45"/>
    </row>
    <row r="6331" spans="23:23">
      <c r="W6331" s="45"/>
    </row>
    <row r="6332" spans="23:23">
      <c r="W6332" s="45"/>
    </row>
    <row r="6333" spans="23:23">
      <c r="W6333" s="45"/>
    </row>
    <row r="6334" spans="23:23">
      <c r="W6334" s="45"/>
    </row>
    <row r="6335" spans="23:23">
      <c r="W6335" s="45"/>
    </row>
    <row r="6336" spans="23:23">
      <c r="W6336" s="45"/>
    </row>
    <row r="6337" spans="23:23">
      <c r="W6337" s="45"/>
    </row>
    <row r="6338" spans="23:23">
      <c r="W6338" s="45"/>
    </row>
    <row r="6339" spans="23:23">
      <c r="W6339" s="45"/>
    </row>
    <row r="6340" spans="23:23">
      <c r="W6340" s="45"/>
    </row>
    <row r="6341" spans="23:23">
      <c r="W6341" s="45"/>
    </row>
    <row r="6342" spans="23:23">
      <c r="W6342" s="45"/>
    </row>
    <row r="6343" spans="23:23">
      <c r="W6343" s="45"/>
    </row>
    <row r="6344" spans="23:23">
      <c r="W6344" s="45"/>
    </row>
    <row r="6345" spans="23:23">
      <c r="W6345" s="45"/>
    </row>
    <row r="6346" spans="23:23">
      <c r="W6346" s="45"/>
    </row>
    <row r="6347" spans="23:23">
      <c r="W6347" s="45"/>
    </row>
    <row r="6348" spans="23:23">
      <c r="W6348" s="45"/>
    </row>
    <row r="6349" spans="23:23">
      <c r="W6349" s="45"/>
    </row>
    <row r="6350" spans="23:23">
      <c r="W6350" s="45"/>
    </row>
    <row r="6351" spans="23:23">
      <c r="W6351" s="45"/>
    </row>
    <row r="6352" spans="23:23">
      <c r="W6352" s="45"/>
    </row>
    <row r="6353" spans="23:23">
      <c r="W6353" s="45"/>
    </row>
    <row r="6354" spans="23:23">
      <c r="W6354" s="45"/>
    </row>
    <row r="6355" spans="23:23">
      <c r="W6355" s="45"/>
    </row>
    <row r="6356" spans="23:23">
      <c r="W6356" s="45"/>
    </row>
    <row r="6357" spans="23:23">
      <c r="W6357" s="45"/>
    </row>
    <row r="6358" spans="23:23">
      <c r="W6358" s="45"/>
    </row>
    <row r="6359" spans="23:23">
      <c r="W6359" s="45"/>
    </row>
    <row r="6360" spans="23:23">
      <c r="W6360" s="45"/>
    </row>
    <row r="6361" spans="23:23">
      <c r="W6361" s="45"/>
    </row>
    <row r="6362" spans="23:23">
      <c r="W6362" s="45"/>
    </row>
    <row r="6363" spans="23:23">
      <c r="W6363" s="45"/>
    </row>
    <row r="6364" spans="23:23">
      <c r="W6364" s="45"/>
    </row>
    <row r="6365" spans="23:23">
      <c r="W6365" s="45"/>
    </row>
    <row r="6366" spans="23:23">
      <c r="W6366" s="45"/>
    </row>
    <row r="6367" spans="23:23">
      <c r="W6367" s="45"/>
    </row>
    <row r="6368" spans="23:23">
      <c r="W6368" s="45"/>
    </row>
    <row r="6369" spans="23:23">
      <c r="W6369" s="45"/>
    </row>
    <row r="6370" spans="23:23">
      <c r="W6370" s="45"/>
    </row>
    <row r="6371" spans="23:23">
      <c r="W6371" s="45"/>
    </row>
    <row r="6372" spans="23:23">
      <c r="W6372" s="45"/>
    </row>
    <row r="6373" spans="23:23">
      <c r="W6373" s="45"/>
    </row>
    <row r="6374" spans="23:23">
      <c r="W6374" s="45"/>
    </row>
    <row r="6375" spans="23:23">
      <c r="W6375" s="45"/>
    </row>
    <row r="6376" spans="23:23">
      <c r="W6376" s="45"/>
    </row>
    <row r="6377" spans="23:23">
      <c r="W6377" s="45"/>
    </row>
    <row r="6378" spans="23:23">
      <c r="W6378" s="45"/>
    </row>
    <row r="6379" spans="23:23">
      <c r="W6379" s="45"/>
    </row>
    <row r="6380" spans="23:23">
      <c r="W6380" s="45"/>
    </row>
    <row r="6381" spans="23:23">
      <c r="W6381" s="45"/>
    </row>
    <row r="6382" spans="23:23">
      <c r="W6382" s="45"/>
    </row>
    <row r="6383" spans="23:23">
      <c r="W6383" s="45"/>
    </row>
    <row r="6384" spans="23:23">
      <c r="W6384" s="45"/>
    </row>
    <row r="6385" spans="23:23">
      <c r="W6385" s="45"/>
    </row>
    <row r="6386" spans="23:23">
      <c r="W6386" s="45"/>
    </row>
    <row r="6387" spans="23:23">
      <c r="W6387" s="45"/>
    </row>
    <row r="6388" spans="23:23">
      <c r="W6388" s="45"/>
    </row>
    <row r="6389" spans="23:23">
      <c r="W6389" s="45"/>
    </row>
    <row r="6390" spans="23:23">
      <c r="W6390" s="45"/>
    </row>
    <row r="6391" spans="23:23">
      <c r="W6391" s="45"/>
    </row>
    <row r="6392" spans="23:23">
      <c r="W6392" s="45"/>
    </row>
    <row r="6393" spans="23:23">
      <c r="W6393" s="45"/>
    </row>
    <row r="6394" spans="23:23">
      <c r="W6394" s="45"/>
    </row>
    <row r="6395" spans="23:23">
      <c r="W6395" s="45"/>
    </row>
    <row r="6396" spans="23:23">
      <c r="W6396" s="45"/>
    </row>
    <row r="6397" spans="23:23">
      <c r="W6397" s="45"/>
    </row>
    <row r="6398" spans="23:23">
      <c r="W6398" s="45"/>
    </row>
    <row r="6399" spans="23:23">
      <c r="W6399" s="45"/>
    </row>
    <row r="6400" spans="23:23">
      <c r="W6400" s="45"/>
    </row>
    <row r="6401" spans="23:23">
      <c r="W6401" s="45"/>
    </row>
    <row r="6402" spans="23:23">
      <c r="W6402" s="45"/>
    </row>
    <row r="6403" spans="23:23">
      <c r="W6403" s="45"/>
    </row>
    <row r="6404" spans="23:23">
      <c r="W6404" s="45"/>
    </row>
    <row r="6405" spans="23:23">
      <c r="W6405" s="45"/>
    </row>
    <row r="6406" spans="23:23">
      <c r="W6406" s="45"/>
    </row>
    <row r="6407" spans="23:23">
      <c r="W6407" s="45"/>
    </row>
    <row r="6408" spans="23:23">
      <c r="W6408" s="45"/>
    </row>
    <row r="6409" spans="23:23">
      <c r="W6409" s="45"/>
    </row>
    <row r="6410" spans="23:23">
      <c r="W6410" s="45"/>
    </row>
    <row r="6411" spans="23:23">
      <c r="W6411" s="45"/>
    </row>
    <row r="6412" spans="23:23">
      <c r="W6412" s="45"/>
    </row>
    <row r="6413" spans="23:23">
      <c r="W6413" s="45"/>
    </row>
    <row r="6414" spans="23:23">
      <c r="W6414" s="45"/>
    </row>
    <row r="6415" spans="23:23">
      <c r="W6415" s="45"/>
    </row>
    <row r="6416" spans="23:23">
      <c r="W6416" s="45"/>
    </row>
    <row r="6417" spans="23:23">
      <c r="W6417" s="45"/>
    </row>
    <row r="6418" spans="23:23">
      <c r="W6418" s="45"/>
    </row>
    <row r="6419" spans="23:23">
      <c r="W6419" s="45"/>
    </row>
    <row r="6420" spans="23:23">
      <c r="W6420" s="45"/>
    </row>
    <row r="6421" spans="23:23">
      <c r="W6421" s="45"/>
    </row>
    <row r="6422" spans="23:23">
      <c r="W6422" s="45"/>
    </row>
    <row r="6423" spans="23:23">
      <c r="W6423" s="45"/>
    </row>
    <row r="6424" spans="23:23">
      <c r="W6424" s="45"/>
    </row>
    <row r="6425" spans="23:23">
      <c r="W6425" s="45"/>
    </row>
    <row r="6426" spans="23:23">
      <c r="W6426" s="45"/>
    </row>
    <row r="6427" spans="23:23">
      <c r="W6427" s="45"/>
    </row>
    <row r="6428" spans="23:23">
      <c r="W6428" s="45"/>
    </row>
    <row r="6429" spans="23:23">
      <c r="W6429" s="45"/>
    </row>
    <row r="6430" spans="23:23">
      <c r="W6430" s="45"/>
    </row>
    <row r="6431" spans="23:23">
      <c r="W6431" s="45"/>
    </row>
    <row r="6432" spans="23:23">
      <c r="W6432" s="45"/>
    </row>
    <row r="6433" spans="23:23">
      <c r="W6433" s="45"/>
    </row>
    <row r="6434" spans="23:23">
      <c r="W6434" s="45"/>
    </row>
    <row r="6435" spans="23:23">
      <c r="W6435" s="45"/>
    </row>
    <row r="6436" spans="23:23">
      <c r="W6436" s="45"/>
    </row>
    <row r="6437" spans="23:23">
      <c r="W6437" s="45"/>
    </row>
    <row r="6438" spans="23:23">
      <c r="W6438" s="45"/>
    </row>
    <row r="6439" spans="23:23">
      <c r="W6439" s="45"/>
    </row>
    <row r="6440" spans="23:23">
      <c r="W6440" s="45"/>
    </row>
    <row r="6441" spans="23:23">
      <c r="W6441" s="45"/>
    </row>
    <row r="6442" spans="23:23">
      <c r="W6442" s="45"/>
    </row>
    <row r="6443" spans="23:23">
      <c r="W6443" s="45"/>
    </row>
    <row r="6444" spans="23:23">
      <c r="W6444" s="45"/>
    </row>
    <row r="6445" spans="23:23">
      <c r="W6445" s="45"/>
    </row>
    <row r="6446" spans="23:23">
      <c r="W6446" s="45"/>
    </row>
    <row r="6447" spans="23:23">
      <c r="W6447" s="45"/>
    </row>
    <row r="6448" spans="23:23">
      <c r="W6448" s="45"/>
    </row>
    <row r="6449" spans="23:23">
      <c r="W6449" s="45"/>
    </row>
    <row r="6450" spans="23:23">
      <c r="W6450" s="45"/>
    </row>
    <row r="6451" spans="23:23">
      <c r="W6451" s="45"/>
    </row>
    <row r="6452" spans="23:23">
      <c r="W6452" s="45"/>
    </row>
    <row r="6453" spans="23:23">
      <c r="W6453" s="45"/>
    </row>
    <row r="6454" spans="23:23">
      <c r="W6454" s="45"/>
    </row>
    <row r="6455" spans="23:23">
      <c r="W6455" s="45"/>
    </row>
    <row r="6456" spans="23:23">
      <c r="W6456" s="45"/>
    </row>
    <row r="6457" spans="23:23">
      <c r="W6457" s="45"/>
    </row>
    <row r="6458" spans="23:23">
      <c r="W6458" s="45"/>
    </row>
    <row r="6459" spans="23:23">
      <c r="W6459" s="45"/>
    </row>
    <row r="6460" spans="23:23">
      <c r="W6460" s="45"/>
    </row>
    <row r="6461" spans="23:23">
      <c r="W6461" s="45"/>
    </row>
    <row r="6462" spans="23:23">
      <c r="W6462" s="45"/>
    </row>
    <row r="6463" spans="23:23">
      <c r="W6463" s="45"/>
    </row>
    <row r="6464" spans="23:23">
      <c r="W6464" s="45"/>
    </row>
    <row r="6465" spans="23:23">
      <c r="W6465" s="45"/>
    </row>
    <row r="6466" spans="23:23">
      <c r="W6466" s="45"/>
    </row>
    <row r="6467" spans="23:23">
      <c r="W6467" s="45"/>
    </row>
    <row r="6468" spans="23:23">
      <c r="W6468" s="45"/>
    </row>
    <row r="6469" spans="23:23">
      <c r="W6469" s="45"/>
    </row>
    <row r="6470" spans="23:23">
      <c r="W6470" s="45"/>
    </row>
    <row r="6471" spans="23:23">
      <c r="W6471" s="45"/>
    </row>
    <row r="6472" spans="23:23">
      <c r="W6472" s="45"/>
    </row>
    <row r="6473" spans="23:23">
      <c r="W6473" s="45"/>
    </row>
    <row r="6474" spans="23:23">
      <c r="W6474" s="45"/>
    </row>
    <row r="6475" spans="23:23">
      <c r="W6475" s="45"/>
    </row>
    <row r="6476" spans="23:23">
      <c r="W6476" s="45"/>
    </row>
    <row r="6477" spans="23:23">
      <c r="W6477" s="45"/>
    </row>
    <row r="6478" spans="23:23">
      <c r="W6478" s="45"/>
    </row>
    <row r="6479" spans="23:23">
      <c r="W6479" s="45"/>
    </row>
    <row r="6480" spans="23:23">
      <c r="W6480" s="45"/>
    </row>
    <row r="6481" spans="23:23">
      <c r="W6481" s="45"/>
    </row>
    <row r="6482" spans="23:23">
      <c r="W6482" s="45"/>
    </row>
    <row r="6483" spans="23:23">
      <c r="W6483" s="45"/>
    </row>
    <row r="6484" spans="23:23">
      <c r="W6484" s="45"/>
    </row>
    <row r="6485" spans="23:23">
      <c r="W6485" s="45"/>
    </row>
    <row r="6486" spans="23:23">
      <c r="W6486" s="45"/>
    </row>
    <row r="6487" spans="23:23">
      <c r="W6487" s="45"/>
    </row>
    <row r="6488" spans="23:23">
      <c r="W6488" s="45"/>
    </row>
    <row r="6489" spans="23:23">
      <c r="W6489" s="45"/>
    </row>
    <row r="6490" spans="23:23">
      <c r="W6490" s="45"/>
    </row>
    <row r="6491" spans="23:23">
      <c r="W6491" s="45"/>
    </row>
    <row r="6492" spans="23:23">
      <c r="W6492" s="45"/>
    </row>
    <row r="6493" spans="23:23">
      <c r="W6493" s="45"/>
    </row>
    <row r="6494" spans="23:23">
      <c r="W6494" s="45"/>
    </row>
    <row r="6495" spans="23:23">
      <c r="W6495" s="45"/>
    </row>
    <row r="6496" spans="23:23">
      <c r="W6496" s="45"/>
    </row>
    <row r="6497" spans="23:23">
      <c r="W6497" s="45"/>
    </row>
    <row r="6498" spans="23:23">
      <c r="W6498" s="45"/>
    </row>
    <row r="6499" spans="23:23">
      <c r="W6499" s="45"/>
    </row>
    <row r="6500" spans="23:23">
      <c r="W6500" s="45"/>
    </row>
    <row r="6501" spans="23:23">
      <c r="W6501" s="45"/>
    </row>
    <row r="6502" spans="23:23">
      <c r="W6502" s="45"/>
    </row>
    <row r="6503" spans="23:23">
      <c r="W6503" s="45"/>
    </row>
    <row r="6504" spans="23:23">
      <c r="W6504" s="45"/>
    </row>
    <row r="6505" spans="23:23">
      <c r="W6505" s="45"/>
    </row>
    <row r="6506" spans="23:23">
      <c r="W6506" s="45"/>
    </row>
    <row r="6507" spans="23:23">
      <c r="W6507" s="45"/>
    </row>
    <row r="6508" spans="23:23">
      <c r="W6508" s="45"/>
    </row>
    <row r="6509" spans="23:23">
      <c r="W6509" s="45"/>
    </row>
    <row r="6510" spans="23:23">
      <c r="W6510" s="45"/>
    </row>
    <row r="6511" spans="23:23">
      <c r="W6511" s="45"/>
    </row>
    <row r="6512" spans="23:23">
      <c r="W6512" s="45"/>
    </row>
    <row r="6513" spans="23:23">
      <c r="W6513" s="45"/>
    </row>
    <row r="6514" spans="23:23">
      <c r="W6514" s="45"/>
    </row>
    <row r="6515" spans="23:23">
      <c r="W6515" s="45"/>
    </row>
    <row r="6516" spans="23:23">
      <c r="W6516" s="45"/>
    </row>
    <row r="6517" spans="23:23">
      <c r="W6517" s="45"/>
    </row>
    <row r="6518" spans="23:23">
      <c r="W6518" s="45"/>
    </row>
    <row r="6519" spans="23:23">
      <c r="W6519" s="45"/>
    </row>
    <row r="6520" spans="23:23">
      <c r="W6520" s="45"/>
    </row>
    <row r="6521" spans="23:23">
      <c r="W6521" s="45"/>
    </row>
    <row r="6522" spans="23:23">
      <c r="W6522" s="45"/>
    </row>
    <row r="6523" spans="23:23">
      <c r="W6523" s="45"/>
    </row>
    <row r="6524" spans="23:23">
      <c r="W6524" s="45"/>
    </row>
    <row r="6525" spans="23:23">
      <c r="W6525" s="45"/>
    </row>
    <row r="6526" spans="23:23">
      <c r="W6526" s="45"/>
    </row>
    <row r="6527" spans="23:23">
      <c r="W6527" s="45"/>
    </row>
    <row r="6528" spans="23:23">
      <c r="W6528" s="45"/>
    </row>
    <row r="6529" spans="23:23">
      <c r="W6529" s="45"/>
    </row>
    <row r="6530" spans="23:23">
      <c r="W6530" s="45"/>
    </row>
    <row r="6531" spans="23:23">
      <c r="W6531" s="45"/>
    </row>
    <row r="6532" spans="23:23">
      <c r="W6532" s="45"/>
    </row>
    <row r="6533" spans="23:23">
      <c r="W6533" s="45"/>
    </row>
    <row r="6534" spans="23:23">
      <c r="W6534" s="45"/>
    </row>
    <row r="6535" spans="23:23">
      <c r="W6535" s="45"/>
    </row>
    <row r="6536" spans="23:23">
      <c r="W6536" s="45"/>
    </row>
    <row r="6537" spans="23:23">
      <c r="W6537" s="45"/>
    </row>
    <row r="6538" spans="23:23">
      <c r="W6538" s="45"/>
    </row>
    <row r="6539" spans="23:23">
      <c r="W6539" s="45"/>
    </row>
    <row r="6540" spans="23:23">
      <c r="W6540" s="45"/>
    </row>
    <row r="6541" spans="23:23">
      <c r="W6541" s="45"/>
    </row>
    <row r="6542" spans="23:23">
      <c r="W6542" s="45"/>
    </row>
    <row r="6543" spans="23:23">
      <c r="W6543" s="45"/>
    </row>
    <row r="6544" spans="23:23">
      <c r="W6544" s="45"/>
    </row>
    <row r="6545" spans="23:23">
      <c r="W6545" s="45"/>
    </row>
    <row r="6546" spans="23:23">
      <c r="W6546" s="45"/>
    </row>
    <row r="6547" spans="23:23">
      <c r="W6547" s="45"/>
    </row>
    <row r="6548" spans="23:23">
      <c r="W6548" s="45"/>
    </row>
    <row r="6549" spans="23:23">
      <c r="W6549" s="45"/>
    </row>
    <row r="6550" spans="23:23">
      <c r="W6550" s="45"/>
    </row>
    <row r="6551" spans="23:23">
      <c r="W6551" s="45"/>
    </row>
    <row r="6552" spans="23:23">
      <c r="W6552" s="45"/>
    </row>
    <row r="6553" spans="23:23">
      <c r="W6553" s="45"/>
    </row>
    <row r="6554" spans="23:23">
      <c r="W6554" s="45"/>
    </row>
    <row r="6555" spans="23:23">
      <c r="W6555" s="45"/>
    </row>
    <row r="6556" spans="23:23">
      <c r="W6556" s="45"/>
    </row>
    <row r="6557" spans="23:23">
      <c r="W6557" s="45"/>
    </row>
    <row r="6558" spans="23:23">
      <c r="W6558" s="45"/>
    </row>
    <row r="6559" spans="23:23">
      <c r="W6559" s="45"/>
    </row>
    <row r="6560" spans="23:23">
      <c r="W6560" s="45"/>
    </row>
    <row r="6561" spans="23:23">
      <c r="W6561" s="45"/>
    </row>
    <row r="6562" spans="23:23">
      <c r="W6562" s="45"/>
    </row>
    <row r="6563" spans="23:23">
      <c r="W6563" s="45"/>
    </row>
    <row r="6564" spans="23:23">
      <c r="W6564" s="45"/>
    </row>
    <row r="6565" spans="23:23">
      <c r="W6565" s="45"/>
    </row>
    <row r="6566" spans="23:23">
      <c r="W6566" s="45"/>
    </row>
    <row r="6567" spans="23:23">
      <c r="W6567" s="45"/>
    </row>
    <row r="6568" spans="23:23">
      <c r="W6568" s="45"/>
    </row>
    <row r="6569" spans="23:23">
      <c r="W6569" s="45"/>
    </row>
    <row r="6570" spans="23:23">
      <c r="W6570" s="45"/>
    </row>
    <row r="6571" spans="23:23">
      <c r="W6571" s="45"/>
    </row>
    <row r="6572" spans="23:23">
      <c r="W6572" s="45"/>
    </row>
    <row r="6573" spans="23:23">
      <c r="W6573" s="45"/>
    </row>
    <row r="6574" spans="23:23">
      <c r="W6574" s="45"/>
    </row>
    <row r="6575" spans="23:23">
      <c r="W6575" s="45"/>
    </row>
    <row r="6576" spans="23:23">
      <c r="W6576" s="45"/>
    </row>
    <row r="6577" spans="23:23">
      <c r="W6577" s="45"/>
    </row>
    <row r="6578" spans="23:23">
      <c r="W6578" s="45"/>
    </row>
    <row r="6579" spans="23:23">
      <c r="W6579" s="45"/>
    </row>
    <row r="6580" spans="23:23">
      <c r="W6580" s="45"/>
    </row>
    <row r="6581" spans="23:23">
      <c r="W6581" s="45"/>
    </row>
    <row r="6582" spans="23:23">
      <c r="W6582" s="45"/>
    </row>
    <row r="6583" spans="23:23">
      <c r="W6583" s="45"/>
    </row>
    <row r="6584" spans="23:23">
      <c r="W6584" s="45"/>
    </row>
    <row r="6585" spans="23:23">
      <c r="W6585" s="45"/>
    </row>
    <row r="6586" spans="23:23">
      <c r="W6586" s="45"/>
    </row>
    <row r="6587" spans="23:23">
      <c r="W6587" s="45"/>
    </row>
    <row r="6588" spans="23:23">
      <c r="W6588" s="45"/>
    </row>
    <row r="6589" spans="23:23">
      <c r="W6589" s="45"/>
    </row>
    <row r="6590" spans="23:23">
      <c r="W6590" s="45"/>
    </row>
    <row r="6591" spans="23:23">
      <c r="W6591" s="45"/>
    </row>
    <row r="6592" spans="23:23">
      <c r="W6592" s="45"/>
    </row>
    <row r="6593" spans="23:23">
      <c r="W6593" s="45"/>
    </row>
    <row r="6594" spans="23:23">
      <c r="W6594" s="45"/>
    </row>
    <row r="6595" spans="23:23">
      <c r="W6595" s="45"/>
    </row>
    <row r="6596" spans="23:23">
      <c r="W6596" s="45"/>
    </row>
    <row r="6597" spans="23:23">
      <c r="W6597" s="45"/>
    </row>
    <row r="6598" spans="23:23">
      <c r="W6598" s="45"/>
    </row>
    <row r="6599" spans="23:23">
      <c r="W6599" s="45"/>
    </row>
    <row r="6600" spans="23:23">
      <c r="W6600" s="45"/>
    </row>
    <row r="6601" spans="23:23">
      <c r="W6601" s="45"/>
    </row>
    <row r="6602" spans="23:23">
      <c r="W6602" s="45"/>
    </row>
    <row r="6603" spans="23:23">
      <c r="W6603" s="45"/>
    </row>
    <row r="6604" spans="23:23">
      <c r="W6604" s="45"/>
    </row>
    <row r="6605" spans="23:23">
      <c r="W6605" s="45"/>
    </row>
    <row r="6606" spans="23:23">
      <c r="W6606" s="45"/>
    </row>
    <row r="6607" spans="23:23">
      <c r="W6607" s="45"/>
    </row>
    <row r="6608" spans="23:23">
      <c r="W6608" s="45"/>
    </row>
    <row r="6609" spans="23:23">
      <c r="W6609" s="45"/>
    </row>
    <row r="6610" spans="23:23">
      <c r="W6610" s="45"/>
    </row>
    <row r="6611" spans="23:23">
      <c r="W6611" s="45"/>
    </row>
    <row r="6612" spans="23:23">
      <c r="W6612" s="45"/>
    </row>
    <row r="6613" spans="23:23">
      <c r="W6613" s="45"/>
    </row>
    <row r="6614" spans="23:23">
      <c r="W6614" s="45"/>
    </row>
    <row r="6615" spans="23:23">
      <c r="W6615" s="45"/>
    </row>
    <row r="6616" spans="23:23">
      <c r="W6616" s="45"/>
    </row>
    <row r="6617" spans="23:23">
      <c r="W6617" s="45"/>
    </row>
    <row r="6618" spans="23:23">
      <c r="W6618" s="45"/>
    </row>
    <row r="6619" spans="23:23">
      <c r="W6619" s="45"/>
    </row>
    <row r="6620" spans="23:23">
      <c r="W6620" s="45"/>
    </row>
    <row r="6621" spans="23:23">
      <c r="W6621" s="45"/>
    </row>
    <row r="6622" spans="23:23">
      <c r="W6622" s="45"/>
    </row>
    <row r="6623" spans="23:23">
      <c r="W6623" s="45"/>
    </row>
    <row r="6624" spans="23:23">
      <c r="W6624" s="45"/>
    </row>
    <row r="6625" spans="23:23">
      <c r="W6625" s="45"/>
    </row>
    <row r="6626" spans="23:23">
      <c r="W6626" s="45"/>
    </row>
    <row r="6627" spans="23:23">
      <c r="W6627" s="45"/>
    </row>
    <row r="6628" spans="23:23">
      <c r="W6628" s="45"/>
    </row>
    <row r="6629" spans="23:23">
      <c r="W6629" s="45"/>
    </row>
    <row r="6630" spans="23:23">
      <c r="W6630" s="45"/>
    </row>
    <row r="6631" spans="23:23">
      <c r="W6631" s="45"/>
    </row>
    <row r="6632" spans="23:23">
      <c r="W6632" s="45"/>
    </row>
    <row r="6633" spans="23:23">
      <c r="W6633" s="45"/>
    </row>
    <row r="6634" spans="23:23">
      <c r="W6634" s="45"/>
    </row>
    <row r="6635" spans="23:23">
      <c r="W6635" s="45"/>
    </row>
    <row r="6636" spans="23:23">
      <c r="W6636" s="45"/>
    </row>
    <row r="6637" spans="23:23">
      <c r="W6637" s="45"/>
    </row>
    <row r="6638" spans="23:23">
      <c r="W6638" s="45"/>
    </row>
    <row r="6639" spans="23:23">
      <c r="W6639" s="45"/>
    </row>
    <row r="6640" spans="23:23">
      <c r="W6640" s="45"/>
    </row>
    <row r="6641" spans="23:23">
      <c r="W6641" s="45"/>
    </row>
    <row r="6642" spans="23:23">
      <c r="W6642" s="45"/>
    </row>
    <row r="6643" spans="23:23">
      <c r="W6643" s="45"/>
    </row>
    <row r="6644" spans="23:23">
      <c r="W6644" s="45"/>
    </row>
    <row r="6645" spans="23:23">
      <c r="W6645" s="45"/>
    </row>
    <row r="6646" spans="23:23">
      <c r="W6646" s="45"/>
    </row>
    <row r="6647" spans="23:23">
      <c r="W6647" s="45"/>
    </row>
    <row r="6648" spans="23:23">
      <c r="W6648" s="45"/>
    </row>
    <row r="6649" spans="23:23">
      <c r="W6649" s="45"/>
    </row>
    <row r="6650" spans="23:23">
      <c r="W6650" s="45"/>
    </row>
    <row r="6651" spans="23:23">
      <c r="W6651" s="45"/>
    </row>
    <row r="6652" spans="23:23">
      <c r="W6652" s="45"/>
    </row>
    <row r="6653" spans="23:23">
      <c r="W6653" s="45"/>
    </row>
    <row r="6654" spans="23:23">
      <c r="W6654" s="45"/>
    </row>
    <row r="6655" spans="23:23">
      <c r="W6655" s="45"/>
    </row>
    <row r="6656" spans="23:23">
      <c r="W6656" s="45"/>
    </row>
    <row r="6657" spans="23:23">
      <c r="W6657" s="45"/>
    </row>
    <row r="6658" spans="23:23">
      <c r="W6658" s="45"/>
    </row>
    <row r="6659" spans="23:23">
      <c r="W6659" s="45"/>
    </row>
    <row r="6660" spans="23:23">
      <c r="W6660" s="45"/>
    </row>
    <row r="6661" spans="23:23">
      <c r="W6661" s="45"/>
    </row>
    <row r="6662" spans="23:23">
      <c r="W6662" s="45"/>
    </row>
    <row r="6663" spans="23:23">
      <c r="W6663" s="45"/>
    </row>
    <row r="6664" spans="23:23">
      <c r="W6664" s="45"/>
    </row>
    <row r="6665" spans="23:23">
      <c r="W6665" s="45"/>
    </row>
    <row r="6666" spans="23:23">
      <c r="W6666" s="45"/>
    </row>
    <row r="6667" spans="23:23">
      <c r="W6667" s="45"/>
    </row>
    <row r="6668" spans="23:23">
      <c r="W6668" s="45"/>
    </row>
    <row r="6669" spans="23:23">
      <c r="W6669" s="45"/>
    </row>
    <row r="6670" spans="23:23">
      <c r="W6670" s="45"/>
    </row>
    <row r="6671" spans="23:23">
      <c r="W6671" s="45"/>
    </row>
    <row r="6672" spans="23:23">
      <c r="W6672" s="45"/>
    </row>
    <row r="6673" spans="23:23">
      <c r="W6673" s="45"/>
    </row>
    <row r="6674" spans="23:23">
      <c r="W6674" s="45"/>
    </row>
    <row r="6675" spans="23:23">
      <c r="W6675" s="45"/>
    </row>
    <row r="6676" spans="23:23">
      <c r="W6676" s="45"/>
    </row>
    <row r="6677" spans="23:23">
      <c r="W6677" s="45"/>
    </row>
    <row r="6678" spans="23:23">
      <c r="W6678" s="45"/>
    </row>
    <row r="6679" spans="23:23">
      <c r="W6679" s="45"/>
    </row>
    <row r="6680" spans="23:23">
      <c r="W6680" s="45"/>
    </row>
    <row r="6681" spans="23:23">
      <c r="W6681" s="45"/>
    </row>
    <row r="6682" spans="23:23">
      <c r="W6682" s="45"/>
    </row>
    <row r="6683" spans="23:23">
      <c r="W6683" s="45"/>
    </row>
    <row r="6684" spans="23:23">
      <c r="W6684" s="45"/>
    </row>
    <row r="6685" spans="23:23">
      <c r="W6685" s="45"/>
    </row>
    <row r="6686" spans="23:23">
      <c r="W6686" s="45"/>
    </row>
    <row r="6687" spans="23:23">
      <c r="W6687" s="45"/>
    </row>
    <row r="6688" spans="23:23">
      <c r="W6688" s="45"/>
    </row>
    <row r="6689" spans="23:23">
      <c r="W6689" s="45"/>
    </row>
    <row r="6690" spans="23:23">
      <c r="W6690" s="45"/>
    </row>
    <row r="6691" spans="23:23">
      <c r="W6691" s="45"/>
    </row>
    <row r="6692" spans="23:23">
      <c r="W6692" s="45"/>
    </row>
    <row r="6693" spans="23:23">
      <c r="W6693" s="45"/>
    </row>
    <row r="6694" spans="23:23">
      <c r="W6694" s="45"/>
    </row>
    <row r="6695" spans="23:23">
      <c r="W6695" s="45"/>
    </row>
    <row r="6696" spans="23:23">
      <c r="W6696" s="45"/>
    </row>
    <row r="6697" spans="23:23">
      <c r="W6697" s="45"/>
    </row>
    <row r="6698" spans="23:23">
      <c r="W6698" s="45"/>
    </row>
    <row r="6699" spans="23:23">
      <c r="W6699" s="45"/>
    </row>
    <row r="6700" spans="23:23">
      <c r="W6700" s="45"/>
    </row>
    <row r="6701" spans="23:23">
      <c r="W6701" s="45"/>
    </row>
    <row r="6702" spans="23:23">
      <c r="W6702" s="45"/>
    </row>
    <row r="6703" spans="23:23">
      <c r="W6703" s="45"/>
    </row>
    <row r="6704" spans="23:23">
      <c r="W6704" s="45"/>
    </row>
    <row r="6705" spans="23:23">
      <c r="W6705" s="45"/>
    </row>
    <row r="6706" spans="23:23">
      <c r="W6706" s="45"/>
    </row>
    <row r="6707" spans="23:23">
      <c r="W6707" s="45"/>
    </row>
    <row r="6708" spans="23:23">
      <c r="W6708" s="45"/>
    </row>
    <row r="6709" spans="23:23">
      <c r="W6709" s="45"/>
    </row>
    <row r="6710" spans="23:23">
      <c r="W6710" s="45"/>
    </row>
    <row r="6711" spans="23:23">
      <c r="W6711" s="45"/>
    </row>
    <row r="6712" spans="23:23">
      <c r="W6712" s="45"/>
    </row>
    <row r="6713" spans="23:23">
      <c r="W6713" s="45"/>
    </row>
    <row r="6714" spans="23:23">
      <c r="W6714" s="45"/>
    </row>
    <row r="6715" spans="23:23">
      <c r="W6715" s="45"/>
    </row>
    <row r="6716" spans="23:23">
      <c r="W6716" s="45"/>
    </row>
    <row r="6717" spans="23:23">
      <c r="W6717" s="45"/>
    </row>
    <row r="6718" spans="23:23">
      <c r="W6718" s="45"/>
    </row>
    <row r="6719" spans="23:23">
      <c r="W6719" s="45"/>
    </row>
    <row r="6720" spans="23:23">
      <c r="W6720" s="45"/>
    </row>
    <row r="6721" spans="23:23">
      <c r="W6721" s="45"/>
    </row>
    <row r="6722" spans="23:23">
      <c r="W6722" s="45"/>
    </row>
    <row r="6723" spans="23:23">
      <c r="W6723" s="45"/>
    </row>
    <row r="6724" spans="23:23">
      <c r="W6724" s="45"/>
    </row>
    <row r="6725" spans="23:23">
      <c r="W6725" s="45"/>
    </row>
    <row r="6726" spans="23:23">
      <c r="W6726" s="45"/>
    </row>
    <row r="6727" spans="23:23">
      <c r="W6727" s="45"/>
    </row>
    <row r="6728" spans="23:23">
      <c r="W6728" s="45"/>
    </row>
    <row r="6729" spans="23:23">
      <c r="W6729" s="45"/>
    </row>
    <row r="6730" spans="23:23">
      <c r="W6730" s="45"/>
    </row>
    <row r="6731" spans="23:23">
      <c r="W6731" s="45"/>
    </row>
    <row r="6732" spans="23:23">
      <c r="W6732" s="45"/>
    </row>
    <row r="6733" spans="23:23">
      <c r="W6733" s="45"/>
    </row>
    <row r="6734" spans="23:23">
      <c r="W6734" s="45"/>
    </row>
    <row r="6735" spans="23:23">
      <c r="W6735" s="45"/>
    </row>
    <row r="6736" spans="23:23">
      <c r="W6736" s="45"/>
    </row>
    <row r="6737" spans="23:23">
      <c r="W6737" s="45"/>
    </row>
    <row r="6738" spans="23:23">
      <c r="W6738" s="45"/>
    </row>
    <row r="6739" spans="23:23">
      <c r="W6739" s="45"/>
    </row>
    <row r="6740" spans="23:23">
      <c r="W6740" s="45"/>
    </row>
    <row r="6741" spans="23:23">
      <c r="W6741" s="45"/>
    </row>
    <row r="6742" spans="23:23">
      <c r="W6742" s="45"/>
    </row>
    <row r="6743" spans="23:23">
      <c r="W6743" s="45"/>
    </row>
    <row r="6744" spans="23:23">
      <c r="W6744" s="45"/>
    </row>
    <row r="6745" spans="23:23">
      <c r="W6745" s="45"/>
    </row>
    <row r="6746" spans="23:23">
      <c r="W6746" s="45"/>
    </row>
    <row r="6747" spans="23:23">
      <c r="W6747" s="45"/>
    </row>
    <row r="6748" spans="23:23">
      <c r="W6748" s="45"/>
    </row>
    <row r="6749" spans="23:23">
      <c r="W6749" s="45"/>
    </row>
    <row r="6750" spans="23:23">
      <c r="W6750" s="45"/>
    </row>
    <row r="6751" spans="23:23">
      <c r="W6751" s="45"/>
    </row>
    <row r="6752" spans="23:23">
      <c r="W6752" s="45"/>
    </row>
    <row r="6753" spans="23:23">
      <c r="W6753" s="45"/>
    </row>
    <row r="6754" spans="23:23">
      <c r="W6754" s="45"/>
    </row>
    <row r="6755" spans="23:23">
      <c r="W6755" s="45"/>
    </row>
    <row r="6756" spans="23:23">
      <c r="W6756" s="45"/>
    </row>
    <row r="6757" spans="23:23">
      <c r="W6757" s="45"/>
    </row>
    <row r="6758" spans="23:23">
      <c r="W6758" s="45"/>
    </row>
    <row r="6759" spans="23:23">
      <c r="W6759" s="45"/>
    </row>
    <row r="6760" spans="23:23">
      <c r="W6760" s="45"/>
    </row>
    <row r="6761" spans="23:23">
      <c r="W6761" s="45"/>
    </row>
    <row r="6762" spans="23:23">
      <c r="W6762" s="45"/>
    </row>
    <row r="6763" spans="23:23">
      <c r="W6763" s="45"/>
    </row>
    <row r="6764" spans="23:23">
      <c r="W6764" s="45"/>
    </row>
    <row r="6765" spans="23:23">
      <c r="W6765" s="45"/>
    </row>
    <row r="6766" spans="23:23">
      <c r="W6766" s="45"/>
    </row>
    <row r="6767" spans="23:23">
      <c r="W6767" s="45"/>
    </row>
    <row r="6768" spans="23:23">
      <c r="W6768" s="45"/>
    </row>
    <row r="6769" spans="23:23">
      <c r="W6769" s="45"/>
    </row>
    <row r="6770" spans="23:23">
      <c r="W6770" s="45"/>
    </row>
    <row r="6771" spans="23:23">
      <c r="W6771" s="45"/>
    </row>
    <row r="6772" spans="23:23">
      <c r="W6772" s="45"/>
    </row>
    <row r="6773" spans="23:23">
      <c r="W6773" s="45"/>
    </row>
    <row r="6774" spans="23:23">
      <c r="W6774" s="45"/>
    </row>
    <row r="6775" spans="23:23">
      <c r="W6775" s="45"/>
    </row>
    <row r="6776" spans="23:23">
      <c r="W6776" s="45"/>
    </row>
    <row r="6777" spans="23:23">
      <c r="W6777" s="45"/>
    </row>
    <row r="6778" spans="23:23">
      <c r="W6778" s="45"/>
    </row>
    <row r="6779" spans="23:23">
      <c r="W6779" s="45"/>
    </row>
    <row r="6780" spans="23:23">
      <c r="W6780" s="45"/>
    </row>
    <row r="6781" spans="23:23">
      <c r="W6781" s="45"/>
    </row>
    <row r="6782" spans="23:23">
      <c r="W6782" s="45"/>
    </row>
    <row r="6783" spans="23:23">
      <c r="W6783" s="45"/>
    </row>
    <row r="6784" spans="23:23">
      <c r="W6784" s="45"/>
    </row>
    <row r="6785" spans="23:23">
      <c r="W6785" s="45"/>
    </row>
    <row r="6786" spans="23:23">
      <c r="W6786" s="45"/>
    </row>
    <row r="6787" spans="23:23">
      <c r="W6787" s="45"/>
    </row>
    <row r="6788" spans="23:23">
      <c r="W6788" s="45"/>
    </row>
    <row r="6789" spans="23:23">
      <c r="W6789" s="45"/>
    </row>
    <row r="6790" spans="23:23">
      <c r="W6790" s="45"/>
    </row>
    <row r="6791" spans="23:23">
      <c r="W6791" s="45"/>
    </row>
    <row r="6792" spans="23:23">
      <c r="W6792" s="45"/>
    </row>
    <row r="6793" spans="23:23">
      <c r="W6793" s="45"/>
    </row>
    <row r="6794" spans="23:23">
      <c r="W6794" s="45"/>
    </row>
    <row r="6795" spans="23:23">
      <c r="W6795" s="45"/>
    </row>
    <row r="6796" spans="23:23">
      <c r="W6796" s="45"/>
    </row>
    <row r="6797" spans="23:23">
      <c r="W6797" s="45"/>
    </row>
    <row r="6798" spans="23:23">
      <c r="W6798" s="45"/>
    </row>
    <row r="6799" spans="23:23">
      <c r="W6799" s="45"/>
    </row>
    <row r="6800" spans="23:23">
      <c r="W6800" s="45"/>
    </row>
    <row r="6801" spans="23:23">
      <c r="W6801" s="45"/>
    </row>
    <row r="6802" spans="23:23">
      <c r="W6802" s="45"/>
    </row>
    <row r="6803" spans="23:23">
      <c r="W6803" s="45"/>
    </row>
    <row r="6804" spans="23:23">
      <c r="W6804" s="45"/>
    </row>
    <row r="6805" spans="23:23">
      <c r="W6805" s="45"/>
    </row>
    <row r="6806" spans="23:23">
      <c r="W6806" s="45"/>
    </row>
    <row r="6807" spans="23:23">
      <c r="W6807" s="45"/>
    </row>
    <row r="6808" spans="23:23">
      <c r="W6808" s="45"/>
    </row>
    <row r="6809" spans="23:23">
      <c r="W6809" s="45"/>
    </row>
    <row r="6810" spans="23:23">
      <c r="W6810" s="45"/>
    </row>
    <row r="6811" spans="23:23">
      <c r="W6811" s="45"/>
    </row>
    <row r="6812" spans="23:23">
      <c r="W6812" s="45"/>
    </row>
    <row r="6813" spans="23:23">
      <c r="W6813" s="45"/>
    </row>
    <row r="6814" spans="23:23">
      <c r="W6814" s="45"/>
    </row>
    <row r="6815" spans="23:23">
      <c r="W6815" s="45"/>
    </row>
    <row r="6816" spans="23:23">
      <c r="W6816" s="45"/>
    </row>
    <row r="6817" spans="23:23">
      <c r="W6817" s="45"/>
    </row>
    <row r="6818" spans="23:23">
      <c r="W6818" s="45"/>
    </row>
    <row r="6819" spans="23:23">
      <c r="W6819" s="45"/>
    </row>
    <row r="6820" spans="23:23">
      <c r="W6820" s="45"/>
    </row>
    <row r="6821" spans="23:23">
      <c r="W6821" s="45"/>
    </row>
    <row r="6822" spans="23:23">
      <c r="W6822" s="45"/>
    </row>
    <row r="6823" spans="23:23">
      <c r="W6823" s="45"/>
    </row>
    <row r="6824" spans="23:23">
      <c r="W6824" s="45"/>
    </row>
    <row r="6825" spans="23:23">
      <c r="W6825" s="45"/>
    </row>
    <row r="6826" spans="23:23">
      <c r="W6826" s="45"/>
    </row>
    <row r="6827" spans="23:23">
      <c r="W6827" s="45"/>
    </row>
    <row r="6828" spans="23:23">
      <c r="W6828" s="45"/>
    </row>
    <row r="6829" spans="23:23">
      <c r="W6829" s="45"/>
    </row>
    <row r="6830" spans="23:23">
      <c r="W6830" s="45"/>
    </row>
    <row r="6831" spans="23:23">
      <c r="W6831" s="45"/>
    </row>
    <row r="6832" spans="23:23">
      <c r="W6832" s="45"/>
    </row>
    <row r="6833" spans="23:23">
      <c r="W6833" s="45"/>
    </row>
    <row r="6834" spans="23:23">
      <c r="W6834" s="45"/>
    </row>
    <row r="6835" spans="23:23">
      <c r="W6835" s="45"/>
    </row>
    <row r="6836" spans="23:23">
      <c r="W6836" s="45"/>
    </row>
    <row r="6837" spans="23:23">
      <c r="W6837" s="45"/>
    </row>
    <row r="6838" spans="23:23">
      <c r="W6838" s="45"/>
    </row>
    <row r="6839" spans="23:23">
      <c r="W6839" s="45"/>
    </row>
    <row r="6840" spans="23:23">
      <c r="W6840" s="45"/>
    </row>
    <row r="6841" spans="23:23">
      <c r="W6841" s="45"/>
    </row>
    <row r="6842" spans="23:23">
      <c r="W6842" s="45"/>
    </row>
    <row r="6843" spans="23:23">
      <c r="W6843" s="45"/>
    </row>
    <row r="6844" spans="23:23">
      <c r="W6844" s="45"/>
    </row>
    <row r="6845" spans="23:23">
      <c r="W6845" s="45"/>
    </row>
    <row r="6846" spans="23:23">
      <c r="W6846" s="45"/>
    </row>
    <row r="6847" spans="23:23">
      <c r="W6847" s="45"/>
    </row>
    <row r="6848" spans="23:23">
      <c r="W6848" s="45"/>
    </row>
    <row r="6849" spans="23:23">
      <c r="W6849" s="45"/>
    </row>
    <row r="6850" spans="23:23">
      <c r="W6850" s="45"/>
    </row>
    <row r="6851" spans="23:23">
      <c r="W6851" s="45"/>
    </row>
    <row r="6852" spans="23:23">
      <c r="W6852" s="45"/>
    </row>
    <row r="6853" spans="23:23">
      <c r="W6853" s="45"/>
    </row>
    <row r="6854" spans="23:23">
      <c r="W6854" s="45"/>
    </row>
    <row r="6855" spans="23:23">
      <c r="W6855" s="45"/>
    </row>
    <row r="6856" spans="23:23">
      <c r="W6856" s="45"/>
    </row>
    <row r="6857" spans="23:23">
      <c r="W6857" s="45"/>
    </row>
    <row r="6858" spans="23:23">
      <c r="W6858" s="45"/>
    </row>
    <row r="6859" spans="23:23">
      <c r="W6859" s="45"/>
    </row>
    <row r="6860" spans="23:23">
      <c r="W6860" s="45"/>
    </row>
    <row r="6861" spans="23:23">
      <c r="W6861" s="45"/>
    </row>
    <row r="6862" spans="23:23">
      <c r="W6862" s="45"/>
    </row>
    <row r="6863" spans="23:23">
      <c r="W6863" s="45"/>
    </row>
    <row r="6864" spans="23:23">
      <c r="W6864" s="45"/>
    </row>
    <row r="6865" spans="23:23">
      <c r="W6865" s="45"/>
    </row>
    <row r="6866" spans="23:23">
      <c r="W6866" s="45"/>
    </row>
    <row r="6867" spans="23:23">
      <c r="W6867" s="45"/>
    </row>
    <row r="6868" spans="23:23">
      <c r="W6868" s="45"/>
    </row>
    <row r="6869" spans="23:23">
      <c r="W6869" s="45"/>
    </row>
    <row r="6870" spans="23:23">
      <c r="W6870" s="45"/>
    </row>
    <row r="6871" spans="23:23">
      <c r="W6871" s="45"/>
    </row>
    <row r="6872" spans="23:23">
      <c r="W6872" s="45"/>
    </row>
    <row r="6873" spans="23:23">
      <c r="W6873" s="45"/>
    </row>
    <row r="6874" spans="23:23">
      <c r="W6874" s="45"/>
    </row>
    <row r="6875" spans="23:23">
      <c r="W6875" s="45"/>
    </row>
    <row r="6876" spans="23:23">
      <c r="W6876" s="45"/>
    </row>
    <row r="6877" spans="23:23">
      <c r="W6877" s="45"/>
    </row>
    <row r="6878" spans="23:23">
      <c r="W6878" s="45"/>
    </row>
    <row r="6879" spans="23:23">
      <c r="W6879" s="45"/>
    </row>
    <row r="6880" spans="23:23">
      <c r="W6880" s="45"/>
    </row>
    <row r="6881" spans="23:23">
      <c r="W6881" s="45"/>
    </row>
    <row r="6882" spans="23:23">
      <c r="W6882" s="45"/>
    </row>
    <row r="6883" spans="23:23">
      <c r="W6883" s="45"/>
    </row>
    <row r="6884" spans="23:23">
      <c r="W6884" s="45"/>
    </row>
    <row r="6885" spans="23:23">
      <c r="W6885" s="45"/>
    </row>
    <row r="6886" spans="23:23">
      <c r="W6886" s="45"/>
    </row>
    <row r="6887" spans="23:23">
      <c r="W6887" s="45"/>
    </row>
    <row r="6888" spans="23:23">
      <c r="W6888" s="45"/>
    </row>
    <row r="6889" spans="23:23">
      <c r="W6889" s="45"/>
    </row>
    <row r="6890" spans="23:23">
      <c r="W6890" s="45"/>
    </row>
    <row r="6891" spans="23:23">
      <c r="W6891" s="45"/>
    </row>
    <row r="6892" spans="23:23">
      <c r="W6892" s="45"/>
    </row>
    <row r="6893" spans="23:23">
      <c r="W6893" s="45"/>
    </row>
    <row r="6894" spans="23:23">
      <c r="W6894" s="45"/>
    </row>
    <row r="6895" spans="23:23">
      <c r="W6895" s="45"/>
    </row>
    <row r="6896" spans="23:23">
      <c r="W6896" s="45"/>
    </row>
    <row r="6897" spans="23:23">
      <c r="W6897" s="45"/>
    </row>
    <row r="6898" spans="23:23">
      <c r="W6898" s="45"/>
    </row>
    <row r="6899" spans="23:23">
      <c r="W6899" s="45"/>
    </row>
    <row r="6900" spans="23:23">
      <c r="W6900" s="45"/>
    </row>
    <row r="6901" spans="23:23">
      <c r="W6901" s="45"/>
    </row>
    <row r="6902" spans="23:23">
      <c r="W6902" s="45"/>
    </row>
    <row r="6903" spans="23:23">
      <c r="W6903" s="45"/>
    </row>
    <row r="6904" spans="23:23">
      <c r="W6904" s="45"/>
    </row>
    <row r="6905" spans="23:23">
      <c r="W6905" s="45"/>
    </row>
    <row r="6906" spans="23:23">
      <c r="W6906" s="45"/>
    </row>
    <row r="6907" spans="23:23">
      <c r="W6907" s="45"/>
    </row>
    <row r="6908" spans="23:23">
      <c r="W6908" s="45"/>
    </row>
    <row r="6909" spans="23:23">
      <c r="W6909" s="45"/>
    </row>
    <row r="6910" spans="23:23">
      <c r="W6910" s="45"/>
    </row>
    <row r="6911" spans="23:23">
      <c r="W6911" s="45"/>
    </row>
    <row r="6912" spans="23:23">
      <c r="W6912" s="45"/>
    </row>
    <row r="6913" spans="23:23">
      <c r="W6913" s="45"/>
    </row>
    <row r="6914" spans="23:23">
      <c r="W6914" s="45"/>
    </row>
    <row r="6915" spans="23:23">
      <c r="W6915" s="45"/>
    </row>
    <row r="6916" spans="23:23">
      <c r="W6916" s="45"/>
    </row>
    <row r="6917" spans="23:23">
      <c r="W6917" s="45"/>
    </row>
    <row r="6918" spans="23:23">
      <c r="W6918" s="45"/>
    </row>
    <row r="6919" spans="23:23">
      <c r="W6919" s="45"/>
    </row>
    <row r="6920" spans="23:23">
      <c r="W6920" s="45"/>
    </row>
    <row r="6921" spans="23:23">
      <c r="W6921" s="45"/>
    </row>
    <row r="6922" spans="23:23">
      <c r="W6922" s="45"/>
    </row>
    <row r="6923" spans="23:23">
      <c r="W6923" s="45"/>
    </row>
    <row r="6924" spans="23:23">
      <c r="W6924" s="45"/>
    </row>
    <row r="6925" spans="23:23">
      <c r="W6925" s="45"/>
    </row>
    <row r="6926" spans="23:23">
      <c r="W6926" s="45"/>
    </row>
    <row r="6927" spans="23:23">
      <c r="W6927" s="45"/>
    </row>
    <row r="6928" spans="23:23">
      <c r="W6928" s="45"/>
    </row>
    <row r="6929" spans="23:23">
      <c r="W6929" s="45"/>
    </row>
    <row r="6930" spans="23:23">
      <c r="W6930" s="45"/>
    </row>
    <row r="6931" spans="23:23">
      <c r="W6931" s="45"/>
    </row>
    <row r="6932" spans="23:23">
      <c r="W6932" s="45"/>
    </row>
    <row r="6933" spans="23:23">
      <c r="W6933" s="45"/>
    </row>
    <row r="6934" spans="23:23">
      <c r="W6934" s="45"/>
    </row>
    <row r="6935" spans="23:23">
      <c r="W6935" s="45"/>
    </row>
    <row r="6936" spans="23:23">
      <c r="W6936" s="45"/>
    </row>
    <row r="6937" spans="23:23">
      <c r="W6937" s="45"/>
    </row>
    <row r="6938" spans="23:23">
      <c r="W6938" s="45"/>
    </row>
    <row r="6939" spans="23:23">
      <c r="W6939" s="45"/>
    </row>
    <row r="6940" spans="23:23">
      <c r="W6940" s="45"/>
    </row>
    <row r="6941" spans="23:23">
      <c r="W6941" s="45"/>
    </row>
    <row r="6942" spans="23:23">
      <c r="W6942" s="45"/>
    </row>
    <row r="6943" spans="23:23">
      <c r="W6943" s="45"/>
    </row>
    <row r="6944" spans="23:23">
      <c r="W6944" s="45"/>
    </row>
    <row r="6945" spans="23:23">
      <c r="W6945" s="45"/>
    </row>
    <row r="6946" spans="23:23">
      <c r="W6946" s="45"/>
    </row>
    <row r="6947" spans="23:23">
      <c r="W6947" s="45"/>
    </row>
    <row r="6948" spans="23:23">
      <c r="W6948" s="45"/>
    </row>
    <row r="6949" spans="23:23">
      <c r="W6949" s="45"/>
    </row>
    <row r="6950" spans="23:23">
      <c r="W6950" s="45"/>
    </row>
    <row r="6951" spans="23:23">
      <c r="W6951" s="45"/>
    </row>
    <row r="6952" spans="23:23">
      <c r="W6952" s="45"/>
    </row>
    <row r="6953" spans="23:23">
      <c r="W6953" s="45"/>
    </row>
    <row r="6954" spans="23:23">
      <c r="W6954" s="45"/>
    </row>
    <row r="6955" spans="23:23">
      <c r="W6955" s="45"/>
    </row>
    <row r="6956" spans="23:23">
      <c r="W6956" s="45"/>
    </row>
    <row r="6957" spans="23:23">
      <c r="W6957" s="45"/>
    </row>
    <row r="6958" spans="23:23">
      <c r="W6958" s="45"/>
    </row>
    <row r="6959" spans="23:23">
      <c r="W6959" s="45"/>
    </row>
    <row r="6960" spans="23:23">
      <c r="W6960" s="45"/>
    </row>
    <row r="6961" spans="23:23">
      <c r="W6961" s="45"/>
    </row>
    <row r="6962" spans="23:23">
      <c r="W6962" s="45"/>
    </row>
    <row r="6963" spans="23:23">
      <c r="W6963" s="45"/>
    </row>
    <row r="6964" spans="23:23">
      <c r="W6964" s="45"/>
    </row>
    <row r="6965" spans="23:23">
      <c r="W6965" s="45"/>
    </row>
    <row r="6966" spans="23:23">
      <c r="W6966" s="45"/>
    </row>
    <row r="6967" spans="23:23">
      <c r="W6967" s="45"/>
    </row>
    <row r="6968" spans="23:23">
      <c r="W6968" s="45"/>
    </row>
    <row r="6969" spans="23:23">
      <c r="W6969" s="45"/>
    </row>
    <row r="6970" spans="23:23">
      <c r="W6970" s="45"/>
    </row>
    <row r="6971" spans="23:23">
      <c r="W6971" s="45"/>
    </row>
    <row r="6972" spans="23:23">
      <c r="W6972" s="45"/>
    </row>
    <row r="6973" spans="23:23">
      <c r="W6973" s="45"/>
    </row>
    <row r="6974" spans="23:23">
      <c r="W6974" s="45"/>
    </row>
    <row r="6975" spans="23:23">
      <c r="W6975" s="45"/>
    </row>
    <row r="6976" spans="23:23">
      <c r="W6976" s="45"/>
    </row>
    <row r="6977" spans="23:23">
      <c r="W6977" s="45"/>
    </row>
    <row r="6978" spans="23:23">
      <c r="W6978" s="45"/>
    </row>
    <row r="6979" spans="23:23">
      <c r="W6979" s="45"/>
    </row>
    <row r="6980" spans="23:23">
      <c r="W6980" s="45"/>
    </row>
    <row r="6981" spans="23:23">
      <c r="W6981" s="45"/>
    </row>
    <row r="6982" spans="23:23">
      <c r="W6982" s="45"/>
    </row>
    <row r="6983" spans="23:23">
      <c r="W6983" s="45"/>
    </row>
    <row r="6984" spans="23:23">
      <c r="W6984" s="45"/>
    </row>
    <row r="6985" spans="23:23">
      <c r="W6985" s="45"/>
    </row>
    <row r="6986" spans="23:23">
      <c r="W6986" s="45"/>
    </row>
    <row r="6987" spans="23:23">
      <c r="W6987" s="45"/>
    </row>
    <row r="6988" spans="23:23">
      <c r="W6988" s="45"/>
    </row>
    <row r="6989" spans="23:23">
      <c r="W6989" s="45"/>
    </row>
    <row r="6990" spans="23:23">
      <c r="W6990" s="45"/>
    </row>
    <row r="6991" spans="23:23">
      <c r="W6991" s="45"/>
    </row>
    <row r="6992" spans="23:23">
      <c r="W6992" s="45"/>
    </row>
    <row r="6993" spans="23:23">
      <c r="W6993" s="45"/>
    </row>
    <row r="6994" spans="23:23">
      <c r="W6994" s="45"/>
    </row>
    <row r="6995" spans="23:23">
      <c r="W6995" s="45"/>
    </row>
    <row r="6996" spans="23:23">
      <c r="W6996" s="45"/>
    </row>
    <row r="6997" spans="23:23">
      <c r="W6997" s="45"/>
    </row>
    <row r="6998" spans="23:23">
      <c r="W6998" s="45"/>
    </row>
    <row r="6999" spans="23:23">
      <c r="W6999" s="45"/>
    </row>
    <row r="7000" spans="23:23">
      <c r="W7000" s="45"/>
    </row>
    <row r="7001" spans="23:23">
      <c r="W7001" s="45"/>
    </row>
    <row r="7002" spans="23:23">
      <c r="W7002" s="45"/>
    </row>
    <row r="7003" spans="23:23">
      <c r="W7003" s="45"/>
    </row>
    <row r="7004" spans="23:23">
      <c r="W7004" s="45"/>
    </row>
    <row r="7005" spans="23:23">
      <c r="W7005" s="45"/>
    </row>
    <row r="7006" spans="23:23">
      <c r="W7006" s="45"/>
    </row>
    <row r="7007" spans="23:23">
      <c r="W7007" s="45"/>
    </row>
    <row r="7008" spans="23:23">
      <c r="W7008" s="45"/>
    </row>
    <row r="7009" spans="23:23">
      <c r="W7009" s="45"/>
    </row>
    <row r="7010" spans="23:23">
      <c r="W7010" s="45"/>
    </row>
    <row r="7011" spans="23:23">
      <c r="W7011" s="45"/>
    </row>
    <row r="7012" spans="23:23">
      <c r="W7012" s="45"/>
    </row>
    <row r="7013" spans="23:23">
      <c r="W7013" s="45"/>
    </row>
    <row r="7014" spans="23:23">
      <c r="W7014" s="45"/>
    </row>
    <row r="7015" spans="23:23">
      <c r="W7015" s="45"/>
    </row>
    <row r="7016" spans="23:23">
      <c r="W7016" s="45"/>
    </row>
    <row r="7017" spans="23:23">
      <c r="W7017" s="45"/>
    </row>
    <row r="7018" spans="23:23">
      <c r="W7018" s="45"/>
    </row>
    <row r="7019" spans="23:23">
      <c r="W7019" s="45"/>
    </row>
    <row r="7020" spans="23:23">
      <c r="W7020" s="45"/>
    </row>
    <row r="7021" spans="23:23">
      <c r="W7021" s="45"/>
    </row>
    <row r="7022" spans="23:23">
      <c r="W7022" s="45"/>
    </row>
    <row r="7023" spans="23:23">
      <c r="W7023" s="45"/>
    </row>
    <row r="7024" spans="23:23">
      <c r="W7024" s="45"/>
    </row>
    <row r="7025" spans="23:23">
      <c r="W7025" s="45"/>
    </row>
    <row r="7026" spans="23:23">
      <c r="W7026" s="45"/>
    </row>
    <row r="7027" spans="23:23">
      <c r="W7027" s="45"/>
    </row>
    <row r="7028" spans="23:23">
      <c r="W7028" s="45"/>
    </row>
    <row r="7029" spans="23:23">
      <c r="W7029" s="45"/>
    </row>
    <row r="7030" spans="23:23">
      <c r="W7030" s="45"/>
    </row>
    <row r="7031" spans="23:23">
      <c r="W7031" s="45"/>
    </row>
    <row r="7032" spans="23:23">
      <c r="W7032" s="45"/>
    </row>
    <row r="7033" spans="23:23">
      <c r="W7033" s="45"/>
    </row>
    <row r="7034" spans="23:23">
      <c r="W7034" s="45"/>
    </row>
    <row r="7035" spans="23:23">
      <c r="W7035" s="45"/>
    </row>
    <row r="7036" spans="23:23">
      <c r="W7036" s="45"/>
    </row>
    <row r="7037" spans="23:23">
      <c r="W7037" s="45"/>
    </row>
    <row r="7038" spans="23:23">
      <c r="W7038" s="45"/>
    </row>
    <row r="7039" spans="23:23">
      <c r="W7039" s="45"/>
    </row>
    <row r="7040" spans="23:23">
      <c r="W7040" s="45"/>
    </row>
    <row r="7041" spans="23:23">
      <c r="W7041" s="45"/>
    </row>
    <row r="7042" spans="23:23">
      <c r="W7042" s="45"/>
    </row>
    <row r="7043" spans="23:23">
      <c r="W7043" s="45"/>
    </row>
    <row r="7044" spans="23:23">
      <c r="W7044" s="45"/>
    </row>
    <row r="7045" spans="23:23">
      <c r="W7045" s="45"/>
    </row>
    <row r="7046" spans="23:23">
      <c r="W7046" s="45"/>
    </row>
    <row r="7047" spans="23:23">
      <c r="W7047" s="45"/>
    </row>
    <row r="7048" spans="23:23">
      <c r="W7048" s="45"/>
    </row>
    <row r="7049" spans="23:23">
      <c r="W7049" s="45"/>
    </row>
    <row r="7050" spans="23:23">
      <c r="W7050" s="45"/>
    </row>
    <row r="7051" spans="23:23">
      <c r="W7051" s="45"/>
    </row>
    <row r="7052" spans="23:23">
      <c r="W7052" s="45"/>
    </row>
    <row r="7053" spans="23:23">
      <c r="W7053" s="45"/>
    </row>
    <row r="7054" spans="23:23">
      <c r="W7054" s="45"/>
    </row>
    <row r="7055" spans="23:23">
      <c r="W7055" s="45"/>
    </row>
    <row r="7056" spans="23:23">
      <c r="W7056" s="45"/>
    </row>
    <row r="7057" spans="23:23">
      <c r="W7057" s="45"/>
    </row>
    <row r="7058" spans="23:23">
      <c r="W7058" s="45"/>
    </row>
    <row r="7059" spans="23:23">
      <c r="W7059" s="45"/>
    </row>
    <row r="7060" spans="23:23">
      <c r="W7060" s="45"/>
    </row>
    <row r="7061" spans="23:23">
      <c r="W7061" s="45"/>
    </row>
    <row r="7062" spans="23:23">
      <c r="W7062" s="45"/>
    </row>
    <row r="7063" spans="23:23">
      <c r="W7063" s="45"/>
    </row>
    <row r="7064" spans="23:23">
      <c r="W7064" s="45"/>
    </row>
    <row r="7065" spans="23:23">
      <c r="W7065" s="45"/>
    </row>
    <row r="7066" spans="23:23">
      <c r="W7066" s="45"/>
    </row>
    <row r="7067" spans="23:23">
      <c r="W7067" s="45"/>
    </row>
    <row r="7068" spans="23:23">
      <c r="W7068" s="45"/>
    </row>
    <row r="7069" spans="23:23">
      <c r="W7069" s="45"/>
    </row>
    <row r="7070" spans="23:23">
      <c r="W7070" s="45"/>
    </row>
    <row r="7071" spans="23:23">
      <c r="W7071" s="45"/>
    </row>
    <row r="7072" spans="23:23">
      <c r="W7072" s="45"/>
    </row>
    <row r="7073" spans="23:23">
      <c r="W7073" s="45"/>
    </row>
    <row r="7074" spans="23:23">
      <c r="W7074" s="45"/>
    </row>
    <row r="7075" spans="23:23">
      <c r="W7075" s="45"/>
    </row>
    <row r="7076" spans="23:23">
      <c r="W7076" s="45"/>
    </row>
    <row r="7077" spans="23:23">
      <c r="W7077" s="45"/>
    </row>
    <row r="7078" spans="23:23">
      <c r="W7078" s="45"/>
    </row>
    <row r="7079" spans="23:23">
      <c r="W7079" s="45"/>
    </row>
    <row r="7080" spans="23:23">
      <c r="W7080" s="45"/>
    </row>
    <row r="7081" spans="23:23">
      <c r="W7081" s="45"/>
    </row>
    <row r="7082" spans="23:23">
      <c r="W7082" s="45"/>
    </row>
    <row r="7083" spans="23:23">
      <c r="W7083" s="45"/>
    </row>
    <row r="7084" spans="23:23">
      <c r="W7084" s="45"/>
    </row>
    <row r="7085" spans="23:23">
      <c r="W7085" s="45"/>
    </row>
    <row r="7086" spans="23:23">
      <c r="W7086" s="45"/>
    </row>
    <row r="7087" spans="23:23">
      <c r="W7087" s="45"/>
    </row>
    <row r="7088" spans="23:23">
      <c r="W7088" s="45"/>
    </row>
    <row r="7089" spans="23:23">
      <c r="W7089" s="45"/>
    </row>
    <row r="7090" spans="23:23">
      <c r="W7090" s="45"/>
    </row>
    <row r="7091" spans="23:23">
      <c r="W7091" s="45"/>
    </row>
    <row r="7092" spans="23:23">
      <c r="W7092" s="45"/>
    </row>
    <row r="7093" spans="23:23">
      <c r="W7093" s="45"/>
    </row>
    <row r="7094" spans="23:23">
      <c r="W7094" s="45"/>
    </row>
    <row r="7095" spans="23:23">
      <c r="W7095" s="45"/>
    </row>
    <row r="7096" spans="23:23">
      <c r="W7096" s="45"/>
    </row>
    <row r="7097" spans="23:23">
      <c r="W7097" s="45"/>
    </row>
    <row r="7098" spans="23:23">
      <c r="W7098" s="45"/>
    </row>
    <row r="7099" spans="23:23">
      <c r="W7099" s="45"/>
    </row>
    <row r="7100" spans="23:23">
      <c r="W7100" s="45"/>
    </row>
    <row r="7101" spans="23:23">
      <c r="W7101" s="45"/>
    </row>
    <row r="7102" spans="23:23">
      <c r="W7102" s="45"/>
    </row>
    <row r="7103" spans="23:23">
      <c r="W7103" s="45"/>
    </row>
    <row r="7104" spans="23:23">
      <c r="W7104" s="45"/>
    </row>
    <row r="7105" spans="23:23">
      <c r="W7105" s="45"/>
    </row>
    <row r="7106" spans="23:23">
      <c r="W7106" s="45"/>
    </row>
    <row r="7107" spans="23:23">
      <c r="W7107" s="45"/>
    </row>
    <row r="7108" spans="23:23">
      <c r="W7108" s="45"/>
    </row>
    <row r="7109" spans="23:23">
      <c r="W7109" s="45"/>
    </row>
    <row r="7110" spans="23:23">
      <c r="W7110" s="45"/>
    </row>
    <row r="7111" spans="23:23">
      <c r="W7111" s="45"/>
    </row>
    <row r="7112" spans="23:23">
      <c r="W7112" s="45"/>
    </row>
    <row r="7113" spans="23:23">
      <c r="W7113" s="45"/>
    </row>
    <row r="7114" spans="23:23">
      <c r="W7114" s="45"/>
    </row>
    <row r="7115" spans="23:23">
      <c r="W7115" s="45"/>
    </row>
    <row r="7116" spans="23:23">
      <c r="W7116" s="45"/>
    </row>
    <row r="7117" spans="23:23">
      <c r="W7117" s="45"/>
    </row>
    <row r="7118" spans="23:23">
      <c r="W7118" s="45"/>
    </row>
    <row r="7119" spans="23:23">
      <c r="W7119" s="45"/>
    </row>
    <row r="7120" spans="23:23">
      <c r="W7120" s="45"/>
    </row>
    <row r="7121" spans="23:23">
      <c r="W7121" s="45"/>
    </row>
    <row r="7122" spans="23:23">
      <c r="W7122" s="45"/>
    </row>
    <row r="7123" spans="23:23">
      <c r="W7123" s="45"/>
    </row>
    <row r="7124" spans="23:23">
      <c r="W7124" s="45"/>
    </row>
    <row r="7125" spans="23:23">
      <c r="W7125" s="45"/>
    </row>
    <row r="7126" spans="23:23">
      <c r="W7126" s="45"/>
    </row>
    <row r="7127" spans="23:23">
      <c r="W7127" s="45"/>
    </row>
    <row r="7128" spans="23:23">
      <c r="W7128" s="45"/>
    </row>
    <row r="7129" spans="23:23">
      <c r="W7129" s="45"/>
    </row>
    <row r="7130" spans="23:23">
      <c r="W7130" s="45"/>
    </row>
    <row r="7131" spans="23:23">
      <c r="W7131" s="45"/>
    </row>
    <row r="7132" spans="23:23">
      <c r="W7132" s="45"/>
    </row>
    <row r="7133" spans="23:23">
      <c r="W7133" s="45"/>
    </row>
    <row r="7134" spans="23:23">
      <c r="W7134" s="45"/>
    </row>
    <row r="7135" spans="23:23">
      <c r="W7135" s="45"/>
    </row>
    <row r="7136" spans="23:23">
      <c r="W7136" s="45"/>
    </row>
    <row r="7137" spans="23:23">
      <c r="W7137" s="45"/>
    </row>
    <row r="7138" spans="23:23">
      <c r="W7138" s="45"/>
    </row>
    <row r="7139" spans="23:23">
      <c r="W7139" s="45"/>
    </row>
    <row r="7140" spans="23:23">
      <c r="W7140" s="45"/>
    </row>
    <row r="7141" spans="23:23">
      <c r="W7141" s="45"/>
    </row>
    <row r="7142" spans="23:23">
      <c r="W7142" s="45"/>
    </row>
    <row r="7143" spans="23:23">
      <c r="W7143" s="45"/>
    </row>
    <row r="7144" spans="23:23">
      <c r="W7144" s="45"/>
    </row>
    <row r="7145" spans="23:23">
      <c r="W7145" s="45"/>
    </row>
    <row r="7146" spans="23:23">
      <c r="W7146" s="45"/>
    </row>
    <row r="7147" spans="23:23">
      <c r="W7147" s="45"/>
    </row>
    <row r="7148" spans="23:23">
      <c r="W7148" s="45"/>
    </row>
    <row r="7149" spans="23:23">
      <c r="W7149" s="45"/>
    </row>
    <row r="7150" spans="23:23">
      <c r="W7150" s="45"/>
    </row>
    <row r="7151" spans="23:23">
      <c r="W7151" s="45"/>
    </row>
    <row r="7152" spans="23:23">
      <c r="W7152" s="45"/>
    </row>
    <row r="7153" spans="23:23">
      <c r="W7153" s="45"/>
    </row>
    <row r="7154" spans="23:23">
      <c r="W7154" s="45"/>
    </row>
    <row r="7155" spans="23:23">
      <c r="W7155" s="45"/>
    </row>
    <row r="7156" spans="23:23">
      <c r="W7156" s="45"/>
    </row>
    <row r="7157" spans="23:23">
      <c r="W7157" s="45"/>
    </row>
    <row r="7158" spans="23:23">
      <c r="W7158" s="45"/>
    </row>
    <row r="7159" spans="23:23">
      <c r="W7159" s="45"/>
    </row>
    <row r="7160" spans="23:23">
      <c r="W7160" s="45"/>
    </row>
    <row r="7161" spans="23:23">
      <c r="W7161" s="45"/>
    </row>
    <row r="7162" spans="23:23">
      <c r="W7162" s="45"/>
    </row>
    <row r="7163" spans="23:23">
      <c r="W7163" s="45"/>
    </row>
    <row r="7164" spans="23:23">
      <c r="W7164" s="45"/>
    </row>
    <row r="7165" spans="23:23">
      <c r="W7165" s="45"/>
    </row>
    <row r="7166" spans="23:23">
      <c r="W7166" s="45"/>
    </row>
    <row r="7167" spans="23:23">
      <c r="W7167" s="45"/>
    </row>
    <row r="7168" spans="23:23">
      <c r="W7168" s="45"/>
    </row>
    <row r="7169" spans="23:23">
      <c r="W7169" s="45"/>
    </row>
    <row r="7170" spans="23:23">
      <c r="W7170" s="45"/>
    </row>
    <row r="7171" spans="23:23">
      <c r="W7171" s="45"/>
    </row>
    <row r="7172" spans="23:23">
      <c r="W7172" s="45"/>
    </row>
    <row r="7173" spans="23:23">
      <c r="W7173" s="45"/>
    </row>
    <row r="7174" spans="23:23">
      <c r="W7174" s="45"/>
    </row>
    <row r="7175" spans="23:23">
      <c r="W7175" s="45"/>
    </row>
    <row r="7176" spans="23:23">
      <c r="W7176" s="45"/>
    </row>
    <row r="7177" spans="23:23">
      <c r="W7177" s="45"/>
    </row>
    <row r="7178" spans="23:23">
      <c r="W7178" s="45"/>
    </row>
    <row r="7179" spans="23:23">
      <c r="W7179" s="45"/>
    </row>
    <row r="7180" spans="23:23">
      <c r="W7180" s="45"/>
    </row>
    <row r="7181" spans="23:23">
      <c r="W7181" s="45"/>
    </row>
    <row r="7182" spans="23:23">
      <c r="W7182" s="45"/>
    </row>
    <row r="7183" spans="23:23">
      <c r="W7183" s="45"/>
    </row>
    <row r="7184" spans="23:23">
      <c r="W7184" s="45"/>
    </row>
    <row r="7185" spans="23:23">
      <c r="W7185" s="45"/>
    </row>
    <row r="7186" spans="23:23">
      <c r="W7186" s="45"/>
    </row>
    <row r="7187" spans="23:23">
      <c r="W7187" s="45"/>
    </row>
    <row r="7188" spans="23:23">
      <c r="W7188" s="45"/>
    </row>
    <row r="7189" spans="23:23">
      <c r="W7189" s="45"/>
    </row>
    <row r="7190" spans="23:23">
      <c r="W7190" s="45"/>
    </row>
    <row r="7191" spans="23:23">
      <c r="W7191" s="45"/>
    </row>
    <row r="7192" spans="23:23">
      <c r="W7192" s="45"/>
    </row>
    <row r="7193" spans="23:23">
      <c r="W7193" s="45"/>
    </row>
    <row r="7194" spans="23:23">
      <c r="W7194" s="45"/>
    </row>
    <row r="7195" spans="23:23">
      <c r="W7195" s="45"/>
    </row>
    <row r="7196" spans="23:23">
      <c r="W7196" s="45"/>
    </row>
    <row r="7197" spans="23:23">
      <c r="W7197" s="45"/>
    </row>
    <row r="7198" spans="23:23">
      <c r="W7198" s="45"/>
    </row>
    <row r="7199" spans="23:23">
      <c r="W7199" s="45"/>
    </row>
    <row r="7200" spans="23:23">
      <c r="W7200" s="45"/>
    </row>
    <row r="7201" spans="23:23">
      <c r="W7201" s="45"/>
    </row>
    <row r="7202" spans="23:23">
      <c r="W7202" s="45"/>
    </row>
    <row r="7203" spans="23:23">
      <c r="W7203" s="45"/>
    </row>
    <row r="7204" spans="23:23">
      <c r="W7204" s="45"/>
    </row>
    <row r="7205" spans="23:23">
      <c r="W7205" s="45"/>
    </row>
    <row r="7206" spans="23:23">
      <c r="W7206" s="45"/>
    </row>
    <row r="7207" spans="23:23">
      <c r="W7207" s="45"/>
    </row>
    <row r="7208" spans="23:23">
      <c r="W7208" s="45"/>
    </row>
    <row r="7209" spans="23:23">
      <c r="W7209" s="45"/>
    </row>
    <row r="7210" spans="23:23">
      <c r="W7210" s="45"/>
    </row>
    <row r="7211" spans="23:23">
      <c r="W7211" s="45"/>
    </row>
    <row r="7212" spans="23:23">
      <c r="W7212" s="45"/>
    </row>
    <row r="7213" spans="23:23">
      <c r="W7213" s="45"/>
    </row>
    <row r="7214" spans="23:23">
      <c r="W7214" s="45"/>
    </row>
    <row r="7215" spans="23:23">
      <c r="W7215" s="45"/>
    </row>
    <row r="7216" spans="23:23">
      <c r="W7216" s="45"/>
    </row>
    <row r="7217" spans="23:23">
      <c r="W7217" s="45"/>
    </row>
    <row r="7218" spans="23:23">
      <c r="W7218" s="45"/>
    </row>
    <row r="7219" spans="23:23">
      <c r="W7219" s="45"/>
    </row>
    <row r="7220" spans="23:23">
      <c r="W7220" s="45"/>
    </row>
    <row r="7221" spans="23:23">
      <c r="W7221" s="45"/>
    </row>
    <row r="7222" spans="23:23">
      <c r="W7222" s="45"/>
    </row>
    <row r="7223" spans="23:23">
      <c r="W7223" s="45"/>
    </row>
    <row r="7224" spans="23:23">
      <c r="W7224" s="45"/>
    </row>
    <row r="7225" spans="23:23">
      <c r="W7225" s="45"/>
    </row>
    <row r="7226" spans="23:23">
      <c r="W7226" s="45"/>
    </row>
    <row r="7227" spans="23:23">
      <c r="W7227" s="45"/>
    </row>
    <row r="7228" spans="23:23">
      <c r="W7228" s="45"/>
    </row>
    <row r="7229" spans="23:23">
      <c r="W7229" s="45"/>
    </row>
    <row r="7230" spans="23:23">
      <c r="W7230" s="45"/>
    </row>
    <row r="7231" spans="23:23">
      <c r="W7231" s="45"/>
    </row>
    <row r="7232" spans="23:23">
      <c r="W7232" s="45"/>
    </row>
    <row r="7233" spans="23:23">
      <c r="W7233" s="45"/>
    </row>
    <row r="7234" spans="23:23">
      <c r="W7234" s="45"/>
    </row>
    <row r="7235" spans="23:23">
      <c r="W7235" s="45"/>
    </row>
    <row r="7236" spans="23:23">
      <c r="W7236" s="45"/>
    </row>
    <row r="7237" spans="23:23">
      <c r="W7237" s="45"/>
    </row>
    <row r="7238" spans="23:23">
      <c r="W7238" s="45"/>
    </row>
    <row r="7239" spans="23:23">
      <c r="W7239" s="45"/>
    </row>
    <row r="7240" spans="23:23">
      <c r="W7240" s="45"/>
    </row>
    <row r="7241" spans="23:23">
      <c r="W7241" s="45"/>
    </row>
    <row r="7242" spans="23:23">
      <c r="W7242" s="45"/>
    </row>
    <row r="7243" spans="23:23">
      <c r="W7243" s="45"/>
    </row>
    <row r="7244" spans="23:23">
      <c r="W7244" s="45"/>
    </row>
    <row r="7245" spans="23:23">
      <c r="W7245" s="45"/>
    </row>
    <row r="7246" spans="23:23">
      <c r="W7246" s="45"/>
    </row>
    <row r="7247" spans="23:23">
      <c r="W7247" s="45"/>
    </row>
    <row r="7248" spans="23:23">
      <c r="W7248" s="45"/>
    </row>
    <row r="7249" spans="23:23">
      <c r="W7249" s="45"/>
    </row>
    <row r="7250" spans="23:23">
      <c r="W7250" s="45"/>
    </row>
    <row r="7251" spans="23:23">
      <c r="W7251" s="45"/>
    </row>
    <row r="7252" spans="23:23">
      <c r="W7252" s="45"/>
    </row>
    <row r="7253" spans="23:23">
      <c r="W7253" s="45"/>
    </row>
    <row r="7254" spans="23:23">
      <c r="W7254" s="45"/>
    </row>
    <row r="7255" spans="23:23">
      <c r="W7255" s="45"/>
    </row>
    <row r="7256" spans="23:23">
      <c r="W7256" s="45"/>
    </row>
    <row r="7257" spans="23:23">
      <c r="W7257" s="45"/>
    </row>
    <row r="7258" spans="23:23">
      <c r="W7258" s="45"/>
    </row>
    <row r="7259" spans="23:23">
      <c r="W7259" s="45"/>
    </row>
    <row r="7260" spans="23:23">
      <c r="W7260" s="45"/>
    </row>
    <row r="7261" spans="23:23">
      <c r="W7261" s="45"/>
    </row>
    <row r="7262" spans="23:23">
      <c r="W7262" s="45"/>
    </row>
    <row r="7263" spans="23:23">
      <c r="W7263" s="45"/>
    </row>
    <row r="7264" spans="23:23">
      <c r="W7264" s="45"/>
    </row>
    <row r="7265" spans="23:23">
      <c r="W7265" s="45"/>
    </row>
    <row r="7266" spans="23:23">
      <c r="W7266" s="45"/>
    </row>
    <row r="7267" spans="23:23">
      <c r="W7267" s="45"/>
    </row>
    <row r="7268" spans="23:23">
      <c r="W7268" s="45"/>
    </row>
    <row r="7269" spans="23:23">
      <c r="W7269" s="45"/>
    </row>
    <row r="7270" spans="23:23">
      <c r="W7270" s="45"/>
    </row>
    <row r="7271" spans="23:23">
      <c r="W7271" s="45"/>
    </row>
    <row r="7272" spans="23:23">
      <c r="W7272" s="45"/>
    </row>
    <row r="7273" spans="23:23">
      <c r="W7273" s="45"/>
    </row>
    <row r="7274" spans="23:23">
      <c r="W7274" s="45"/>
    </row>
    <row r="7275" spans="23:23">
      <c r="W7275" s="45"/>
    </row>
    <row r="7276" spans="23:23">
      <c r="W7276" s="45"/>
    </row>
    <row r="7277" spans="23:23">
      <c r="W7277" s="45"/>
    </row>
    <row r="7278" spans="23:23">
      <c r="W7278" s="45"/>
    </row>
    <row r="7279" spans="23:23">
      <c r="W7279" s="45"/>
    </row>
    <row r="7280" spans="23:23">
      <c r="W7280" s="45"/>
    </row>
    <row r="7281" spans="23:23">
      <c r="W7281" s="45"/>
    </row>
    <row r="7282" spans="23:23">
      <c r="W7282" s="45"/>
    </row>
    <row r="7283" spans="23:23">
      <c r="W7283" s="45"/>
    </row>
    <row r="7284" spans="23:23">
      <c r="W7284" s="45"/>
    </row>
    <row r="7285" spans="23:23">
      <c r="W7285" s="45"/>
    </row>
    <row r="7286" spans="23:23">
      <c r="W7286" s="45"/>
    </row>
    <row r="7287" spans="23:23">
      <c r="W7287" s="45"/>
    </row>
    <row r="7288" spans="23:23">
      <c r="W7288" s="45"/>
    </row>
    <row r="7289" spans="23:23">
      <c r="W7289" s="45"/>
    </row>
    <row r="7290" spans="23:23">
      <c r="W7290" s="45"/>
    </row>
    <row r="7291" spans="23:23">
      <c r="W7291" s="45"/>
    </row>
    <row r="7292" spans="23:23">
      <c r="W7292" s="45"/>
    </row>
    <row r="7293" spans="23:23">
      <c r="W7293" s="45"/>
    </row>
    <row r="7294" spans="23:23">
      <c r="W7294" s="45"/>
    </row>
    <row r="7295" spans="23:23">
      <c r="W7295" s="45"/>
    </row>
    <row r="7296" spans="23:23">
      <c r="W7296" s="45"/>
    </row>
    <row r="7297" spans="23:23">
      <c r="W7297" s="45"/>
    </row>
    <row r="7298" spans="23:23">
      <c r="W7298" s="45"/>
    </row>
    <row r="7299" spans="23:23">
      <c r="W7299" s="45"/>
    </row>
    <row r="7300" spans="23:23">
      <c r="W7300" s="45"/>
    </row>
    <row r="7301" spans="23:23">
      <c r="W7301" s="45"/>
    </row>
    <row r="7302" spans="23:23">
      <c r="W7302" s="45"/>
    </row>
    <row r="7303" spans="23:23">
      <c r="W7303" s="45"/>
    </row>
    <row r="7304" spans="23:23">
      <c r="W7304" s="45"/>
    </row>
    <row r="7305" spans="23:23">
      <c r="W7305" s="45"/>
    </row>
    <row r="7306" spans="23:23">
      <c r="W7306" s="45"/>
    </row>
    <row r="7307" spans="23:23">
      <c r="W7307" s="45"/>
    </row>
    <row r="7308" spans="23:23">
      <c r="W7308" s="45"/>
    </row>
    <row r="7309" spans="23:23">
      <c r="W7309" s="45"/>
    </row>
    <row r="7310" spans="23:23">
      <c r="W7310" s="45"/>
    </row>
    <row r="7311" spans="23:23">
      <c r="W7311" s="45"/>
    </row>
    <row r="7312" spans="23:23">
      <c r="W7312" s="45"/>
    </row>
    <row r="7313" spans="23:23">
      <c r="W7313" s="45"/>
    </row>
    <row r="7314" spans="23:23">
      <c r="W7314" s="45"/>
    </row>
    <row r="7315" spans="23:23">
      <c r="W7315" s="45"/>
    </row>
    <row r="7316" spans="23:23">
      <c r="W7316" s="45"/>
    </row>
    <row r="7317" spans="23:23">
      <c r="W7317" s="45"/>
    </row>
    <row r="7318" spans="23:23">
      <c r="W7318" s="45"/>
    </row>
    <row r="7319" spans="23:23">
      <c r="W7319" s="45"/>
    </row>
    <row r="7320" spans="23:23">
      <c r="W7320" s="45"/>
    </row>
    <row r="7321" spans="23:23">
      <c r="W7321" s="45"/>
    </row>
    <row r="7322" spans="23:23">
      <c r="W7322" s="45"/>
    </row>
    <row r="7323" spans="23:23">
      <c r="W7323" s="45"/>
    </row>
    <row r="7324" spans="23:23">
      <c r="W7324" s="45"/>
    </row>
    <row r="7325" spans="23:23">
      <c r="W7325" s="45"/>
    </row>
    <row r="7326" spans="23:23">
      <c r="W7326" s="45"/>
    </row>
    <row r="7327" spans="23:23">
      <c r="W7327" s="45"/>
    </row>
    <row r="7328" spans="23:23">
      <c r="W7328" s="45"/>
    </row>
    <row r="7329" spans="23:23">
      <c r="W7329" s="45"/>
    </row>
    <row r="7330" spans="23:23">
      <c r="W7330" s="45"/>
    </row>
    <row r="7331" spans="23:23">
      <c r="W7331" s="45"/>
    </row>
    <row r="7332" spans="23:23">
      <c r="W7332" s="45"/>
    </row>
    <row r="7333" spans="23:23">
      <c r="W7333" s="45"/>
    </row>
    <row r="7334" spans="23:23">
      <c r="W7334" s="45"/>
    </row>
    <row r="7335" spans="23:23">
      <c r="W7335" s="45"/>
    </row>
    <row r="7336" spans="23:23">
      <c r="W7336" s="45"/>
    </row>
    <row r="7337" spans="23:23">
      <c r="W7337" s="45"/>
    </row>
    <row r="7338" spans="23:23">
      <c r="W7338" s="45"/>
    </row>
    <row r="7339" spans="23:23">
      <c r="W7339" s="45"/>
    </row>
    <row r="7340" spans="23:23">
      <c r="W7340" s="45"/>
    </row>
    <row r="7341" spans="23:23">
      <c r="W7341" s="45"/>
    </row>
    <row r="7342" spans="23:23">
      <c r="W7342" s="45"/>
    </row>
    <row r="7343" spans="23:23">
      <c r="W7343" s="45"/>
    </row>
    <row r="7344" spans="23:23">
      <c r="W7344" s="45"/>
    </row>
    <row r="7345" spans="23:23">
      <c r="W7345" s="45"/>
    </row>
    <row r="7346" spans="23:23">
      <c r="W7346" s="45"/>
    </row>
    <row r="7347" spans="23:23">
      <c r="W7347" s="45"/>
    </row>
    <row r="7348" spans="23:23">
      <c r="W7348" s="45"/>
    </row>
    <row r="7349" spans="23:23">
      <c r="W7349" s="45"/>
    </row>
    <row r="7350" spans="23:23">
      <c r="W7350" s="45"/>
    </row>
    <row r="7351" spans="23:23">
      <c r="W7351" s="45"/>
    </row>
    <row r="7352" spans="23:23">
      <c r="W7352" s="45"/>
    </row>
    <row r="7353" spans="23:23">
      <c r="W7353" s="45"/>
    </row>
    <row r="7354" spans="23:23">
      <c r="W7354" s="45"/>
    </row>
    <row r="7355" spans="23:23">
      <c r="W7355" s="45"/>
    </row>
    <row r="7356" spans="23:23">
      <c r="W7356" s="45"/>
    </row>
    <row r="7357" spans="23:23">
      <c r="W7357" s="45"/>
    </row>
    <row r="7358" spans="23:23">
      <c r="W7358" s="45"/>
    </row>
    <row r="7359" spans="23:23">
      <c r="W7359" s="45"/>
    </row>
    <row r="7360" spans="23:23">
      <c r="W7360" s="45"/>
    </row>
    <row r="7361" spans="23:23">
      <c r="W7361" s="45"/>
    </row>
    <row r="7362" spans="23:23">
      <c r="W7362" s="45"/>
    </row>
    <row r="7363" spans="23:23">
      <c r="W7363" s="45"/>
    </row>
    <row r="7364" spans="23:23">
      <c r="W7364" s="45"/>
    </row>
    <row r="7365" spans="23:23">
      <c r="W7365" s="45"/>
    </row>
    <row r="7366" spans="23:23">
      <c r="W7366" s="45"/>
    </row>
    <row r="7367" spans="23:23">
      <c r="W7367" s="45"/>
    </row>
    <row r="7368" spans="23:23">
      <c r="W7368" s="45"/>
    </row>
    <row r="7369" spans="23:23">
      <c r="W7369" s="45"/>
    </row>
    <row r="7370" spans="23:23">
      <c r="W7370" s="45"/>
    </row>
    <row r="7371" spans="23:23">
      <c r="W7371" s="45"/>
    </row>
    <row r="7372" spans="23:23">
      <c r="W7372" s="45"/>
    </row>
    <row r="7373" spans="23:23">
      <c r="W7373" s="45"/>
    </row>
    <row r="7374" spans="23:23">
      <c r="W7374" s="45"/>
    </row>
    <row r="7375" spans="23:23">
      <c r="W7375" s="45"/>
    </row>
    <row r="7376" spans="23:23">
      <c r="W7376" s="45"/>
    </row>
    <row r="7377" spans="23:23">
      <c r="W7377" s="45"/>
    </row>
    <row r="7378" spans="23:23">
      <c r="W7378" s="45"/>
    </row>
    <row r="7379" spans="23:23">
      <c r="W7379" s="45"/>
    </row>
    <row r="7380" spans="23:23">
      <c r="W7380" s="45"/>
    </row>
    <row r="7381" spans="23:23">
      <c r="W7381" s="45"/>
    </row>
    <row r="7382" spans="23:23">
      <c r="W7382" s="45"/>
    </row>
    <row r="7383" spans="23:23">
      <c r="W7383" s="45"/>
    </row>
    <row r="7384" spans="23:23">
      <c r="W7384" s="45"/>
    </row>
    <row r="7385" spans="23:23">
      <c r="W7385" s="45"/>
    </row>
    <row r="7386" spans="23:23">
      <c r="W7386" s="45"/>
    </row>
    <row r="7387" spans="23:23">
      <c r="W7387" s="45"/>
    </row>
    <row r="7388" spans="23:23">
      <c r="W7388" s="45"/>
    </row>
    <row r="7389" spans="23:23">
      <c r="W7389" s="45"/>
    </row>
    <row r="7390" spans="23:23">
      <c r="W7390" s="45"/>
    </row>
    <row r="7391" spans="23:23">
      <c r="W7391" s="45"/>
    </row>
    <row r="7392" spans="23:23">
      <c r="W7392" s="45"/>
    </row>
    <row r="7393" spans="23:23">
      <c r="W7393" s="45"/>
    </row>
    <row r="7394" spans="23:23">
      <c r="W7394" s="45"/>
    </row>
    <row r="7395" spans="23:23">
      <c r="W7395" s="45"/>
    </row>
    <row r="7396" spans="23:23">
      <c r="W7396" s="45"/>
    </row>
    <row r="7397" spans="23:23">
      <c r="W7397" s="45"/>
    </row>
    <row r="7398" spans="23:23">
      <c r="W7398" s="45"/>
    </row>
    <row r="7399" spans="23:23">
      <c r="W7399" s="45"/>
    </row>
    <row r="7400" spans="23:23">
      <c r="W7400" s="45"/>
    </row>
    <row r="7401" spans="23:23">
      <c r="W7401" s="45"/>
    </row>
    <row r="7402" spans="23:23">
      <c r="W7402" s="45"/>
    </row>
    <row r="7403" spans="23:23">
      <c r="W7403" s="45"/>
    </row>
    <row r="7404" spans="23:23">
      <c r="W7404" s="45"/>
    </row>
    <row r="7405" spans="23:23">
      <c r="W7405" s="45"/>
    </row>
    <row r="7406" spans="23:23">
      <c r="W7406" s="45"/>
    </row>
    <row r="7407" spans="23:23">
      <c r="W7407" s="45"/>
    </row>
    <row r="7408" spans="23:23">
      <c r="W7408" s="45"/>
    </row>
    <row r="7409" spans="23:23">
      <c r="W7409" s="45"/>
    </row>
    <row r="7410" spans="23:23">
      <c r="W7410" s="45"/>
    </row>
    <row r="7411" spans="23:23">
      <c r="W7411" s="45"/>
    </row>
    <row r="7412" spans="23:23">
      <c r="W7412" s="45"/>
    </row>
    <row r="7413" spans="23:23">
      <c r="W7413" s="45"/>
    </row>
    <row r="7414" spans="23:23">
      <c r="W7414" s="45"/>
    </row>
    <row r="7415" spans="23:23">
      <c r="W7415" s="45"/>
    </row>
    <row r="7416" spans="23:23">
      <c r="W7416" s="45"/>
    </row>
    <row r="7417" spans="23:23">
      <c r="W7417" s="45"/>
    </row>
    <row r="7418" spans="23:23">
      <c r="W7418" s="45"/>
    </row>
    <row r="7419" spans="23:23">
      <c r="W7419" s="45"/>
    </row>
    <row r="7420" spans="23:23">
      <c r="W7420" s="45"/>
    </row>
    <row r="7421" spans="23:23">
      <c r="W7421" s="45"/>
    </row>
    <row r="7422" spans="23:23">
      <c r="W7422" s="45"/>
    </row>
    <row r="7423" spans="23:23">
      <c r="W7423" s="45"/>
    </row>
    <row r="7424" spans="23:23">
      <c r="W7424" s="45"/>
    </row>
    <row r="7425" spans="23:23">
      <c r="W7425" s="45"/>
    </row>
    <row r="7426" spans="23:23">
      <c r="W7426" s="45"/>
    </row>
    <row r="7427" spans="23:23">
      <c r="W7427" s="45"/>
    </row>
    <row r="7428" spans="23:23">
      <c r="W7428" s="45"/>
    </row>
    <row r="7429" spans="23:23">
      <c r="W7429" s="45"/>
    </row>
    <row r="7430" spans="23:23">
      <c r="W7430" s="45"/>
    </row>
    <row r="7431" spans="23:23">
      <c r="W7431" s="45"/>
    </row>
    <row r="7432" spans="23:23">
      <c r="W7432" s="45"/>
    </row>
    <row r="7433" spans="23:23">
      <c r="W7433" s="45"/>
    </row>
    <row r="7434" spans="23:23">
      <c r="W7434" s="45"/>
    </row>
    <row r="7435" spans="23:23">
      <c r="W7435" s="45"/>
    </row>
    <row r="7436" spans="23:23">
      <c r="W7436" s="45"/>
    </row>
    <row r="7437" spans="23:23">
      <c r="W7437" s="45"/>
    </row>
    <row r="7438" spans="23:23">
      <c r="W7438" s="45"/>
    </row>
    <row r="7439" spans="23:23">
      <c r="W7439" s="45"/>
    </row>
    <row r="7440" spans="23:23">
      <c r="W7440" s="45"/>
    </row>
    <row r="7441" spans="23:23">
      <c r="W7441" s="45"/>
    </row>
    <row r="7442" spans="23:23">
      <c r="W7442" s="45"/>
    </row>
    <row r="7443" spans="23:23">
      <c r="W7443" s="45"/>
    </row>
    <row r="7444" spans="23:23">
      <c r="W7444" s="45"/>
    </row>
    <row r="7445" spans="23:23">
      <c r="W7445" s="45"/>
    </row>
    <row r="7446" spans="23:23">
      <c r="W7446" s="45"/>
    </row>
    <row r="7447" spans="23:23">
      <c r="W7447" s="45"/>
    </row>
    <row r="7448" spans="23:23">
      <c r="W7448" s="45"/>
    </row>
    <row r="7449" spans="23:23">
      <c r="W7449" s="45"/>
    </row>
    <row r="7450" spans="23:23">
      <c r="W7450" s="45"/>
    </row>
    <row r="7451" spans="23:23">
      <c r="W7451" s="45"/>
    </row>
    <row r="7452" spans="23:23">
      <c r="W7452" s="45"/>
    </row>
    <row r="7453" spans="23:23">
      <c r="W7453" s="45"/>
    </row>
    <row r="7454" spans="23:23">
      <c r="W7454" s="45"/>
    </row>
    <row r="7455" spans="23:23">
      <c r="W7455" s="45"/>
    </row>
    <row r="7456" spans="23:23">
      <c r="W7456" s="45"/>
    </row>
    <row r="7457" spans="23:23">
      <c r="W7457" s="45"/>
    </row>
    <row r="7458" spans="23:23">
      <c r="W7458" s="45"/>
    </row>
    <row r="7459" spans="23:23">
      <c r="W7459" s="45"/>
    </row>
    <row r="7460" spans="23:23">
      <c r="W7460" s="45"/>
    </row>
    <row r="7461" spans="23:23">
      <c r="W7461" s="45"/>
    </row>
    <row r="7462" spans="23:23">
      <c r="W7462" s="45"/>
    </row>
    <row r="7463" spans="23:23">
      <c r="W7463" s="45"/>
    </row>
    <row r="7464" spans="23:23">
      <c r="W7464" s="45"/>
    </row>
    <row r="7465" spans="23:23">
      <c r="W7465" s="45"/>
    </row>
    <row r="7466" spans="23:23">
      <c r="W7466" s="45"/>
    </row>
    <row r="7467" spans="23:23">
      <c r="W7467" s="45"/>
    </row>
    <row r="7468" spans="23:23">
      <c r="W7468" s="45"/>
    </row>
    <row r="7469" spans="23:23">
      <c r="W7469" s="45"/>
    </row>
    <row r="7470" spans="23:23">
      <c r="W7470" s="45"/>
    </row>
    <row r="7471" spans="23:23">
      <c r="W7471" s="45"/>
    </row>
    <row r="7472" spans="23:23">
      <c r="W7472" s="45"/>
    </row>
    <row r="7473" spans="23:23">
      <c r="W7473" s="45"/>
    </row>
    <row r="7474" spans="23:23">
      <c r="W7474" s="45"/>
    </row>
    <row r="7475" spans="23:23">
      <c r="W7475" s="45"/>
    </row>
    <row r="7476" spans="23:23">
      <c r="W7476" s="45"/>
    </row>
    <row r="7477" spans="23:23">
      <c r="W7477" s="45"/>
    </row>
    <row r="7478" spans="23:23">
      <c r="W7478" s="45"/>
    </row>
    <row r="7479" spans="23:23">
      <c r="W7479" s="45"/>
    </row>
    <row r="7480" spans="23:23">
      <c r="W7480" s="45"/>
    </row>
    <row r="7481" spans="23:23">
      <c r="W7481" s="45"/>
    </row>
    <row r="7482" spans="23:23">
      <c r="W7482" s="45"/>
    </row>
    <row r="7483" spans="23:23">
      <c r="W7483" s="45"/>
    </row>
    <row r="7484" spans="23:23">
      <c r="W7484" s="45"/>
    </row>
    <row r="7485" spans="23:23">
      <c r="W7485" s="45"/>
    </row>
    <row r="7486" spans="23:23">
      <c r="W7486" s="45"/>
    </row>
    <row r="7487" spans="23:23">
      <c r="W7487" s="45"/>
    </row>
    <row r="7488" spans="23:23">
      <c r="W7488" s="45"/>
    </row>
    <row r="7489" spans="23:23">
      <c r="W7489" s="45"/>
    </row>
    <row r="7490" spans="23:23">
      <c r="W7490" s="45"/>
    </row>
    <row r="7491" spans="23:23">
      <c r="W7491" s="45"/>
    </row>
    <row r="7492" spans="23:23">
      <c r="W7492" s="45"/>
    </row>
    <row r="7493" spans="23:23">
      <c r="W7493" s="45"/>
    </row>
    <row r="7494" spans="23:23">
      <c r="W7494" s="45"/>
    </row>
    <row r="7495" spans="23:23">
      <c r="W7495" s="45"/>
    </row>
    <row r="7496" spans="23:23">
      <c r="W7496" s="45"/>
    </row>
    <row r="7497" spans="23:23">
      <c r="W7497" s="45"/>
    </row>
    <row r="7498" spans="23:23">
      <c r="W7498" s="45"/>
    </row>
    <row r="7499" spans="23:23">
      <c r="W7499" s="45"/>
    </row>
    <row r="7500" spans="23:23">
      <c r="W7500" s="45"/>
    </row>
    <row r="7501" spans="23:23">
      <c r="W7501" s="45"/>
    </row>
    <row r="7502" spans="23:23">
      <c r="W7502" s="45"/>
    </row>
    <row r="7503" spans="23:23">
      <c r="W7503" s="45"/>
    </row>
    <row r="7504" spans="23:23">
      <c r="W7504" s="45"/>
    </row>
    <row r="7505" spans="23:23">
      <c r="W7505" s="45"/>
    </row>
    <row r="7506" spans="23:23">
      <c r="W7506" s="45"/>
    </row>
    <row r="7507" spans="23:23">
      <c r="W7507" s="45"/>
    </row>
    <row r="7508" spans="23:23">
      <c r="W7508" s="45"/>
    </row>
    <row r="7509" spans="23:23">
      <c r="W7509" s="45"/>
    </row>
    <row r="7510" spans="23:23">
      <c r="W7510" s="45"/>
    </row>
    <row r="7511" spans="23:23">
      <c r="W7511" s="45"/>
    </row>
    <row r="7512" spans="23:23">
      <c r="W7512" s="45"/>
    </row>
    <row r="7513" spans="23:23">
      <c r="W7513" s="45"/>
    </row>
    <row r="7514" spans="23:23">
      <c r="W7514" s="45"/>
    </row>
    <row r="7515" spans="23:23">
      <c r="W7515" s="45"/>
    </row>
    <row r="7516" spans="23:23">
      <c r="W7516" s="45"/>
    </row>
    <row r="7517" spans="23:23">
      <c r="W7517" s="45"/>
    </row>
    <row r="7518" spans="23:23">
      <c r="W7518" s="45"/>
    </row>
    <row r="7519" spans="23:23">
      <c r="W7519" s="45"/>
    </row>
    <row r="7520" spans="23:23">
      <c r="W7520" s="45"/>
    </row>
    <row r="7521" spans="23:23">
      <c r="W7521" s="45"/>
    </row>
    <row r="7522" spans="23:23">
      <c r="W7522" s="45"/>
    </row>
    <row r="7523" spans="23:23">
      <c r="W7523" s="45"/>
    </row>
    <row r="7524" spans="23:23">
      <c r="W7524" s="45"/>
    </row>
    <row r="7525" spans="23:23">
      <c r="W7525" s="45"/>
    </row>
    <row r="7526" spans="23:23">
      <c r="W7526" s="45"/>
    </row>
    <row r="7527" spans="23:23">
      <c r="W7527" s="45"/>
    </row>
    <row r="7528" spans="23:23">
      <c r="W7528" s="45"/>
    </row>
    <row r="7529" spans="23:23">
      <c r="W7529" s="45"/>
    </row>
    <row r="7530" spans="23:23">
      <c r="W7530" s="45"/>
    </row>
    <row r="7531" spans="23:23">
      <c r="W7531" s="45"/>
    </row>
    <row r="7532" spans="23:23">
      <c r="W7532" s="45"/>
    </row>
    <row r="7533" spans="23:23">
      <c r="W7533" s="45"/>
    </row>
    <row r="7534" spans="23:23">
      <c r="W7534" s="45"/>
    </row>
    <row r="7535" spans="23:23">
      <c r="W7535" s="45"/>
    </row>
    <row r="7536" spans="23:23">
      <c r="W7536" s="45"/>
    </row>
    <row r="7537" spans="23:23">
      <c r="W7537" s="45"/>
    </row>
    <row r="7538" spans="23:23">
      <c r="W7538" s="45"/>
    </row>
    <row r="7539" spans="23:23">
      <c r="W7539" s="45"/>
    </row>
    <row r="7540" spans="23:23">
      <c r="W7540" s="45"/>
    </row>
    <row r="7541" spans="23:23">
      <c r="W7541" s="45"/>
    </row>
    <row r="7542" spans="23:23">
      <c r="W7542" s="45"/>
    </row>
    <row r="7543" spans="23:23">
      <c r="W7543" s="45"/>
    </row>
    <row r="7544" spans="23:23">
      <c r="W7544" s="45"/>
    </row>
    <row r="7545" spans="23:23">
      <c r="W7545" s="45"/>
    </row>
    <row r="7546" spans="23:23">
      <c r="W7546" s="45"/>
    </row>
    <row r="7547" spans="23:23">
      <c r="W7547" s="45"/>
    </row>
    <row r="7548" spans="23:23">
      <c r="W7548" s="45"/>
    </row>
    <row r="7549" spans="23:23">
      <c r="W7549" s="45"/>
    </row>
    <row r="7550" spans="23:23">
      <c r="W7550" s="45"/>
    </row>
    <row r="7551" spans="23:23">
      <c r="W7551" s="45"/>
    </row>
    <row r="7552" spans="23:23">
      <c r="W7552" s="45"/>
    </row>
    <row r="7553" spans="23:23">
      <c r="W7553" s="45"/>
    </row>
    <row r="7554" spans="23:23">
      <c r="W7554" s="45"/>
    </row>
    <row r="7555" spans="23:23">
      <c r="W7555" s="45"/>
    </row>
    <row r="7556" spans="23:23">
      <c r="W7556" s="45"/>
    </row>
    <row r="7557" spans="23:23">
      <c r="W7557" s="45"/>
    </row>
    <row r="7558" spans="23:23">
      <c r="W7558" s="45"/>
    </row>
    <row r="7559" spans="23:23">
      <c r="W7559" s="45"/>
    </row>
    <row r="7560" spans="23:23">
      <c r="W7560" s="45"/>
    </row>
    <row r="7561" spans="23:23">
      <c r="W7561" s="45"/>
    </row>
    <row r="7562" spans="23:23">
      <c r="W7562" s="45"/>
    </row>
    <row r="7563" spans="23:23">
      <c r="W7563" s="45"/>
    </row>
    <row r="7564" spans="23:23">
      <c r="W7564" s="45"/>
    </row>
    <row r="7565" spans="23:23">
      <c r="W7565" s="45"/>
    </row>
    <row r="7566" spans="23:23">
      <c r="W7566" s="45"/>
    </row>
    <row r="7567" spans="23:23">
      <c r="W7567" s="45"/>
    </row>
    <row r="7568" spans="23:23">
      <c r="W7568" s="45"/>
    </row>
    <row r="7569" spans="23:23">
      <c r="W7569" s="45"/>
    </row>
    <row r="7570" spans="23:23">
      <c r="W7570" s="45"/>
    </row>
    <row r="7571" spans="23:23">
      <c r="W7571" s="45"/>
    </row>
    <row r="7572" spans="23:23">
      <c r="W7572" s="45"/>
    </row>
    <row r="7573" spans="23:23">
      <c r="W7573" s="45"/>
    </row>
    <row r="7574" spans="23:23">
      <c r="W7574" s="45"/>
    </row>
    <row r="7575" spans="23:23">
      <c r="W7575" s="45"/>
    </row>
    <row r="7576" spans="23:23">
      <c r="W7576" s="45"/>
    </row>
    <row r="7577" spans="23:23">
      <c r="W7577" s="45"/>
    </row>
    <row r="7578" spans="23:23">
      <c r="W7578" s="45"/>
    </row>
    <row r="7579" spans="23:23">
      <c r="W7579" s="45"/>
    </row>
    <row r="7580" spans="23:23">
      <c r="W7580" s="45"/>
    </row>
    <row r="7581" spans="23:23">
      <c r="W7581" s="45"/>
    </row>
    <row r="7582" spans="23:23">
      <c r="W7582" s="45"/>
    </row>
    <row r="7583" spans="23:23">
      <c r="W7583" s="45"/>
    </row>
    <row r="7584" spans="23:23">
      <c r="W7584" s="45"/>
    </row>
    <row r="7585" spans="23:23">
      <c r="W7585" s="45"/>
    </row>
    <row r="7586" spans="23:23">
      <c r="W7586" s="45"/>
    </row>
    <row r="7587" spans="23:23">
      <c r="W7587" s="45"/>
    </row>
    <row r="7588" spans="23:23">
      <c r="W7588" s="45"/>
    </row>
    <row r="7589" spans="23:23">
      <c r="W7589" s="45"/>
    </row>
    <row r="7590" spans="23:23">
      <c r="W7590" s="45"/>
    </row>
    <row r="7591" spans="23:23">
      <c r="W7591" s="45"/>
    </row>
    <row r="7592" spans="23:23">
      <c r="W7592" s="45"/>
    </row>
    <row r="7593" spans="23:23">
      <c r="W7593" s="45"/>
    </row>
    <row r="7594" spans="23:23">
      <c r="W7594" s="45"/>
    </row>
    <row r="7595" spans="23:23">
      <c r="W7595" s="45"/>
    </row>
    <row r="7596" spans="23:23">
      <c r="W7596" s="45"/>
    </row>
    <row r="7597" spans="23:23">
      <c r="W7597" s="45"/>
    </row>
    <row r="7598" spans="23:23">
      <c r="W7598" s="45"/>
    </row>
    <row r="7599" spans="23:23">
      <c r="W7599" s="45"/>
    </row>
    <row r="7600" spans="23:23">
      <c r="W7600" s="45"/>
    </row>
    <row r="7601" spans="23:23">
      <c r="W7601" s="45"/>
    </row>
    <row r="7602" spans="23:23">
      <c r="W7602" s="45"/>
    </row>
    <row r="7603" spans="23:23">
      <c r="W7603" s="45"/>
    </row>
    <row r="7604" spans="23:23">
      <c r="W7604" s="45"/>
    </row>
    <row r="7605" spans="23:23">
      <c r="W7605" s="45"/>
    </row>
    <row r="7606" spans="23:23">
      <c r="W7606" s="45"/>
    </row>
    <row r="7607" spans="23:23">
      <c r="W7607" s="45"/>
    </row>
    <row r="7608" spans="23:23">
      <c r="W7608" s="45"/>
    </row>
    <row r="7609" spans="23:23">
      <c r="W7609" s="45"/>
    </row>
    <row r="7610" spans="23:23">
      <c r="W7610" s="45"/>
    </row>
    <row r="7611" spans="23:23">
      <c r="W7611" s="45"/>
    </row>
    <row r="7612" spans="23:23">
      <c r="W7612" s="45"/>
    </row>
    <row r="7613" spans="23:23">
      <c r="W7613" s="45"/>
    </row>
    <row r="7614" spans="23:23">
      <c r="W7614" s="45"/>
    </row>
    <row r="7615" spans="23:23">
      <c r="W7615" s="45"/>
    </row>
    <row r="7616" spans="23:23">
      <c r="W7616" s="45"/>
    </row>
    <row r="7617" spans="23:23">
      <c r="W7617" s="45"/>
    </row>
    <row r="7618" spans="23:23">
      <c r="W7618" s="45"/>
    </row>
    <row r="7619" spans="23:23">
      <c r="W7619" s="45"/>
    </row>
    <row r="7620" spans="23:23">
      <c r="W7620" s="45"/>
    </row>
    <row r="7621" spans="23:23">
      <c r="W7621" s="45"/>
    </row>
    <row r="7622" spans="23:23">
      <c r="W7622" s="45"/>
    </row>
    <row r="7623" spans="23:23">
      <c r="W7623" s="45"/>
    </row>
    <row r="7624" spans="23:23">
      <c r="W7624" s="45"/>
    </row>
    <row r="7625" spans="23:23">
      <c r="W7625" s="45"/>
    </row>
    <row r="7626" spans="23:23">
      <c r="W7626" s="45"/>
    </row>
    <row r="7627" spans="23:23">
      <c r="W7627" s="45"/>
    </row>
    <row r="7628" spans="23:23">
      <c r="W7628" s="45"/>
    </row>
    <row r="7629" spans="23:23">
      <c r="W7629" s="45"/>
    </row>
    <row r="7630" spans="23:23">
      <c r="W7630" s="45"/>
    </row>
    <row r="7631" spans="23:23">
      <c r="W7631" s="45"/>
    </row>
    <row r="7632" spans="23:23">
      <c r="W7632" s="45"/>
    </row>
    <row r="7633" spans="23:23">
      <c r="W7633" s="45"/>
    </row>
    <row r="7634" spans="23:23">
      <c r="W7634" s="45"/>
    </row>
    <row r="7635" spans="23:23">
      <c r="W7635" s="45"/>
    </row>
    <row r="7636" spans="23:23">
      <c r="W7636" s="45"/>
    </row>
    <row r="7637" spans="23:23">
      <c r="W7637" s="45"/>
    </row>
    <row r="7638" spans="23:23">
      <c r="W7638" s="45"/>
    </row>
    <row r="7639" spans="23:23">
      <c r="W7639" s="45"/>
    </row>
    <row r="7640" spans="23:23">
      <c r="W7640" s="45"/>
    </row>
    <row r="7641" spans="23:23">
      <c r="W7641" s="45"/>
    </row>
    <row r="7642" spans="23:23">
      <c r="W7642" s="45"/>
    </row>
    <row r="7643" spans="23:23">
      <c r="W7643" s="45"/>
    </row>
    <row r="7644" spans="23:23">
      <c r="W7644" s="45"/>
    </row>
    <row r="7645" spans="23:23">
      <c r="W7645" s="45"/>
    </row>
    <row r="7646" spans="23:23">
      <c r="W7646" s="45"/>
    </row>
    <row r="7647" spans="23:23">
      <c r="W7647" s="45"/>
    </row>
    <row r="7648" spans="23:23">
      <c r="W7648" s="45"/>
    </row>
    <row r="7649" spans="23:23">
      <c r="W7649" s="45"/>
    </row>
    <row r="7650" spans="23:23">
      <c r="W7650" s="45"/>
    </row>
    <row r="7651" spans="23:23">
      <c r="W7651" s="45"/>
    </row>
    <row r="7652" spans="23:23">
      <c r="W7652" s="45"/>
    </row>
    <row r="7653" spans="23:23">
      <c r="W7653" s="45"/>
    </row>
    <row r="7654" spans="23:23">
      <c r="W7654" s="45"/>
    </row>
    <row r="7655" spans="23:23">
      <c r="W7655" s="45"/>
    </row>
    <row r="7656" spans="23:23">
      <c r="W7656" s="45"/>
    </row>
    <row r="7657" spans="23:23">
      <c r="W7657" s="45"/>
    </row>
    <row r="7658" spans="23:23">
      <c r="W7658" s="45"/>
    </row>
    <row r="7659" spans="23:23">
      <c r="W7659" s="45"/>
    </row>
    <row r="7660" spans="23:23">
      <c r="W7660" s="45"/>
    </row>
    <row r="7661" spans="23:23">
      <c r="W7661" s="45"/>
    </row>
    <row r="7662" spans="23:23">
      <c r="W7662" s="45"/>
    </row>
    <row r="7663" spans="23:23">
      <c r="W7663" s="45"/>
    </row>
    <row r="7664" spans="23:23">
      <c r="W7664" s="45"/>
    </row>
    <row r="7665" spans="23:23">
      <c r="W7665" s="45"/>
    </row>
    <row r="7666" spans="23:23">
      <c r="W7666" s="45"/>
    </row>
    <row r="7667" spans="23:23">
      <c r="W7667" s="45"/>
    </row>
    <row r="7668" spans="23:23">
      <c r="W7668" s="45"/>
    </row>
    <row r="7669" spans="23:23">
      <c r="W7669" s="45"/>
    </row>
    <row r="7670" spans="23:23">
      <c r="W7670" s="45"/>
    </row>
    <row r="7671" spans="23:23">
      <c r="W7671" s="45"/>
    </row>
    <row r="7672" spans="23:23">
      <c r="W7672" s="45"/>
    </row>
    <row r="7673" spans="23:23">
      <c r="W7673" s="45"/>
    </row>
    <row r="7674" spans="23:23">
      <c r="W7674" s="45"/>
    </row>
    <row r="7675" spans="23:23">
      <c r="W7675" s="45"/>
    </row>
    <row r="7676" spans="23:23">
      <c r="W7676" s="45"/>
    </row>
    <row r="7677" spans="23:23">
      <c r="W7677" s="45"/>
    </row>
    <row r="7678" spans="23:23">
      <c r="W7678" s="45"/>
    </row>
    <row r="7679" spans="23:23">
      <c r="W7679" s="45"/>
    </row>
    <row r="7680" spans="23:23">
      <c r="W7680" s="45"/>
    </row>
    <row r="7681" spans="23:23">
      <c r="W7681" s="45"/>
    </row>
    <row r="7682" spans="23:23">
      <c r="W7682" s="45"/>
    </row>
    <row r="7683" spans="23:23">
      <c r="W7683" s="45"/>
    </row>
    <row r="7684" spans="23:23">
      <c r="W7684" s="45"/>
    </row>
    <row r="7685" spans="23:23">
      <c r="W7685" s="45"/>
    </row>
    <row r="7686" spans="23:23">
      <c r="W7686" s="45"/>
    </row>
    <row r="7687" spans="23:23">
      <c r="W7687" s="45"/>
    </row>
    <row r="7688" spans="23:23">
      <c r="W7688" s="45"/>
    </row>
    <row r="7689" spans="23:23">
      <c r="W7689" s="45"/>
    </row>
    <row r="7690" spans="23:23">
      <c r="W7690" s="45"/>
    </row>
    <row r="7691" spans="23:23">
      <c r="W7691" s="45"/>
    </row>
    <row r="7692" spans="23:23">
      <c r="W7692" s="45"/>
    </row>
    <row r="7693" spans="23:23">
      <c r="W7693" s="45"/>
    </row>
    <row r="7694" spans="23:23">
      <c r="W7694" s="45"/>
    </row>
    <row r="7695" spans="23:23">
      <c r="W7695" s="45"/>
    </row>
    <row r="7696" spans="23:23">
      <c r="W7696" s="45"/>
    </row>
    <row r="7697" spans="23:23">
      <c r="W7697" s="45"/>
    </row>
    <row r="7698" spans="23:23">
      <c r="W7698" s="45"/>
    </row>
    <row r="7699" spans="23:23">
      <c r="W7699" s="45"/>
    </row>
    <row r="7700" spans="23:23">
      <c r="W7700" s="45"/>
    </row>
    <row r="7701" spans="23:23">
      <c r="W7701" s="45"/>
    </row>
    <row r="7702" spans="23:23">
      <c r="W7702" s="45"/>
    </row>
    <row r="7703" spans="23:23">
      <c r="W7703" s="45"/>
    </row>
    <row r="7704" spans="23:23">
      <c r="W7704" s="45"/>
    </row>
    <row r="7705" spans="23:23">
      <c r="W7705" s="45"/>
    </row>
    <row r="7706" spans="23:23">
      <c r="W7706" s="45"/>
    </row>
    <row r="7707" spans="23:23">
      <c r="W7707" s="45"/>
    </row>
    <row r="7708" spans="23:23">
      <c r="W7708" s="45"/>
    </row>
    <row r="7709" spans="23:23">
      <c r="W7709" s="45"/>
    </row>
    <row r="7710" spans="23:23">
      <c r="W7710" s="45"/>
    </row>
    <row r="7711" spans="23:23">
      <c r="W7711" s="45"/>
    </row>
    <row r="7712" spans="23:23">
      <c r="W7712" s="45"/>
    </row>
    <row r="7713" spans="23:23">
      <c r="W7713" s="45"/>
    </row>
    <row r="7714" spans="23:23">
      <c r="W7714" s="45"/>
    </row>
    <row r="7715" spans="23:23">
      <c r="W7715" s="45"/>
    </row>
    <row r="7716" spans="23:23">
      <c r="W7716" s="45"/>
    </row>
    <row r="7717" spans="23:23">
      <c r="W7717" s="45"/>
    </row>
    <row r="7718" spans="23:23">
      <c r="W7718" s="45"/>
    </row>
    <row r="7719" spans="23:23">
      <c r="W7719" s="45"/>
    </row>
    <row r="7720" spans="23:23">
      <c r="W7720" s="45"/>
    </row>
    <row r="7721" spans="23:23">
      <c r="W7721" s="45"/>
    </row>
    <row r="7722" spans="23:23">
      <c r="W7722" s="45"/>
    </row>
    <row r="7723" spans="23:23">
      <c r="W7723" s="45"/>
    </row>
    <row r="7724" spans="23:23">
      <c r="W7724" s="45"/>
    </row>
    <row r="7725" spans="23:23">
      <c r="W7725" s="45"/>
    </row>
    <row r="7726" spans="23:23">
      <c r="W7726" s="45"/>
    </row>
    <row r="7727" spans="23:23">
      <c r="W7727" s="45"/>
    </row>
    <row r="7728" spans="23:23">
      <c r="W7728" s="45"/>
    </row>
    <row r="7729" spans="23:23">
      <c r="W7729" s="45"/>
    </row>
    <row r="7730" spans="23:23">
      <c r="W7730" s="45"/>
    </row>
    <row r="7731" spans="23:23">
      <c r="W7731" s="45"/>
    </row>
    <row r="7732" spans="23:23">
      <c r="W7732" s="45"/>
    </row>
    <row r="7733" spans="23:23">
      <c r="W7733" s="45"/>
    </row>
    <row r="7734" spans="23:23">
      <c r="W7734" s="45"/>
    </row>
    <row r="7735" spans="23:23">
      <c r="W7735" s="45"/>
    </row>
    <row r="7736" spans="23:23">
      <c r="W7736" s="45"/>
    </row>
    <row r="7737" spans="23:23">
      <c r="W7737" s="45"/>
    </row>
    <row r="7738" spans="23:23">
      <c r="W7738" s="45"/>
    </row>
    <row r="7739" spans="23:23">
      <c r="W7739" s="45"/>
    </row>
    <row r="7740" spans="23:23">
      <c r="W7740" s="45"/>
    </row>
    <row r="7741" spans="23:23">
      <c r="W7741" s="45"/>
    </row>
    <row r="7742" spans="23:23">
      <c r="W7742" s="45"/>
    </row>
    <row r="7743" spans="23:23">
      <c r="W7743" s="45"/>
    </row>
    <row r="7744" spans="23:23">
      <c r="W7744" s="45"/>
    </row>
    <row r="7745" spans="23:23">
      <c r="W7745" s="45"/>
    </row>
    <row r="7746" spans="23:23">
      <c r="W7746" s="45"/>
    </row>
    <row r="7747" spans="23:23">
      <c r="W7747" s="45"/>
    </row>
    <row r="7748" spans="23:23">
      <c r="W7748" s="45"/>
    </row>
    <row r="7749" spans="23:23">
      <c r="W7749" s="45"/>
    </row>
    <row r="7750" spans="23:23">
      <c r="W7750" s="45"/>
    </row>
    <row r="7751" spans="23:23">
      <c r="W7751" s="45"/>
    </row>
    <row r="7752" spans="23:23">
      <c r="W7752" s="45"/>
    </row>
    <row r="7753" spans="23:23">
      <c r="W7753" s="45"/>
    </row>
    <row r="7754" spans="23:23">
      <c r="W7754" s="45"/>
    </row>
    <row r="7755" spans="23:23">
      <c r="W7755" s="45"/>
    </row>
    <row r="7756" spans="23:23">
      <c r="W7756" s="45"/>
    </row>
    <row r="7757" spans="23:23">
      <c r="W7757" s="45"/>
    </row>
    <row r="7758" spans="23:23">
      <c r="W7758" s="45"/>
    </row>
    <row r="7759" spans="23:23">
      <c r="W7759" s="45"/>
    </row>
    <row r="7760" spans="23:23">
      <c r="W7760" s="45"/>
    </row>
    <row r="7761" spans="23:23">
      <c r="W7761" s="45"/>
    </row>
    <row r="7762" spans="23:23">
      <c r="W7762" s="45"/>
    </row>
    <row r="7763" spans="23:23">
      <c r="W7763" s="45"/>
    </row>
    <row r="7764" spans="23:23">
      <c r="W7764" s="45"/>
    </row>
    <row r="7765" spans="23:23">
      <c r="W7765" s="45"/>
    </row>
    <row r="7766" spans="23:23">
      <c r="W7766" s="45"/>
    </row>
    <row r="7767" spans="23:23">
      <c r="W7767" s="45"/>
    </row>
    <row r="7768" spans="23:23">
      <c r="W7768" s="45"/>
    </row>
    <row r="7769" spans="23:23">
      <c r="W7769" s="45"/>
    </row>
    <row r="7770" spans="23:23">
      <c r="W7770" s="45"/>
    </row>
    <row r="7771" spans="23:23">
      <c r="W7771" s="45"/>
    </row>
    <row r="7772" spans="23:23">
      <c r="W7772" s="45"/>
    </row>
    <row r="7773" spans="23:23">
      <c r="W7773" s="45"/>
    </row>
    <row r="7774" spans="23:23">
      <c r="W7774" s="45"/>
    </row>
    <row r="7775" spans="23:23">
      <c r="W7775" s="45"/>
    </row>
    <row r="7776" spans="23:23">
      <c r="W7776" s="45"/>
    </row>
    <row r="7777" spans="23:23">
      <c r="W7777" s="45"/>
    </row>
    <row r="7778" spans="23:23">
      <c r="W7778" s="45"/>
    </row>
    <row r="7779" spans="23:23">
      <c r="W7779" s="45"/>
    </row>
    <row r="7780" spans="23:23">
      <c r="W7780" s="45"/>
    </row>
    <row r="7781" spans="23:23">
      <c r="W7781" s="45"/>
    </row>
    <row r="7782" spans="23:23">
      <c r="W7782" s="45"/>
    </row>
    <row r="7783" spans="23:23">
      <c r="W7783" s="45"/>
    </row>
    <row r="7784" spans="23:23">
      <c r="W7784" s="45"/>
    </row>
    <row r="7785" spans="23:23">
      <c r="W7785" s="45"/>
    </row>
    <row r="7786" spans="23:23">
      <c r="W7786" s="45"/>
    </row>
    <row r="7787" spans="23:23">
      <c r="W7787" s="45"/>
    </row>
    <row r="7788" spans="23:23">
      <c r="W7788" s="45"/>
    </row>
    <row r="7789" spans="23:23">
      <c r="W7789" s="45"/>
    </row>
    <row r="7790" spans="23:23">
      <c r="W7790" s="45"/>
    </row>
    <row r="7791" spans="23:23">
      <c r="W7791" s="45"/>
    </row>
    <row r="7792" spans="23:23">
      <c r="W7792" s="45"/>
    </row>
    <row r="7793" spans="23:23">
      <c r="W7793" s="45"/>
    </row>
    <row r="7794" spans="23:23">
      <c r="W7794" s="45"/>
    </row>
    <row r="7795" spans="23:23">
      <c r="W7795" s="45"/>
    </row>
    <row r="7796" spans="23:23">
      <c r="W7796" s="45"/>
    </row>
    <row r="7797" spans="23:23">
      <c r="W7797" s="45"/>
    </row>
    <row r="7798" spans="23:23">
      <c r="W7798" s="45"/>
    </row>
    <row r="7799" spans="23:23">
      <c r="W7799" s="45"/>
    </row>
    <row r="7800" spans="23:23">
      <c r="W7800" s="45"/>
    </row>
    <row r="7801" spans="23:23">
      <c r="W7801" s="45"/>
    </row>
    <row r="7802" spans="23:23">
      <c r="W7802" s="45"/>
    </row>
    <row r="7803" spans="23:23">
      <c r="W7803" s="45"/>
    </row>
    <row r="7804" spans="23:23">
      <c r="W7804" s="45"/>
    </row>
    <row r="7805" spans="23:23">
      <c r="W7805" s="45"/>
    </row>
    <row r="7806" spans="23:23">
      <c r="W7806" s="45"/>
    </row>
    <row r="7807" spans="23:23">
      <c r="W7807" s="45"/>
    </row>
    <row r="7808" spans="23:23">
      <c r="W7808" s="45"/>
    </row>
    <row r="7809" spans="23:23">
      <c r="W7809" s="45"/>
    </row>
    <row r="7810" spans="23:23">
      <c r="W7810" s="45"/>
    </row>
    <row r="7811" spans="23:23">
      <c r="W7811" s="45"/>
    </row>
    <row r="7812" spans="23:23">
      <c r="W7812" s="45"/>
    </row>
    <row r="7813" spans="23:23">
      <c r="W7813" s="45"/>
    </row>
    <row r="7814" spans="23:23">
      <c r="W7814" s="45"/>
    </row>
    <row r="7815" spans="23:23">
      <c r="W7815" s="45"/>
    </row>
    <row r="7816" spans="23:23">
      <c r="W7816" s="45"/>
    </row>
    <row r="7817" spans="23:23">
      <c r="W7817" s="45"/>
    </row>
    <row r="7818" spans="23:23">
      <c r="W7818" s="45"/>
    </row>
    <row r="7819" spans="23:23">
      <c r="W7819" s="45"/>
    </row>
    <row r="7820" spans="23:23">
      <c r="W7820" s="45"/>
    </row>
    <row r="7821" spans="23:23">
      <c r="W7821" s="45"/>
    </row>
    <row r="7822" spans="23:23">
      <c r="W7822" s="45"/>
    </row>
    <row r="7823" spans="23:23">
      <c r="W7823" s="45"/>
    </row>
    <row r="7824" spans="23:23">
      <c r="W7824" s="45"/>
    </row>
    <row r="7825" spans="23:23">
      <c r="W7825" s="45"/>
    </row>
    <row r="7826" spans="23:23">
      <c r="W7826" s="45"/>
    </row>
    <row r="7827" spans="23:23">
      <c r="W7827" s="45"/>
    </row>
    <row r="7828" spans="23:23">
      <c r="W7828" s="45"/>
    </row>
    <row r="7829" spans="23:23">
      <c r="W7829" s="45"/>
    </row>
    <row r="7830" spans="23:23">
      <c r="W7830" s="45"/>
    </row>
    <row r="7831" spans="23:23">
      <c r="W7831" s="45"/>
    </row>
    <row r="7832" spans="23:23">
      <c r="W7832" s="45"/>
    </row>
    <row r="7833" spans="23:23">
      <c r="W7833" s="45"/>
    </row>
    <row r="7834" spans="23:23">
      <c r="W7834" s="45"/>
    </row>
    <row r="7835" spans="23:23">
      <c r="W7835" s="45"/>
    </row>
    <row r="7836" spans="23:23">
      <c r="W7836" s="45"/>
    </row>
    <row r="7837" spans="23:23">
      <c r="W7837" s="45"/>
    </row>
    <row r="7838" spans="23:23">
      <c r="W7838" s="45"/>
    </row>
    <row r="7839" spans="23:23">
      <c r="W7839" s="45"/>
    </row>
    <row r="7840" spans="23:23">
      <c r="W7840" s="45"/>
    </row>
    <row r="7841" spans="23:23">
      <c r="W7841" s="45"/>
    </row>
    <row r="7842" spans="23:23">
      <c r="W7842" s="45"/>
    </row>
    <row r="7843" spans="23:23">
      <c r="W7843" s="45"/>
    </row>
    <row r="7844" spans="23:23">
      <c r="W7844" s="45"/>
    </row>
    <row r="7845" spans="23:23">
      <c r="W7845" s="45"/>
    </row>
    <row r="7846" spans="23:23">
      <c r="W7846" s="45"/>
    </row>
    <row r="7847" spans="23:23">
      <c r="W7847" s="45"/>
    </row>
    <row r="7848" spans="23:23">
      <c r="W7848" s="45"/>
    </row>
    <row r="7849" spans="23:23">
      <c r="W7849" s="45"/>
    </row>
    <row r="7850" spans="23:23">
      <c r="W7850" s="45"/>
    </row>
    <row r="7851" spans="23:23">
      <c r="W7851" s="45"/>
    </row>
    <row r="7852" spans="23:23">
      <c r="W7852" s="45"/>
    </row>
    <row r="7853" spans="23:23">
      <c r="W7853" s="45"/>
    </row>
    <row r="7854" spans="23:23">
      <c r="W7854" s="45"/>
    </row>
    <row r="7855" spans="23:23">
      <c r="W7855" s="45"/>
    </row>
    <row r="7856" spans="23:23">
      <c r="W7856" s="45"/>
    </row>
    <row r="7857" spans="23:23">
      <c r="W7857" s="45"/>
    </row>
    <row r="7858" spans="23:23">
      <c r="W7858" s="45"/>
    </row>
    <row r="7859" spans="23:23">
      <c r="W7859" s="45"/>
    </row>
    <row r="7860" spans="23:23">
      <c r="W7860" s="45"/>
    </row>
    <row r="7861" spans="23:23">
      <c r="W7861" s="45"/>
    </row>
    <row r="7862" spans="23:23">
      <c r="W7862" s="45"/>
    </row>
    <row r="7863" spans="23:23">
      <c r="W7863" s="45"/>
    </row>
    <row r="7864" spans="23:23">
      <c r="W7864" s="45"/>
    </row>
    <row r="7865" spans="23:23">
      <c r="W7865" s="45"/>
    </row>
    <row r="7866" spans="23:23">
      <c r="W7866" s="45"/>
    </row>
    <row r="7867" spans="23:23">
      <c r="W7867" s="45"/>
    </row>
    <row r="7868" spans="23:23">
      <c r="W7868" s="45"/>
    </row>
    <row r="7869" spans="23:23">
      <c r="W7869" s="45"/>
    </row>
    <row r="7870" spans="23:23">
      <c r="W7870" s="45"/>
    </row>
    <row r="7871" spans="23:23">
      <c r="W7871" s="45"/>
    </row>
    <row r="7872" spans="23:23">
      <c r="W7872" s="45"/>
    </row>
    <row r="7873" spans="23:23">
      <c r="W7873" s="45"/>
    </row>
    <row r="7874" spans="23:23">
      <c r="W7874" s="45"/>
    </row>
    <row r="7875" spans="23:23">
      <c r="W7875" s="45"/>
    </row>
    <row r="7876" spans="23:23">
      <c r="W7876" s="45"/>
    </row>
    <row r="7877" spans="23:23">
      <c r="W7877" s="45"/>
    </row>
    <row r="7878" spans="23:23">
      <c r="W7878" s="45"/>
    </row>
    <row r="7879" spans="23:23">
      <c r="W7879" s="45"/>
    </row>
    <row r="7880" spans="23:23">
      <c r="W7880" s="45"/>
    </row>
    <row r="7881" spans="23:23">
      <c r="W7881" s="45"/>
    </row>
    <row r="7882" spans="23:23">
      <c r="W7882" s="45"/>
    </row>
    <row r="7883" spans="23:23">
      <c r="W7883" s="45"/>
    </row>
    <row r="7884" spans="23:23">
      <c r="W7884" s="45"/>
    </row>
    <row r="7885" spans="23:23">
      <c r="W7885" s="45"/>
    </row>
    <row r="7886" spans="23:23">
      <c r="W7886" s="45"/>
    </row>
    <row r="7887" spans="23:23">
      <c r="W7887" s="45"/>
    </row>
    <row r="7888" spans="23:23">
      <c r="W7888" s="45"/>
    </row>
    <row r="7889" spans="23:23">
      <c r="W7889" s="45"/>
    </row>
    <row r="7890" spans="23:23">
      <c r="W7890" s="45"/>
    </row>
    <row r="7891" spans="23:23">
      <c r="W7891" s="45"/>
    </row>
    <row r="7892" spans="23:23">
      <c r="W7892" s="45"/>
    </row>
    <row r="7893" spans="23:23">
      <c r="W7893" s="45"/>
    </row>
    <row r="7894" spans="23:23">
      <c r="W7894" s="45"/>
    </row>
    <row r="7895" spans="23:23">
      <c r="W7895" s="45"/>
    </row>
    <row r="7896" spans="23:23">
      <c r="W7896" s="45"/>
    </row>
    <row r="7897" spans="23:23">
      <c r="W7897" s="45"/>
    </row>
    <row r="7898" spans="23:23">
      <c r="W7898" s="45"/>
    </row>
    <row r="7899" spans="23:23">
      <c r="W7899" s="45"/>
    </row>
    <row r="7900" spans="23:23">
      <c r="W7900" s="45"/>
    </row>
    <row r="7901" spans="23:23">
      <c r="W7901" s="45"/>
    </row>
    <row r="7902" spans="23:23">
      <c r="W7902" s="45"/>
    </row>
    <row r="7903" spans="23:23">
      <c r="W7903" s="45"/>
    </row>
    <row r="7904" spans="23:23">
      <c r="W7904" s="45"/>
    </row>
    <row r="7905" spans="23:23">
      <c r="W7905" s="45"/>
    </row>
    <row r="7906" spans="23:23">
      <c r="W7906" s="45"/>
    </row>
    <row r="7907" spans="23:23">
      <c r="W7907" s="45"/>
    </row>
    <row r="7908" spans="23:23">
      <c r="W7908" s="45"/>
    </row>
    <row r="7909" spans="23:23">
      <c r="W7909" s="45"/>
    </row>
    <row r="7910" spans="23:23">
      <c r="W7910" s="45"/>
    </row>
    <row r="7911" spans="23:23">
      <c r="W7911" s="45"/>
    </row>
    <row r="7912" spans="23:23">
      <c r="W7912" s="45"/>
    </row>
    <row r="7913" spans="23:23">
      <c r="W7913" s="45"/>
    </row>
    <row r="7914" spans="23:23">
      <c r="W7914" s="45"/>
    </row>
    <row r="7915" spans="23:23">
      <c r="W7915" s="45"/>
    </row>
    <row r="7916" spans="23:23">
      <c r="W7916" s="45"/>
    </row>
    <row r="7917" spans="23:23">
      <c r="W7917" s="45"/>
    </row>
    <row r="7918" spans="23:23">
      <c r="W7918" s="45"/>
    </row>
    <row r="7919" spans="23:23">
      <c r="W7919" s="45"/>
    </row>
    <row r="7920" spans="23:23">
      <c r="W7920" s="45"/>
    </row>
    <row r="7921" spans="23:23">
      <c r="W7921" s="45"/>
    </row>
    <row r="7922" spans="23:23">
      <c r="W7922" s="45"/>
    </row>
    <row r="7923" spans="23:23">
      <c r="W7923" s="45"/>
    </row>
    <row r="7924" spans="23:23">
      <c r="W7924" s="45"/>
    </row>
    <row r="7925" spans="23:23">
      <c r="W7925" s="45"/>
    </row>
    <row r="7926" spans="23:23">
      <c r="W7926" s="45"/>
    </row>
    <row r="7927" spans="23:23">
      <c r="W7927" s="45"/>
    </row>
    <row r="7928" spans="23:23">
      <c r="W7928" s="45"/>
    </row>
    <row r="7929" spans="23:23">
      <c r="W7929" s="45"/>
    </row>
    <row r="7930" spans="23:23">
      <c r="W7930" s="45"/>
    </row>
    <row r="7931" spans="23:23">
      <c r="W7931" s="45"/>
    </row>
    <row r="7932" spans="23:23">
      <c r="W7932" s="45"/>
    </row>
    <row r="7933" spans="23:23">
      <c r="W7933" s="45"/>
    </row>
    <row r="7934" spans="23:23">
      <c r="W7934" s="45"/>
    </row>
    <row r="7935" spans="23:23">
      <c r="W7935" s="45"/>
    </row>
    <row r="7936" spans="23:23">
      <c r="W7936" s="45"/>
    </row>
    <row r="7937" spans="23:23">
      <c r="W7937" s="45"/>
    </row>
    <row r="7938" spans="23:23">
      <c r="W7938" s="45"/>
    </row>
    <row r="7939" spans="23:23">
      <c r="W7939" s="45"/>
    </row>
    <row r="7940" spans="23:23">
      <c r="W7940" s="45"/>
    </row>
    <row r="7941" spans="23:23">
      <c r="W7941" s="45"/>
    </row>
    <row r="7942" spans="23:23">
      <c r="W7942" s="45"/>
    </row>
    <row r="7943" spans="23:23">
      <c r="W7943" s="45"/>
    </row>
    <row r="7944" spans="23:23">
      <c r="W7944" s="45"/>
    </row>
    <row r="7945" spans="23:23">
      <c r="W7945" s="45"/>
    </row>
    <row r="7946" spans="23:23">
      <c r="W7946" s="45"/>
    </row>
    <row r="7947" spans="23:23">
      <c r="W7947" s="45"/>
    </row>
    <row r="7948" spans="23:23">
      <c r="W7948" s="45"/>
    </row>
    <row r="7949" spans="23:23">
      <c r="W7949" s="45"/>
    </row>
    <row r="7950" spans="23:23">
      <c r="W7950" s="45"/>
    </row>
    <row r="7951" spans="23:23">
      <c r="W7951" s="45"/>
    </row>
    <row r="7952" spans="23:23">
      <c r="W7952" s="45"/>
    </row>
    <row r="7953" spans="23:23">
      <c r="W7953" s="45"/>
    </row>
    <row r="7954" spans="23:23">
      <c r="W7954" s="45"/>
    </row>
    <row r="7955" spans="23:23">
      <c r="W7955" s="45"/>
    </row>
    <row r="7956" spans="23:23">
      <c r="W7956" s="45"/>
    </row>
    <row r="7957" spans="23:23">
      <c r="W7957" s="45"/>
    </row>
    <row r="7958" spans="23:23">
      <c r="W7958" s="45"/>
    </row>
    <row r="7959" spans="23:23">
      <c r="W7959" s="45"/>
    </row>
    <row r="7960" spans="23:23">
      <c r="W7960" s="45"/>
    </row>
    <row r="7961" spans="23:23">
      <c r="W7961" s="45"/>
    </row>
    <row r="7962" spans="23:23">
      <c r="W7962" s="45"/>
    </row>
    <row r="7963" spans="23:23">
      <c r="W7963" s="45"/>
    </row>
    <row r="7964" spans="23:23">
      <c r="W7964" s="45"/>
    </row>
    <row r="7965" spans="23:23">
      <c r="W7965" s="45"/>
    </row>
    <row r="7966" spans="23:23">
      <c r="W7966" s="45"/>
    </row>
    <row r="7967" spans="23:23">
      <c r="W7967" s="45"/>
    </row>
    <row r="7968" spans="23:23">
      <c r="W7968" s="45"/>
    </row>
    <row r="7969" spans="23:23">
      <c r="W7969" s="45"/>
    </row>
    <row r="7970" spans="23:23">
      <c r="W7970" s="45"/>
    </row>
    <row r="7971" spans="23:23">
      <c r="W7971" s="45"/>
    </row>
    <row r="7972" spans="23:23">
      <c r="W7972" s="45"/>
    </row>
    <row r="7973" spans="23:23">
      <c r="W7973" s="45"/>
    </row>
    <row r="7974" spans="23:23">
      <c r="W7974" s="45"/>
    </row>
    <row r="7975" spans="23:23">
      <c r="W7975" s="45"/>
    </row>
    <row r="7976" spans="23:23">
      <c r="W7976" s="45"/>
    </row>
    <row r="7977" spans="23:23">
      <c r="W7977" s="45"/>
    </row>
    <row r="7978" spans="23:23">
      <c r="W7978" s="45"/>
    </row>
    <row r="7979" spans="23:23">
      <c r="W7979" s="45"/>
    </row>
    <row r="7980" spans="23:23">
      <c r="W7980" s="45"/>
    </row>
    <row r="7981" spans="23:23">
      <c r="W7981" s="45"/>
    </row>
    <row r="7982" spans="23:23">
      <c r="W7982" s="45"/>
    </row>
    <row r="7983" spans="23:23">
      <c r="W7983" s="45"/>
    </row>
    <row r="7984" spans="23:23">
      <c r="W7984" s="45"/>
    </row>
    <row r="7985" spans="23:23">
      <c r="W7985" s="45"/>
    </row>
    <row r="7986" spans="23:23">
      <c r="W7986" s="45"/>
    </row>
    <row r="7987" spans="23:23">
      <c r="W7987" s="45"/>
    </row>
    <row r="7988" spans="23:23">
      <c r="W7988" s="45"/>
    </row>
    <row r="7989" spans="23:23">
      <c r="W7989" s="45"/>
    </row>
    <row r="7990" spans="23:23">
      <c r="W7990" s="45"/>
    </row>
    <row r="7991" spans="23:23">
      <c r="W7991" s="45"/>
    </row>
    <row r="7992" spans="23:23">
      <c r="W7992" s="45"/>
    </row>
    <row r="7993" spans="23:23">
      <c r="W7993" s="45"/>
    </row>
    <row r="7994" spans="23:23">
      <c r="W7994" s="45"/>
    </row>
    <row r="7995" spans="23:23">
      <c r="W7995" s="45"/>
    </row>
    <row r="7996" spans="23:23">
      <c r="W7996" s="45"/>
    </row>
    <row r="7997" spans="23:23">
      <c r="W7997" s="45"/>
    </row>
    <row r="7998" spans="23:23">
      <c r="W7998" s="45"/>
    </row>
    <row r="7999" spans="23:23">
      <c r="W7999" s="45"/>
    </row>
    <row r="8000" spans="23:23">
      <c r="W8000" s="45"/>
    </row>
    <row r="8001" spans="23:23">
      <c r="W8001" s="45"/>
    </row>
    <row r="8002" spans="23:23">
      <c r="W8002" s="45"/>
    </row>
    <row r="8003" spans="23:23">
      <c r="W8003" s="45"/>
    </row>
    <row r="8004" spans="23:23">
      <c r="W8004" s="45"/>
    </row>
    <row r="8005" spans="23:23">
      <c r="W8005" s="45"/>
    </row>
    <row r="8006" spans="23:23">
      <c r="W8006" s="45"/>
    </row>
    <row r="8007" spans="23:23">
      <c r="W8007" s="45"/>
    </row>
    <row r="8008" spans="23:23">
      <c r="W8008" s="45"/>
    </row>
    <row r="8009" spans="23:23">
      <c r="W8009" s="45"/>
    </row>
    <row r="8010" spans="23:23">
      <c r="W8010" s="45"/>
    </row>
    <row r="8011" spans="23:23">
      <c r="W8011" s="45"/>
    </row>
    <row r="8012" spans="23:23">
      <c r="W8012" s="45"/>
    </row>
    <row r="8013" spans="23:23">
      <c r="W8013" s="45"/>
    </row>
    <row r="8014" spans="23:23">
      <c r="W8014" s="45"/>
    </row>
    <row r="8015" spans="23:23">
      <c r="W8015" s="45"/>
    </row>
    <row r="8016" spans="23:23">
      <c r="W8016" s="45"/>
    </row>
    <row r="8017" spans="23:23">
      <c r="W8017" s="45"/>
    </row>
    <row r="8018" spans="23:23">
      <c r="W8018" s="45"/>
    </row>
    <row r="8019" spans="23:23">
      <c r="W8019" s="45"/>
    </row>
    <row r="8020" spans="23:23">
      <c r="W8020" s="45"/>
    </row>
    <row r="8021" spans="23:23">
      <c r="W8021" s="45"/>
    </row>
    <row r="8022" spans="23:23">
      <c r="W8022" s="45"/>
    </row>
    <row r="8023" spans="23:23">
      <c r="W8023" s="45"/>
    </row>
    <row r="8024" spans="23:23">
      <c r="W8024" s="45"/>
    </row>
    <row r="8025" spans="23:23">
      <c r="W8025" s="45"/>
    </row>
    <row r="8026" spans="23:23">
      <c r="W8026" s="45"/>
    </row>
    <row r="8027" spans="23:23">
      <c r="W8027" s="45"/>
    </row>
    <row r="8028" spans="23:23">
      <c r="W8028" s="45"/>
    </row>
    <row r="8029" spans="23:23">
      <c r="W8029" s="45"/>
    </row>
    <row r="8030" spans="23:23">
      <c r="W8030" s="45"/>
    </row>
    <row r="8031" spans="23:23">
      <c r="W8031" s="45"/>
    </row>
    <row r="8032" spans="23:23">
      <c r="W8032" s="45"/>
    </row>
    <row r="8033" spans="23:23">
      <c r="W8033" s="45"/>
    </row>
    <row r="8034" spans="23:23">
      <c r="W8034" s="45"/>
    </row>
    <row r="8035" spans="23:23">
      <c r="W8035" s="45"/>
    </row>
    <row r="8036" spans="23:23">
      <c r="W8036" s="45"/>
    </row>
    <row r="8037" spans="23:23">
      <c r="W8037" s="45"/>
    </row>
    <row r="8038" spans="23:23">
      <c r="W8038" s="45"/>
    </row>
    <row r="8039" spans="23:23">
      <c r="W8039" s="45"/>
    </row>
    <row r="8040" spans="23:23">
      <c r="W8040" s="45"/>
    </row>
    <row r="8041" spans="23:23">
      <c r="W8041" s="45"/>
    </row>
    <row r="8042" spans="23:23">
      <c r="W8042" s="45"/>
    </row>
    <row r="8043" spans="23:23">
      <c r="W8043" s="45"/>
    </row>
    <row r="8044" spans="23:23">
      <c r="W8044" s="45"/>
    </row>
    <row r="8045" spans="23:23">
      <c r="W8045" s="45"/>
    </row>
    <row r="8046" spans="23:23">
      <c r="W8046" s="45"/>
    </row>
    <row r="8047" spans="23:23">
      <c r="W8047" s="45"/>
    </row>
    <row r="8048" spans="23:23">
      <c r="W8048" s="45"/>
    </row>
    <row r="8049" spans="23:23">
      <c r="W8049" s="45"/>
    </row>
    <row r="8050" spans="23:23">
      <c r="W8050" s="45"/>
    </row>
    <row r="8051" spans="23:23">
      <c r="W8051" s="45"/>
    </row>
    <row r="8052" spans="23:23">
      <c r="W8052" s="45"/>
    </row>
    <row r="8053" spans="23:23">
      <c r="W8053" s="45"/>
    </row>
    <row r="8054" spans="23:23">
      <c r="W8054" s="45"/>
    </row>
    <row r="8055" spans="23:23">
      <c r="W8055" s="45"/>
    </row>
    <row r="8056" spans="23:23">
      <c r="W8056" s="45"/>
    </row>
    <row r="8057" spans="23:23">
      <c r="W8057" s="45"/>
    </row>
    <row r="8058" spans="23:23">
      <c r="W8058" s="45"/>
    </row>
    <row r="8059" spans="23:23">
      <c r="W8059" s="45"/>
    </row>
    <row r="8060" spans="23:23">
      <c r="W8060" s="45"/>
    </row>
    <row r="8061" spans="23:23">
      <c r="W8061" s="45"/>
    </row>
    <row r="8062" spans="23:23">
      <c r="W8062" s="45"/>
    </row>
    <row r="8063" spans="23:23">
      <c r="W8063" s="45"/>
    </row>
    <row r="8064" spans="23:23">
      <c r="W8064" s="45"/>
    </row>
    <row r="8065" spans="23:23">
      <c r="W8065" s="45"/>
    </row>
    <row r="8066" spans="23:23">
      <c r="W8066" s="45"/>
    </row>
    <row r="8067" spans="23:23">
      <c r="W8067" s="45"/>
    </row>
    <row r="8068" spans="23:23">
      <c r="W8068" s="45"/>
    </row>
    <row r="8069" spans="23:23">
      <c r="W8069" s="45"/>
    </row>
    <row r="8070" spans="23:23">
      <c r="W8070" s="45"/>
    </row>
    <row r="8071" spans="23:23">
      <c r="W8071" s="45"/>
    </row>
    <row r="8072" spans="23:23">
      <c r="W8072" s="45"/>
    </row>
    <row r="8073" spans="23:23">
      <c r="W8073" s="45"/>
    </row>
    <row r="8074" spans="23:23">
      <c r="W8074" s="45"/>
    </row>
    <row r="8075" spans="23:23">
      <c r="W8075" s="45"/>
    </row>
    <row r="8076" spans="23:23">
      <c r="W8076" s="45"/>
    </row>
    <row r="8077" spans="23:23">
      <c r="W8077" s="45"/>
    </row>
    <row r="8078" spans="23:23">
      <c r="W8078" s="45"/>
    </row>
    <row r="8079" spans="23:23">
      <c r="W8079" s="45"/>
    </row>
    <row r="8080" spans="23:23">
      <c r="W8080" s="45"/>
    </row>
    <row r="8081" spans="23:23">
      <c r="W8081" s="45"/>
    </row>
    <row r="8082" spans="23:23">
      <c r="W8082" s="45"/>
    </row>
    <row r="8083" spans="23:23">
      <c r="W8083" s="45"/>
    </row>
    <row r="8084" spans="23:23">
      <c r="W8084" s="45"/>
    </row>
    <row r="8085" spans="23:23">
      <c r="W8085" s="45"/>
    </row>
    <row r="8086" spans="23:23">
      <c r="W8086" s="45"/>
    </row>
    <row r="8087" spans="23:23">
      <c r="W8087" s="45"/>
    </row>
    <row r="8088" spans="23:23">
      <c r="W8088" s="45"/>
    </row>
    <row r="8089" spans="23:23">
      <c r="W8089" s="45"/>
    </row>
    <row r="8090" spans="23:23">
      <c r="W8090" s="45"/>
    </row>
    <row r="8091" spans="23:23">
      <c r="W8091" s="45"/>
    </row>
    <row r="8092" spans="23:23">
      <c r="W8092" s="45"/>
    </row>
    <row r="8093" spans="23:23">
      <c r="W8093" s="45"/>
    </row>
    <row r="8094" spans="23:23">
      <c r="W8094" s="45"/>
    </row>
    <row r="8095" spans="23:23">
      <c r="W8095" s="45"/>
    </row>
    <row r="8096" spans="23:23">
      <c r="W8096" s="45"/>
    </row>
    <row r="8097" spans="23:23">
      <c r="W8097" s="45"/>
    </row>
    <row r="8098" spans="23:23">
      <c r="W8098" s="45"/>
    </row>
    <row r="8099" spans="23:23">
      <c r="W8099" s="45"/>
    </row>
    <row r="8100" spans="23:23">
      <c r="W8100" s="45"/>
    </row>
    <row r="8101" spans="23:23">
      <c r="W8101" s="45"/>
    </row>
    <row r="8102" spans="23:23">
      <c r="W8102" s="45"/>
    </row>
    <row r="8103" spans="23:23">
      <c r="W8103" s="45"/>
    </row>
    <row r="8104" spans="23:23">
      <c r="W8104" s="45"/>
    </row>
    <row r="8105" spans="23:23">
      <c r="W8105" s="45"/>
    </row>
    <row r="8106" spans="23:23">
      <c r="W8106" s="45"/>
    </row>
    <row r="8107" spans="23:23">
      <c r="W8107" s="45"/>
    </row>
    <row r="8108" spans="23:23">
      <c r="W8108" s="45"/>
    </row>
    <row r="8109" spans="23:23">
      <c r="W8109" s="45"/>
    </row>
    <row r="8110" spans="23:23">
      <c r="W8110" s="45"/>
    </row>
    <row r="8111" spans="23:23">
      <c r="W8111" s="45"/>
    </row>
    <row r="8112" spans="23:23">
      <c r="W8112" s="45"/>
    </row>
    <row r="8113" spans="23:23">
      <c r="W8113" s="45"/>
    </row>
    <row r="8114" spans="23:23">
      <c r="W8114" s="45"/>
    </row>
    <row r="8115" spans="23:23">
      <c r="W8115" s="45"/>
    </row>
    <row r="8116" spans="23:23">
      <c r="W8116" s="45"/>
    </row>
    <row r="8117" spans="23:23">
      <c r="W8117" s="45"/>
    </row>
    <row r="8118" spans="23:23">
      <c r="W8118" s="45"/>
    </row>
    <row r="8119" spans="23:23">
      <c r="W8119" s="45"/>
    </row>
    <row r="8120" spans="23:23">
      <c r="W8120" s="45"/>
    </row>
    <row r="8121" spans="23:23">
      <c r="W8121" s="45"/>
    </row>
    <row r="8122" spans="23:23">
      <c r="W8122" s="45"/>
    </row>
    <row r="8123" spans="23:23">
      <c r="W8123" s="45"/>
    </row>
    <row r="8124" spans="23:23">
      <c r="W8124" s="45"/>
    </row>
    <row r="8125" spans="23:23">
      <c r="W8125" s="45"/>
    </row>
    <row r="8126" spans="23:23">
      <c r="W8126" s="45"/>
    </row>
    <row r="8127" spans="23:23">
      <c r="W8127" s="45"/>
    </row>
    <row r="8128" spans="23:23">
      <c r="W8128" s="45"/>
    </row>
    <row r="8129" spans="23:23">
      <c r="W8129" s="45"/>
    </row>
    <row r="8130" spans="23:23">
      <c r="W8130" s="45"/>
    </row>
    <row r="8131" spans="23:23">
      <c r="W8131" s="45"/>
    </row>
    <row r="8132" spans="23:23">
      <c r="W8132" s="45"/>
    </row>
    <row r="8133" spans="23:23">
      <c r="W8133" s="45"/>
    </row>
    <row r="8134" spans="23:23">
      <c r="W8134" s="45"/>
    </row>
    <row r="8135" spans="23:23">
      <c r="W8135" s="45"/>
    </row>
    <row r="8136" spans="23:23">
      <c r="W8136" s="45"/>
    </row>
    <row r="8137" spans="23:23">
      <c r="W8137" s="45"/>
    </row>
    <row r="8138" spans="23:23">
      <c r="W8138" s="45"/>
    </row>
    <row r="8139" spans="23:23">
      <c r="W8139" s="45"/>
    </row>
    <row r="8140" spans="23:23">
      <c r="W8140" s="45"/>
    </row>
    <row r="8141" spans="23:23">
      <c r="W8141" s="45"/>
    </row>
    <row r="8142" spans="23:23">
      <c r="W8142" s="45"/>
    </row>
    <row r="8143" spans="23:23">
      <c r="W8143" s="45"/>
    </row>
    <row r="8144" spans="23:23">
      <c r="W8144" s="45"/>
    </row>
    <row r="8145" spans="23:23">
      <c r="W8145" s="45"/>
    </row>
    <row r="8146" spans="23:23">
      <c r="W8146" s="45"/>
    </row>
    <row r="8147" spans="23:23">
      <c r="W8147" s="45"/>
    </row>
    <row r="8148" spans="23:23">
      <c r="W8148" s="45"/>
    </row>
    <row r="8149" spans="23:23">
      <c r="W8149" s="45"/>
    </row>
    <row r="8150" spans="23:23">
      <c r="W8150" s="45"/>
    </row>
    <row r="8151" spans="23:23">
      <c r="W8151" s="45"/>
    </row>
    <row r="8152" spans="23:23">
      <c r="W8152" s="45"/>
    </row>
    <row r="8153" spans="23:23">
      <c r="W8153" s="45"/>
    </row>
    <row r="8154" spans="23:23">
      <c r="W8154" s="45"/>
    </row>
    <row r="8155" spans="23:23">
      <c r="W8155" s="45"/>
    </row>
    <row r="8156" spans="23:23">
      <c r="W8156" s="45"/>
    </row>
    <row r="8157" spans="23:23">
      <c r="W8157" s="45"/>
    </row>
    <row r="8158" spans="23:23">
      <c r="W8158" s="45"/>
    </row>
    <row r="8159" spans="23:23">
      <c r="W8159" s="45"/>
    </row>
    <row r="8160" spans="23:23">
      <c r="W8160" s="45"/>
    </row>
    <row r="8161" spans="23:23">
      <c r="W8161" s="45"/>
    </row>
    <row r="8162" spans="23:23">
      <c r="W8162" s="45"/>
    </row>
    <row r="8163" spans="23:23">
      <c r="W8163" s="45"/>
    </row>
    <row r="8164" spans="23:23">
      <c r="W8164" s="45"/>
    </row>
    <row r="8165" spans="23:23">
      <c r="W8165" s="45"/>
    </row>
    <row r="8166" spans="23:23">
      <c r="W8166" s="45"/>
    </row>
    <row r="8167" spans="23:23">
      <c r="W8167" s="45"/>
    </row>
    <row r="8168" spans="23:23">
      <c r="W8168" s="45"/>
    </row>
    <row r="8169" spans="23:23">
      <c r="W8169" s="45"/>
    </row>
    <row r="8170" spans="23:23">
      <c r="W8170" s="45"/>
    </row>
    <row r="8171" spans="23:23">
      <c r="W8171" s="45"/>
    </row>
    <row r="8172" spans="23:23">
      <c r="W8172" s="45"/>
    </row>
    <row r="8173" spans="23:23">
      <c r="W8173" s="45"/>
    </row>
    <row r="8174" spans="23:23">
      <c r="W8174" s="45"/>
    </row>
    <row r="8175" spans="23:23">
      <c r="W8175" s="45"/>
    </row>
    <row r="8176" spans="23:23">
      <c r="W8176" s="45"/>
    </row>
    <row r="8177" spans="23:23">
      <c r="W8177" s="45"/>
    </row>
    <row r="8178" spans="23:23">
      <c r="W8178" s="45"/>
    </row>
    <row r="8179" spans="23:23">
      <c r="W8179" s="45"/>
    </row>
    <row r="8180" spans="23:23">
      <c r="W8180" s="45"/>
    </row>
    <row r="8181" spans="23:23">
      <c r="W8181" s="45"/>
    </row>
    <row r="8182" spans="23:23">
      <c r="W8182" s="45"/>
    </row>
    <row r="8183" spans="23:23">
      <c r="W8183" s="45"/>
    </row>
    <row r="8184" spans="23:23">
      <c r="W8184" s="45"/>
    </row>
    <row r="8185" spans="23:23">
      <c r="W8185" s="45"/>
    </row>
    <row r="8186" spans="23:23">
      <c r="W8186" s="45"/>
    </row>
    <row r="8187" spans="23:23">
      <c r="W8187" s="45"/>
    </row>
    <row r="8188" spans="23:23">
      <c r="W8188" s="45"/>
    </row>
    <row r="8189" spans="23:23">
      <c r="W8189" s="45"/>
    </row>
    <row r="8190" spans="23:23">
      <c r="W8190" s="45"/>
    </row>
    <row r="8191" spans="23:23">
      <c r="W8191" s="45"/>
    </row>
    <row r="8192" spans="23:23">
      <c r="W8192" s="45"/>
    </row>
    <row r="8193" spans="23:23">
      <c r="W8193" s="45"/>
    </row>
    <row r="8194" spans="23:23">
      <c r="W8194" s="45"/>
    </row>
    <row r="8195" spans="23:23">
      <c r="W8195" s="45"/>
    </row>
    <row r="8196" spans="23:23">
      <c r="W8196" s="45"/>
    </row>
    <row r="8197" spans="23:23">
      <c r="W8197" s="45"/>
    </row>
    <row r="8198" spans="23:23">
      <c r="W8198" s="45"/>
    </row>
    <row r="8199" spans="23:23">
      <c r="W8199" s="45"/>
    </row>
    <row r="8200" spans="23:23">
      <c r="W8200" s="45"/>
    </row>
    <row r="8201" spans="23:23">
      <c r="W8201" s="45"/>
    </row>
    <row r="8202" spans="23:23">
      <c r="W8202" s="45"/>
    </row>
    <row r="8203" spans="23:23">
      <c r="W8203" s="45"/>
    </row>
    <row r="8204" spans="23:23">
      <c r="W8204" s="45"/>
    </row>
    <row r="8205" spans="23:23">
      <c r="W8205" s="45"/>
    </row>
    <row r="8206" spans="23:23">
      <c r="W8206" s="45"/>
    </row>
    <row r="8207" spans="23:23">
      <c r="W8207" s="45"/>
    </row>
    <row r="8208" spans="23:23">
      <c r="W8208" s="45"/>
    </row>
    <row r="8209" spans="23:23">
      <c r="W8209" s="45"/>
    </row>
    <row r="8210" spans="23:23">
      <c r="W8210" s="45"/>
    </row>
    <row r="8211" spans="23:23">
      <c r="W8211" s="45"/>
    </row>
    <row r="8212" spans="23:23">
      <c r="W8212" s="45"/>
    </row>
    <row r="8213" spans="23:23">
      <c r="W8213" s="45"/>
    </row>
    <row r="8214" spans="23:23">
      <c r="W8214" s="45"/>
    </row>
    <row r="8215" spans="23:23">
      <c r="W8215" s="45"/>
    </row>
    <row r="8216" spans="23:23">
      <c r="W8216" s="45"/>
    </row>
    <row r="8217" spans="23:23">
      <c r="W8217" s="45"/>
    </row>
    <row r="8218" spans="23:23">
      <c r="W8218" s="45"/>
    </row>
    <row r="8219" spans="23:23">
      <c r="W8219" s="45"/>
    </row>
    <row r="8220" spans="23:23">
      <c r="W8220" s="45"/>
    </row>
    <row r="8221" spans="23:23">
      <c r="W8221" s="45"/>
    </row>
    <row r="8222" spans="23:23">
      <c r="W8222" s="45"/>
    </row>
    <row r="8223" spans="23:23">
      <c r="W8223" s="45"/>
    </row>
    <row r="8224" spans="23:23">
      <c r="W8224" s="45"/>
    </row>
    <row r="8225" spans="23:23">
      <c r="W8225" s="45"/>
    </row>
    <row r="8226" spans="23:23">
      <c r="W8226" s="45"/>
    </row>
    <row r="8227" spans="23:23">
      <c r="W8227" s="45"/>
    </row>
    <row r="8228" spans="23:23">
      <c r="W8228" s="45"/>
    </row>
    <row r="8229" spans="23:23">
      <c r="W8229" s="45"/>
    </row>
    <row r="8230" spans="23:23">
      <c r="W8230" s="45"/>
    </row>
    <row r="8231" spans="23:23">
      <c r="W8231" s="45"/>
    </row>
    <row r="8232" spans="23:23">
      <c r="W8232" s="45"/>
    </row>
    <row r="8233" spans="23:23">
      <c r="W8233" s="45"/>
    </row>
    <row r="8234" spans="23:23">
      <c r="W8234" s="45"/>
    </row>
    <row r="8235" spans="23:23">
      <c r="W8235" s="45"/>
    </row>
    <row r="8236" spans="23:23">
      <c r="W8236" s="45"/>
    </row>
    <row r="8237" spans="23:23">
      <c r="W8237" s="45"/>
    </row>
    <row r="8238" spans="23:23">
      <c r="W8238" s="45"/>
    </row>
    <row r="8239" spans="23:23">
      <c r="W8239" s="45"/>
    </row>
    <row r="8240" spans="23:23">
      <c r="W8240" s="45"/>
    </row>
    <row r="8241" spans="23:23">
      <c r="W8241" s="45"/>
    </row>
    <row r="8242" spans="23:23">
      <c r="W8242" s="45"/>
    </row>
    <row r="8243" spans="23:23">
      <c r="W8243" s="45"/>
    </row>
    <row r="8244" spans="23:23">
      <c r="W8244" s="45"/>
    </row>
    <row r="8245" spans="23:23">
      <c r="W8245" s="45"/>
    </row>
    <row r="8246" spans="23:23">
      <c r="W8246" s="45"/>
    </row>
    <row r="8247" spans="23:23">
      <c r="W8247" s="45"/>
    </row>
    <row r="8248" spans="23:23">
      <c r="W8248" s="45"/>
    </row>
    <row r="8249" spans="23:23">
      <c r="W8249" s="45"/>
    </row>
    <row r="8250" spans="23:23">
      <c r="W8250" s="45"/>
    </row>
    <row r="8251" spans="23:23">
      <c r="W8251" s="45"/>
    </row>
    <row r="8252" spans="23:23">
      <c r="W8252" s="45"/>
    </row>
    <row r="8253" spans="23:23">
      <c r="W8253" s="45"/>
    </row>
    <row r="8254" spans="23:23">
      <c r="W8254" s="45"/>
    </row>
    <row r="8255" spans="23:23">
      <c r="W8255" s="45"/>
    </row>
    <row r="8256" spans="23:23">
      <c r="W8256" s="45"/>
    </row>
    <row r="8257" spans="23:23">
      <c r="W8257" s="45"/>
    </row>
    <row r="8258" spans="23:23">
      <c r="W8258" s="45"/>
    </row>
    <row r="8259" spans="23:23">
      <c r="W8259" s="45"/>
    </row>
    <row r="8260" spans="23:23">
      <c r="W8260" s="45"/>
    </row>
    <row r="8261" spans="23:23">
      <c r="W8261" s="45"/>
    </row>
    <row r="8262" spans="23:23">
      <c r="W8262" s="45"/>
    </row>
    <row r="8263" spans="23:23">
      <c r="W8263" s="45"/>
    </row>
    <row r="8264" spans="23:23">
      <c r="W8264" s="45"/>
    </row>
    <row r="8265" spans="23:23">
      <c r="W8265" s="45"/>
    </row>
    <row r="8266" spans="23:23">
      <c r="W8266" s="45"/>
    </row>
    <row r="8267" spans="23:23">
      <c r="W8267" s="45"/>
    </row>
    <row r="8268" spans="23:23">
      <c r="W8268" s="45"/>
    </row>
    <row r="8269" spans="23:23">
      <c r="W8269" s="45"/>
    </row>
    <row r="8270" spans="23:23">
      <c r="W8270" s="45"/>
    </row>
    <row r="8271" spans="23:23">
      <c r="W8271" s="45"/>
    </row>
    <row r="8272" spans="23:23">
      <c r="W8272" s="45"/>
    </row>
    <row r="8273" spans="23:23">
      <c r="W8273" s="45"/>
    </row>
    <row r="8274" spans="23:23">
      <c r="W8274" s="45"/>
    </row>
    <row r="8275" spans="23:23">
      <c r="W8275" s="45"/>
    </row>
    <row r="8276" spans="23:23">
      <c r="W8276" s="45"/>
    </row>
    <row r="8277" spans="23:23">
      <c r="W8277" s="45"/>
    </row>
    <row r="8278" spans="23:23">
      <c r="W8278" s="45"/>
    </row>
    <row r="8279" spans="23:23">
      <c r="W8279" s="45"/>
    </row>
    <row r="8280" spans="23:23">
      <c r="W8280" s="45"/>
    </row>
    <row r="8281" spans="23:23">
      <c r="W8281" s="45"/>
    </row>
    <row r="8282" spans="23:23">
      <c r="W8282" s="45"/>
    </row>
    <row r="8283" spans="23:23">
      <c r="W8283" s="45"/>
    </row>
    <row r="8284" spans="23:23">
      <c r="W8284" s="45"/>
    </row>
    <row r="8285" spans="23:23">
      <c r="W8285" s="45"/>
    </row>
    <row r="8286" spans="23:23">
      <c r="W8286" s="45"/>
    </row>
    <row r="8287" spans="23:23">
      <c r="W8287" s="45"/>
    </row>
    <row r="8288" spans="23:23">
      <c r="W8288" s="45"/>
    </row>
    <row r="8289" spans="23:23">
      <c r="W8289" s="45"/>
    </row>
    <row r="8290" spans="23:23">
      <c r="W8290" s="45"/>
    </row>
    <row r="8291" spans="23:23">
      <c r="W8291" s="45"/>
    </row>
    <row r="8292" spans="23:23">
      <c r="W8292" s="45"/>
    </row>
    <row r="8293" spans="23:23">
      <c r="W8293" s="45"/>
    </row>
    <row r="8294" spans="23:23">
      <c r="W8294" s="45"/>
    </row>
    <row r="8295" spans="23:23">
      <c r="W8295" s="45"/>
    </row>
    <row r="8296" spans="23:23">
      <c r="W8296" s="45"/>
    </row>
    <row r="8297" spans="23:23">
      <c r="W8297" s="45"/>
    </row>
    <row r="8298" spans="23:23">
      <c r="W8298" s="45"/>
    </row>
    <row r="8299" spans="23:23">
      <c r="W8299" s="45"/>
    </row>
    <row r="8300" spans="23:23">
      <c r="W8300" s="45"/>
    </row>
    <row r="8301" spans="23:23">
      <c r="W8301" s="45"/>
    </row>
    <row r="8302" spans="23:23">
      <c r="W8302" s="45"/>
    </row>
    <row r="8303" spans="23:23">
      <c r="W8303" s="45"/>
    </row>
    <row r="8304" spans="23:23">
      <c r="W8304" s="45"/>
    </row>
    <row r="8305" spans="23:23">
      <c r="W8305" s="45"/>
    </row>
    <row r="8306" spans="23:23">
      <c r="W8306" s="45"/>
    </row>
    <row r="8307" spans="23:23">
      <c r="W8307" s="45"/>
    </row>
    <row r="8308" spans="23:23">
      <c r="W8308" s="45"/>
    </row>
    <row r="8309" spans="23:23">
      <c r="W8309" s="45"/>
    </row>
    <row r="8310" spans="23:23">
      <c r="W8310" s="45"/>
    </row>
    <row r="8311" spans="23:23">
      <c r="W8311" s="45"/>
    </row>
    <row r="8312" spans="23:23">
      <c r="W8312" s="45"/>
    </row>
    <row r="8313" spans="23:23">
      <c r="W8313" s="45"/>
    </row>
    <row r="8314" spans="23:23">
      <c r="W8314" s="45"/>
    </row>
    <row r="8315" spans="23:23">
      <c r="W8315" s="45"/>
    </row>
    <row r="8316" spans="23:23">
      <c r="W8316" s="45"/>
    </row>
    <row r="8317" spans="23:23">
      <c r="W8317" s="45"/>
    </row>
    <row r="8318" spans="23:23">
      <c r="W8318" s="45"/>
    </row>
    <row r="8319" spans="23:23">
      <c r="W8319" s="45"/>
    </row>
    <row r="8320" spans="23:23">
      <c r="W8320" s="45"/>
    </row>
    <row r="8321" spans="23:23">
      <c r="W8321" s="45"/>
    </row>
    <row r="8322" spans="23:23">
      <c r="W8322" s="45"/>
    </row>
    <row r="8323" spans="23:23">
      <c r="W8323" s="45"/>
    </row>
    <row r="8324" spans="23:23">
      <c r="W8324" s="45"/>
    </row>
    <row r="8325" spans="23:23">
      <c r="W8325" s="45"/>
    </row>
    <row r="8326" spans="23:23">
      <c r="W8326" s="45"/>
    </row>
    <row r="8327" spans="23:23">
      <c r="W8327" s="45"/>
    </row>
    <row r="8328" spans="23:23">
      <c r="W8328" s="45"/>
    </row>
    <row r="8329" spans="23:23">
      <c r="W8329" s="45"/>
    </row>
    <row r="8330" spans="23:23">
      <c r="W8330" s="45"/>
    </row>
    <row r="8331" spans="23:23">
      <c r="W8331" s="45"/>
    </row>
    <row r="8332" spans="23:23">
      <c r="W8332" s="45"/>
    </row>
    <row r="8333" spans="23:23">
      <c r="W8333" s="45"/>
    </row>
    <row r="8334" spans="23:23">
      <c r="W8334" s="45"/>
    </row>
    <row r="8335" spans="23:23">
      <c r="W8335" s="45"/>
    </row>
    <row r="8336" spans="23:23">
      <c r="W8336" s="45"/>
    </row>
    <row r="8337" spans="23:23">
      <c r="W8337" s="45"/>
    </row>
    <row r="8338" spans="23:23">
      <c r="W8338" s="45"/>
    </row>
    <row r="8339" spans="23:23">
      <c r="W8339" s="45"/>
    </row>
    <row r="8340" spans="23:23">
      <c r="W8340" s="45"/>
    </row>
    <row r="8341" spans="23:23">
      <c r="W8341" s="45"/>
    </row>
    <row r="8342" spans="23:23">
      <c r="W8342" s="45"/>
    </row>
    <row r="8343" spans="23:23">
      <c r="W8343" s="45"/>
    </row>
    <row r="8344" spans="23:23">
      <c r="W8344" s="45"/>
    </row>
    <row r="8345" spans="23:23">
      <c r="W8345" s="45"/>
    </row>
    <row r="8346" spans="23:23">
      <c r="W8346" s="45"/>
    </row>
    <row r="8347" spans="23:23">
      <c r="W8347" s="45"/>
    </row>
    <row r="8348" spans="23:23">
      <c r="W8348" s="45"/>
    </row>
    <row r="8349" spans="23:23">
      <c r="W8349" s="45"/>
    </row>
    <row r="8350" spans="23:23">
      <c r="W8350" s="45"/>
    </row>
    <row r="8351" spans="23:23">
      <c r="W8351" s="45"/>
    </row>
    <row r="8352" spans="23:23">
      <c r="W8352" s="45"/>
    </row>
    <row r="8353" spans="23:23">
      <c r="W8353" s="45"/>
    </row>
    <row r="8354" spans="23:23">
      <c r="W8354" s="45"/>
    </row>
    <row r="8355" spans="23:23">
      <c r="W8355" s="45"/>
    </row>
    <row r="8356" spans="23:23">
      <c r="W8356" s="45"/>
    </row>
    <row r="8357" spans="23:23">
      <c r="W8357" s="45"/>
    </row>
    <row r="8358" spans="23:23">
      <c r="W8358" s="45"/>
    </row>
    <row r="8359" spans="23:23">
      <c r="W8359" s="45"/>
    </row>
    <row r="8360" spans="23:23">
      <c r="W8360" s="45"/>
    </row>
    <row r="8361" spans="23:23">
      <c r="W8361" s="45"/>
    </row>
    <row r="8362" spans="23:23">
      <c r="W8362" s="45"/>
    </row>
    <row r="8363" spans="23:23">
      <c r="W8363" s="45"/>
    </row>
    <row r="8364" spans="23:23">
      <c r="W8364" s="45"/>
    </row>
    <row r="8365" spans="23:23">
      <c r="W8365" s="45"/>
    </row>
    <row r="8366" spans="23:23">
      <c r="W8366" s="45"/>
    </row>
    <row r="8367" spans="23:23">
      <c r="W8367" s="45"/>
    </row>
    <row r="8368" spans="23:23">
      <c r="W8368" s="45"/>
    </row>
    <row r="8369" spans="23:23">
      <c r="W8369" s="45"/>
    </row>
    <row r="8370" spans="23:23">
      <c r="W8370" s="45"/>
    </row>
    <row r="8371" spans="23:23">
      <c r="W8371" s="45"/>
    </row>
    <row r="8372" spans="23:23">
      <c r="W8372" s="45"/>
    </row>
    <row r="8373" spans="23:23">
      <c r="W8373" s="45"/>
    </row>
    <row r="8374" spans="23:23">
      <c r="W8374" s="45"/>
    </row>
    <row r="8375" spans="23:23">
      <c r="W8375" s="45"/>
    </row>
    <row r="8376" spans="23:23">
      <c r="W8376" s="45"/>
    </row>
    <row r="8377" spans="23:23">
      <c r="W8377" s="45"/>
    </row>
    <row r="8378" spans="23:23">
      <c r="W8378" s="45"/>
    </row>
    <row r="8379" spans="23:23">
      <c r="W8379" s="45"/>
    </row>
    <row r="8380" spans="23:23">
      <c r="W8380" s="45"/>
    </row>
    <row r="8381" spans="23:23">
      <c r="W8381" s="45"/>
    </row>
    <row r="8382" spans="23:23">
      <c r="W8382" s="45"/>
    </row>
    <row r="8383" spans="23:23">
      <c r="W8383" s="45"/>
    </row>
    <row r="8384" spans="23:23">
      <c r="W8384" s="45"/>
    </row>
    <row r="8385" spans="23:23">
      <c r="W8385" s="45"/>
    </row>
    <row r="8386" spans="23:23">
      <c r="W8386" s="45"/>
    </row>
    <row r="8387" spans="23:23">
      <c r="W8387" s="45"/>
    </row>
    <row r="8388" spans="23:23">
      <c r="W8388" s="45"/>
    </row>
    <row r="8389" spans="23:23">
      <c r="W8389" s="45"/>
    </row>
    <row r="8390" spans="23:23">
      <c r="W8390" s="45"/>
    </row>
    <row r="8391" spans="23:23">
      <c r="W8391" s="45"/>
    </row>
    <row r="8392" spans="23:23">
      <c r="W8392" s="45"/>
    </row>
    <row r="8393" spans="23:23">
      <c r="W8393" s="45"/>
    </row>
    <row r="8394" spans="23:23">
      <c r="W8394" s="45"/>
    </row>
    <row r="8395" spans="23:23">
      <c r="W8395" s="45"/>
    </row>
    <row r="8396" spans="23:23">
      <c r="W8396" s="45"/>
    </row>
    <row r="8397" spans="23:23">
      <c r="W8397" s="45"/>
    </row>
    <row r="8398" spans="23:23">
      <c r="W8398" s="45"/>
    </row>
    <row r="8399" spans="23:23">
      <c r="W8399" s="45"/>
    </row>
    <row r="8400" spans="23:23">
      <c r="W8400" s="45"/>
    </row>
    <row r="8401" spans="23:23">
      <c r="W8401" s="45"/>
    </row>
    <row r="8402" spans="23:23">
      <c r="W8402" s="45"/>
    </row>
    <row r="8403" spans="23:23">
      <c r="W8403" s="45"/>
    </row>
    <row r="8404" spans="23:23">
      <c r="W8404" s="45"/>
    </row>
    <row r="8405" spans="23:23">
      <c r="W8405" s="45"/>
    </row>
    <row r="8406" spans="23:23">
      <c r="W8406" s="45"/>
    </row>
    <row r="8407" spans="23:23">
      <c r="W8407" s="45"/>
    </row>
    <row r="8408" spans="23:23">
      <c r="W8408" s="45"/>
    </row>
    <row r="8409" spans="23:23">
      <c r="W8409" s="45"/>
    </row>
    <row r="8410" spans="23:23">
      <c r="W8410" s="45"/>
    </row>
    <row r="8411" spans="23:23">
      <c r="W8411" s="45"/>
    </row>
    <row r="8412" spans="23:23">
      <c r="W8412" s="45"/>
    </row>
    <row r="8413" spans="23:23">
      <c r="W8413" s="45"/>
    </row>
    <row r="8414" spans="23:23">
      <c r="W8414" s="45"/>
    </row>
    <row r="8415" spans="23:23">
      <c r="W8415" s="45"/>
    </row>
    <row r="8416" spans="23:23">
      <c r="W8416" s="45"/>
    </row>
    <row r="8417" spans="23:23">
      <c r="W8417" s="45"/>
    </row>
    <row r="8418" spans="23:23">
      <c r="W8418" s="45"/>
    </row>
    <row r="8419" spans="23:23">
      <c r="W8419" s="45"/>
    </row>
    <row r="8420" spans="23:23">
      <c r="W8420" s="45"/>
    </row>
    <row r="8421" spans="23:23">
      <c r="W8421" s="45"/>
    </row>
    <row r="8422" spans="23:23">
      <c r="W8422" s="45"/>
    </row>
    <row r="8423" spans="23:23">
      <c r="W8423" s="45"/>
    </row>
    <row r="8424" spans="23:23">
      <c r="W8424" s="45"/>
    </row>
    <row r="8425" spans="23:23">
      <c r="W8425" s="45"/>
    </row>
    <row r="8426" spans="23:23">
      <c r="W8426" s="45"/>
    </row>
    <row r="8427" spans="23:23">
      <c r="W8427" s="45"/>
    </row>
    <row r="8428" spans="23:23">
      <c r="W8428" s="45"/>
    </row>
    <row r="8429" spans="23:23">
      <c r="W8429" s="45"/>
    </row>
    <row r="8430" spans="23:23">
      <c r="W8430" s="45"/>
    </row>
    <row r="8431" spans="23:23">
      <c r="W8431" s="45"/>
    </row>
    <row r="8432" spans="23:23">
      <c r="W8432" s="45"/>
    </row>
    <row r="8433" spans="23:23">
      <c r="W8433" s="45"/>
    </row>
    <row r="8434" spans="23:23">
      <c r="W8434" s="45"/>
    </row>
    <row r="8435" spans="23:23">
      <c r="W8435" s="45"/>
    </row>
    <row r="8436" spans="23:23">
      <c r="W8436" s="45"/>
    </row>
    <row r="8437" spans="23:23">
      <c r="W8437" s="45"/>
    </row>
    <row r="8438" spans="23:23">
      <c r="W8438" s="45"/>
    </row>
    <row r="8439" spans="23:23">
      <c r="W8439" s="45"/>
    </row>
    <row r="8440" spans="23:23">
      <c r="W8440" s="45"/>
    </row>
    <row r="8441" spans="23:23">
      <c r="W8441" s="45"/>
    </row>
    <row r="8442" spans="23:23">
      <c r="W8442" s="45"/>
    </row>
    <row r="8443" spans="23:23">
      <c r="W8443" s="45"/>
    </row>
    <row r="8444" spans="23:23">
      <c r="W8444" s="45"/>
    </row>
    <row r="8445" spans="23:23">
      <c r="W8445" s="45"/>
    </row>
    <row r="8446" spans="23:23">
      <c r="W8446" s="45"/>
    </row>
    <row r="8447" spans="23:23">
      <c r="W8447" s="45"/>
    </row>
    <row r="8448" spans="23:23">
      <c r="W8448" s="45"/>
    </row>
    <row r="8449" spans="23:23">
      <c r="W8449" s="45"/>
    </row>
    <row r="8450" spans="23:23">
      <c r="W8450" s="45"/>
    </row>
    <row r="8451" spans="23:23">
      <c r="W8451" s="45"/>
    </row>
    <row r="8452" spans="23:23">
      <c r="W8452" s="45"/>
    </row>
    <row r="8453" spans="23:23">
      <c r="W8453" s="45"/>
    </row>
    <row r="8454" spans="23:23">
      <c r="W8454" s="45"/>
    </row>
    <row r="8455" spans="23:23">
      <c r="W8455" s="45"/>
    </row>
    <row r="8456" spans="23:23">
      <c r="W8456" s="45"/>
    </row>
    <row r="8457" spans="23:23">
      <c r="W8457" s="45"/>
    </row>
    <row r="8458" spans="23:23">
      <c r="W8458" s="45"/>
    </row>
    <row r="8459" spans="23:23">
      <c r="W8459" s="45"/>
    </row>
    <row r="8460" spans="23:23">
      <c r="W8460" s="45"/>
    </row>
    <row r="8461" spans="23:23">
      <c r="W8461" s="45"/>
    </row>
    <row r="8462" spans="23:23">
      <c r="W8462" s="45"/>
    </row>
    <row r="8463" spans="23:23">
      <c r="W8463" s="45"/>
    </row>
    <row r="8464" spans="23:23">
      <c r="W8464" s="45"/>
    </row>
    <row r="8465" spans="23:23">
      <c r="W8465" s="45"/>
    </row>
    <row r="8466" spans="23:23">
      <c r="W8466" s="45"/>
    </row>
    <row r="8467" spans="23:23">
      <c r="W8467" s="45"/>
    </row>
    <row r="8468" spans="23:23">
      <c r="W8468" s="45"/>
    </row>
    <row r="8469" spans="23:23">
      <c r="W8469" s="45"/>
    </row>
    <row r="8470" spans="23:23">
      <c r="W8470" s="45"/>
    </row>
    <row r="8471" spans="23:23">
      <c r="W8471" s="45"/>
    </row>
    <row r="8472" spans="23:23">
      <c r="W8472" s="45"/>
    </row>
    <row r="8473" spans="23:23">
      <c r="W8473" s="45"/>
    </row>
    <row r="8474" spans="23:23">
      <c r="W8474" s="45"/>
    </row>
    <row r="8475" spans="23:23">
      <c r="W8475" s="45"/>
    </row>
    <row r="8476" spans="23:23">
      <c r="W8476" s="45"/>
    </row>
    <row r="8477" spans="23:23">
      <c r="W8477" s="45"/>
    </row>
    <row r="8478" spans="23:23">
      <c r="W8478" s="45"/>
    </row>
    <row r="8479" spans="23:23">
      <c r="W8479" s="45"/>
    </row>
    <row r="8480" spans="23:23">
      <c r="W8480" s="45"/>
    </row>
    <row r="8481" spans="23:23">
      <c r="W8481" s="45"/>
    </row>
    <row r="8482" spans="23:23">
      <c r="W8482" s="45"/>
    </row>
    <row r="8483" spans="23:23">
      <c r="W8483" s="45"/>
    </row>
    <row r="8484" spans="23:23">
      <c r="W8484" s="45"/>
    </row>
    <row r="8485" spans="23:23">
      <c r="W8485" s="45"/>
    </row>
    <row r="8486" spans="23:23">
      <c r="W8486" s="45"/>
    </row>
    <row r="8487" spans="23:23">
      <c r="W8487" s="45"/>
    </row>
    <row r="8488" spans="23:23">
      <c r="W8488" s="45"/>
    </row>
    <row r="8489" spans="23:23">
      <c r="W8489" s="45"/>
    </row>
    <row r="8490" spans="23:23">
      <c r="W8490" s="45"/>
    </row>
    <row r="8491" spans="23:23">
      <c r="W8491" s="45"/>
    </row>
    <row r="8492" spans="23:23">
      <c r="W8492" s="45"/>
    </row>
    <row r="8493" spans="23:23">
      <c r="W8493" s="45"/>
    </row>
    <row r="8494" spans="23:23">
      <c r="W8494" s="45"/>
    </row>
    <row r="8495" spans="23:23">
      <c r="W8495" s="45"/>
    </row>
    <row r="8496" spans="23:23">
      <c r="W8496" s="45"/>
    </row>
    <row r="8497" spans="23:23">
      <c r="W8497" s="45"/>
    </row>
    <row r="8498" spans="23:23">
      <c r="W8498" s="45"/>
    </row>
    <row r="8499" spans="23:23">
      <c r="W8499" s="45"/>
    </row>
    <row r="8500" spans="23:23">
      <c r="W8500" s="45"/>
    </row>
    <row r="8501" spans="23:23">
      <c r="W8501" s="45"/>
    </row>
    <row r="8502" spans="23:23">
      <c r="W8502" s="45"/>
    </row>
    <row r="8503" spans="23:23">
      <c r="W8503" s="45"/>
    </row>
    <row r="8504" spans="23:23">
      <c r="W8504" s="45"/>
    </row>
    <row r="8505" spans="23:23">
      <c r="W8505" s="45"/>
    </row>
    <row r="8506" spans="23:23">
      <c r="W8506" s="45"/>
    </row>
    <row r="8507" spans="23:23">
      <c r="W8507" s="45"/>
    </row>
    <row r="8508" spans="23:23">
      <c r="W8508" s="45"/>
    </row>
    <row r="8509" spans="23:23">
      <c r="W8509" s="45"/>
    </row>
    <row r="8510" spans="23:23">
      <c r="W8510" s="45"/>
    </row>
    <row r="8511" spans="23:23">
      <c r="W8511" s="45"/>
    </row>
    <row r="8512" spans="23:23">
      <c r="W8512" s="45"/>
    </row>
    <row r="8513" spans="23:23">
      <c r="W8513" s="45"/>
    </row>
    <row r="8514" spans="23:23">
      <c r="W8514" s="45"/>
    </row>
    <row r="8515" spans="23:23">
      <c r="W8515" s="45"/>
    </row>
    <row r="8516" spans="23:23">
      <c r="W8516" s="45"/>
    </row>
    <row r="8517" spans="23:23">
      <c r="W8517" s="45"/>
    </row>
    <row r="8518" spans="23:23">
      <c r="W8518" s="45"/>
    </row>
    <row r="8519" spans="23:23">
      <c r="W8519" s="45"/>
    </row>
    <row r="8520" spans="23:23">
      <c r="W8520" s="45"/>
    </row>
    <row r="8521" spans="23:23">
      <c r="W8521" s="45"/>
    </row>
    <row r="8522" spans="23:23">
      <c r="W8522" s="45"/>
    </row>
    <row r="8523" spans="23:23">
      <c r="W8523" s="45"/>
    </row>
    <row r="8524" spans="23:23">
      <c r="W8524" s="45"/>
    </row>
    <row r="8525" spans="23:23">
      <c r="W8525" s="45"/>
    </row>
    <row r="8526" spans="23:23">
      <c r="W8526" s="45"/>
    </row>
    <row r="8527" spans="23:23">
      <c r="W8527" s="45"/>
    </row>
    <row r="8528" spans="23:23">
      <c r="W8528" s="45"/>
    </row>
    <row r="8529" spans="23:23">
      <c r="W8529" s="45"/>
    </row>
    <row r="8530" spans="23:23">
      <c r="W8530" s="45"/>
    </row>
    <row r="8531" spans="23:23">
      <c r="W8531" s="45"/>
    </row>
    <row r="8532" spans="23:23">
      <c r="W8532" s="45"/>
    </row>
    <row r="8533" spans="23:23">
      <c r="W8533" s="45"/>
    </row>
    <row r="8534" spans="23:23">
      <c r="W8534" s="45"/>
    </row>
    <row r="8535" spans="23:23">
      <c r="W8535" s="45"/>
    </row>
    <row r="8536" spans="23:23">
      <c r="W8536" s="45"/>
    </row>
    <row r="8537" spans="23:23">
      <c r="W8537" s="45"/>
    </row>
    <row r="8538" spans="23:23">
      <c r="W8538" s="45"/>
    </row>
    <row r="8539" spans="23:23">
      <c r="W8539" s="45"/>
    </row>
    <row r="8540" spans="23:23">
      <c r="W8540" s="45"/>
    </row>
    <row r="8541" spans="23:23">
      <c r="W8541" s="45"/>
    </row>
    <row r="8542" spans="23:23">
      <c r="W8542" s="45"/>
    </row>
    <row r="8543" spans="23:23">
      <c r="W8543" s="45"/>
    </row>
    <row r="8544" spans="23:23">
      <c r="W8544" s="45"/>
    </row>
    <row r="8545" spans="23:23">
      <c r="W8545" s="45"/>
    </row>
    <row r="8546" spans="23:23">
      <c r="W8546" s="45"/>
    </row>
    <row r="8547" spans="23:23">
      <c r="W8547" s="45"/>
    </row>
    <row r="8548" spans="23:23">
      <c r="W8548" s="45"/>
    </row>
    <row r="8549" spans="23:23">
      <c r="W8549" s="45"/>
    </row>
    <row r="8550" spans="23:23">
      <c r="W8550" s="45"/>
    </row>
    <row r="8551" spans="23:23">
      <c r="W8551" s="45"/>
    </row>
    <row r="8552" spans="23:23">
      <c r="W8552" s="45"/>
    </row>
    <row r="8553" spans="23:23">
      <c r="W8553" s="45"/>
    </row>
    <row r="8554" spans="23:23">
      <c r="W8554" s="45"/>
    </row>
    <row r="8555" spans="23:23">
      <c r="W8555" s="45"/>
    </row>
    <row r="8556" spans="23:23">
      <c r="W8556" s="45"/>
    </row>
    <row r="8557" spans="23:23">
      <c r="W8557" s="45"/>
    </row>
    <row r="8558" spans="23:23">
      <c r="W8558" s="45"/>
    </row>
    <row r="8559" spans="23:23">
      <c r="W8559" s="45"/>
    </row>
    <row r="8560" spans="23:23">
      <c r="W8560" s="45"/>
    </row>
    <row r="8561" spans="23:23">
      <c r="W8561" s="45"/>
    </row>
    <row r="8562" spans="23:23">
      <c r="W8562" s="45"/>
    </row>
    <row r="8563" spans="23:23">
      <c r="W8563" s="45"/>
    </row>
    <row r="8564" spans="23:23">
      <c r="W8564" s="45"/>
    </row>
    <row r="8565" spans="23:23">
      <c r="W8565" s="45"/>
    </row>
    <row r="8566" spans="23:23">
      <c r="W8566" s="45"/>
    </row>
    <row r="8567" spans="23:23">
      <c r="W8567" s="45"/>
    </row>
    <row r="8568" spans="23:23">
      <c r="W8568" s="45"/>
    </row>
    <row r="8569" spans="23:23">
      <c r="W8569" s="45"/>
    </row>
    <row r="8570" spans="23:23">
      <c r="W8570" s="45"/>
    </row>
    <row r="8571" spans="23:23">
      <c r="W8571" s="45"/>
    </row>
    <row r="8572" spans="23:23">
      <c r="W8572" s="45"/>
    </row>
    <row r="8573" spans="23:23">
      <c r="W8573" s="45"/>
    </row>
    <row r="8574" spans="23:23">
      <c r="W8574" s="45"/>
    </row>
    <row r="8575" spans="23:23">
      <c r="W8575" s="45"/>
    </row>
    <row r="8576" spans="23:23">
      <c r="W8576" s="45"/>
    </row>
    <row r="8577" spans="23:23">
      <c r="W8577" s="45"/>
    </row>
    <row r="8578" spans="23:23">
      <c r="W8578" s="45"/>
    </row>
    <row r="8579" spans="23:23">
      <c r="W8579" s="45"/>
    </row>
    <row r="8580" spans="23:23">
      <c r="W8580" s="45"/>
    </row>
    <row r="8581" spans="23:23">
      <c r="W8581" s="45"/>
    </row>
    <row r="8582" spans="23:23">
      <c r="W8582" s="45"/>
    </row>
    <row r="8583" spans="23:23">
      <c r="W8583" s="45"/>
    </row>
    <row r="8584" spans="23:23">
      <c r="W8584" s="45"/>
    </row>
    <row r="8585" spans="23:23">
      <c r="W8585" s="45"/>
    </row>
    <row r="8586" spans="23:23">
      <c r="W8586" s="45"/>
    </row>
    <row r="8587" spans="23:23">
      <c r="W8587" s="45"/>
    </row>
    <row r="8588" spans="23:23">
      <c r="W8588" s="45"/>
    </row>
    <row r="8589" spans="23:23">
      <c r="W8589" s="45"/>
    </row>
    <row r="8590" spans="23:23">
      <c r="W8590" s="45"/>
    </row>
    <row r="8591" spans="23:23">
      <c r="W8591" s="45"/>
    </row>
    <row r="8592" spans="23:23">
      <c r="W8592" s="45"/>
    </row>
    <row r="8593" spans="23:23">
      <c r="W8593" s="45"/>
    </row>
    <row r="8594" spans="23:23">
      <c r="W8594" s="45"/>
    </row>
    <row r="8595" spans="23:23">
      <c r="W8595" s="45"/>
    </row>
    <row r="8596" spans="23:23">
      <c r="W8596" s="45"/>
    </row>
    <row r="8597" spans="23:23">
      <c r="W8597" s="45"/>
    </row>
    <row r="8598" spans="23:23">
      <c r="W8598" s="45"/>
    </row>
    <row r="8599" spans="23:23">
      <c r="W8599" s="45"/>
    </row>
    <row r="8600" spans="23:23">
      <c r="W8600" s="45"/>
    </row>
    <row r="8601" spans="23:23">
      <c r="W8601" s="45"/>
    </row>
    <row r="8602" spans="23:23">
      <c r="W8602" s="45"/>
    </row>
    <row r="8603" spans="23:23">
      <c r="W8603" s="45"/>
    </row>
    <row r="8604" spans="23:23">
      <c r="W8604" s="45"/>
    </row>
    <row r="8605" spans="23:23">
      <c r="W8605" s="45"/>
    </row>
    <row r="8606" spans="23:23">
      <c r="W8606" s="45"/>
    </row>
    <row r="8607" spans="23:23">
      <c r="W8607" s="45"/>
    </row>
    <row r="8608" spans="23:23">
      <c r="W8608" s="45"/>
    </row>
    <row r="8609" spans="23:23">
      <c r="W8609" s="45"/>
    </row>
    <row r="8610" spans="23:23">
      <c r="W8610" s="45"/>
    </row>
    <row r="8611" spans="23:23">
      <c r="W8611" s="45"/>
    </row>
    <row r="8612" spans="23:23">
      <c r="W8612" s="45"/>
    </row>
    <row r="8613" spans="23:23">
      <c r="W8613" s="45"/>
    </row>
    <row r="8614" spans="23:23">
      <c r="W8614" s="45"/>
    </row>
    <row r="8615" spans="23:23">
      <c r="W8615" s="45"/>
    </row>
    <row r="8616" spans="23:23">
      <c r="W8616" s="45"/>
    </row>
    <row r="8617" spans="23:23">
      <c r="W8617" s="45"/>
    </row>
    <row r="8618" spans="23:23">
      <c r="W8618" s="45"/>
    </row>
    <row r="8619" spans="23:23">
      <c r="W8619" s="45"/>
    </row>
    <row r="8620" spans="23:23">
      <c r="W8620" s="45"/>
    </row>
    <row r="8621" spans="23:23">
      <c r="W8621" s="45"/>
    </row>
    <row r="8622" spans="23:23">
      <c r="W8622" s="45"/>
    </row>
    <row r="8623" spans="23:23">
      <c r="W8623" s="45"/>
    </row>
    <row r="8624" spans="23:23">
      <c r="W8624" s="45"/>
    </row>
    <row r="8625" spans="23:23">
      <c r="W8625" s="45"/>
    </row>
    <row r="8626" spans="23:23">
      <c r="W8626" s="45"/>
    </row>
    <row r="8627" spans="23:23">
      <c r="W8627" s="45"/>
    </row>
    <row r="8628" spans="23:23">
      <c r="W8628" s="45"/>
    </row>
    <row r="8629" spans="23:23">
      <c r="W8629" s="45"/>
    </row>
    <row r="8630" spans="23:23">
      <c r="W8630" s="45"/>
    </row>
    <row r="8631" spans="23:23">
      <c r="W8631" s="45"/>
    </row>
    <row r="8632" spans="23:23">
      <c r="W8632" s="45"/>
    </row>
    <row r="8633" spans="23:23">
      <c r="W8633" s="45"/>
    </row>
    <row r="8634" spans="23:23">
      <c r="W8634" s="45"/>
    </row>
    <row r="8635" spans="23:23">
      <c r="W8635" s="45"/>
    </row>
    <row r="8636" spans="23:23">
      <c r="W8636" s="45"/>
    </row>
    <row r="8637" spans="23:23">
      <c r="W8637" s="45"/>
    </row>
    <row r="8638" spans="23:23">
      <c r="W8638" s="45"/>
    </row>
    <row r="8639" spans="23:23">
      <c r="W8639" s="45"/>
    </row>
    <row r="8640" spans="23:23">
      <c r="W8640" s="45"/>
    </row>
    <row r="8641" spans="23:23">
      <c r="W8641" s="45"/>
    </row>
    <row r="8642" spans="23:23">
      <c r="W8642" s="45"/>
    </row>
    <row r="8643" spans="23:23">
      <c r="W8643" s="45"/>
    </row>
    <row r="8644" spans="23:23">
      <c r="W8644" s="45"/>
    </row>
    <row r="8645" spans="23:23">
      <c r="W8645" s="45"/>
    </row>
    <row r="8646" spans="23:23">
      <c r="W8646" s="45"/>
    </row>
    <row r="8647" spans="23:23">
      <c r="W8647" s="45"/>
    </row>
    <row r="8648" spans="23:23">
      <c r="W8648" s="45"/>
    </row>
    <row r="8649" spans="23:23">
      <c r="W8649" s="45"/>
    </row>
    <row r="8650" spans="23:23">
      <c r="W8650" s="45"/>
    </row>
    <row r="8651" spans="23:23">
      <c r="W8651" s="45"/>
    </row>
    <row r="8652" spans="23:23">
      <c r="W8652" s="45"/>
    </row>
    <row r="8653" spans="23:23">
      <c r="W8653" s="45"/>
    </row>
    <row r="8654" spans="23:23">
      <c r="W8654" s="45"/>
    </row>
    <row r="8655" spans="23:23">
      <c r="W8655" s="45"/>
    </row>
    <row r="8656" spans="23:23">
      <c r="W8656" s="45"/>
    </row>
    <row r="8657" spans="23:23">
      <c r="W8657" s="45"/>
    </row>
    <row r="8658" spans="23:23">
      <c r="W8658" s="45"/>
    </row>
    <row r="8659" spans="23:23">
      <c r="W8659" s="45"/>
    </row>
    <row r="8660" spans="23:23">
      <c r="W8660" s="45"/>
    </row>
    <row r="8661" spans="23:23">
      <c r="W8661" s="45"/>
    </row>
    <row r="8662" spans="23:23">
      <c r="W8662" s="45"/>
    </row>
    <row r="8663" spans="23:23">
      <c r="W8663" s="45"/>
    </row>
    <row r="8664" spans="23:23">
      <c r="W8664" s="45"/>
    </row>
    <row r="8665" spans="23:23">
      <c r="W8665" s="45"/>
    </row>
    <row r="8666" spans="23:23">
      <c r="W8666" s="45"/>
    </row>
    <row r="8667" spans="23:23">
      <c r="W8667" s="45"/>
    </row>
    <row r="8668" spans="23:23">
      <c r="W8668" s="45"/>
    </row>
    <row r="8669" spans="23:23">
      <c r="W8669" s="45"/>
    </row>
    <row r="8670" spans="23:23">
      <c r="W8670" s="45"/>
    </row>
    <row r="8671" spans="23:23">
      <c r="W8671" s="45"/>
    </row>
    <row r="8672" spans="23:23">
      <c r="W8672" s="45"/>
    </row>
    <row r="8673" spans="23:23">
      <c r="W8673" s="45"/>
    </row>
    <row r="8674" spans="23:23">
      <c r="W8674" s="45"/>
    </row>
    <row r="8675" spans="23:23">
      <c r="W8675" s="45"/>
    </row>
    <row r="8676" spans="23:23">
      <c r="W8676" s="45"/>
    </row>
    <row r="8677" spans="23:23">
      <c r="W8677" s="45"/>
    </row>
    <row r="8678" spans="23:23">
      <c r="W8678" s="45"/>
    </row>
    <row r="8679" spans="23:23">
      <c r="W8679" s="45"/>
    </row>
    <row r="8680" spans="23:23">
      <c r="W8680" s="45"/>
    </row>
    <row r="8681" spans="23:23">
      <c r="W8681" s="45"/>
    </row>
    <row r="8682" spans="23:23">
      <c r="W8682" s="45"/>
    </row>
    <row r="8683" spans="23:23">
      <c r="W8683" s="45"/>
    </row>
    <row r="8684" spans="23:23">
      <c r="W8684" s="45"/>
    </row>
    <row r="8685" spans="23:23">
      <c r="W8685" s="45"/>
    </row>
    <row r="8686" spans="23:23">
      <c r="W8686" s="45"/>
    </row>
    <row r="8687" spans="23:23">
      <c r="W8687" s="45"/>
    </row>
    <row r="8688" spans="23:23">
      <c r="W8688" s="45"/>
    </row>
    <row r="8689" spans="23:23">
      <c r="W8689" s="45"/>
    </row>
    <row r="8690" spans="23:23">
      <c r="W8690" s="45"/>
    </row>
    <row r="8691" spans="23:23">
      <c r="W8691" s="45"/>
    </row>
    <row r="8692" spans="23:23">
      <c r="W8692" s="45"/>
    </row>
    <row r="8693" spans="23:23">
      <c r="W8693" s="45"/>
    </row>
    <row r="8694" spans="23:23">
      <c r="W8694" s="45"/>
    </row>
    <row r="8695" spans="23:23">
      <c r="W8695" s="45"/>
    </row>
    <row r="8696" spans="23:23">
      <c r="W8696" s="45"/>
    </row>
    <row r="8697" spans="23:23">
      <c r="W8697" s="45"/>
    </row>
    <row r="8698" spans="23:23">
      <c r="W8698" s="45"/>
    </row>
    <row r="8699" spans="23:23">
      <c r="W8699" s="45"/>
    </row>
    <row r="8700" spans="23:23">
      <c r="W8700" s="45"/>
    </row>
    <row r="8701" spans="23:23">
      <c r="W8701" s="45"/>
    </row>
    <row r="8702" spans="23:23">
      <c r="W8702" s="45"/>
    </row>
    <row r="8703" spans="23:23">
      <c r="W8703" s="45"/>
    </row>
    <row r="8704" spans="23:23">
      <c r="W8704" s="45"/>
    </row>
    <row r="8705" spans="23:23">
      <c r="W8705" s="45"/>
    </row>
    <row r="8706" spans="23:23">
      <c r="W8706" s="45"/>
    </row>
    <row r="8707" spans="23:23">
      <c r="W8707" s="45"/>
    </row>
    <row r="8708" spans="23:23">
      <c r="W8708" s="45"/>
    </row>
    <row r="8709" spans="23:23">
      <c r="W8709" s="45"/>
    </row>
    <row r="8710" spans="23:23">
      <c r="W8710" s="45"/>
    </row>
    <row r="8711" spans="23:23">
      <c r="W8711" s="45"/>
    </row>
    <row r="8712" spans="23:23">
      <c r="W8712" s="45"/>
    </row>
    <row r="8713" spans="23:23">
      <c r="W8713" s="45"/>
    </row>
    <row r="8714" spans="23:23">
      <c r="W8714" s="45"/>
    </row>
    <row r="8715" spans="23:23">
      <c r="W8715" s="45"/>
    </row>
    <row r="8716" spans="23:23">
      <c r="W8716" s="45"/>
    </row>
    <row r="8717" spans="23:23">
      <c r="W8717" s="45"/>
    </row>
    <row r="8718" spans="23:23">
      <c r="W8718" s="45"/>
    </row>
    <row r="8719" spans="23:23">
      <c r="W8719" s="45"/>
    </row>
    <row r="8720" spans="23:23">
      <c r="W8720" s="45"/>
    </row>
    <row r="8721" spans="23:23">
      <c r="W8721" s="45"/>
    </row>
    <row r="8722" spans="23:23">
      <c r="W8722" s="45"/>
    </row>
    <row r="8723" spans="23:23">
      <c r="W8723" s="45"/>
    </row>
    <row r="8724" spans="23:23">
      <c r="W8724" s="45"/>
    </row>
    <row r="8725" spans="23:23">
      <c r="W8725" s="45"/>
    </row>
    <row r="8726" spans="23:23">
      <c r="W8726" s="45"/>
    </row>
    <row r="8727" spans="23:23">
      <c r="W8727" s="45"/>
    </row>
    <row r="8728" spans="23:23">
      <c r="W8728" s="45"/>
    </row>
    <row r="8729" spans="23:23">
      <c r="W8729" s="45"/>
    </row>
    <row r="8730" spans="23:23">
      <c r="W8730" s="45"/>
    </row>
    <row r="8731" spans="23:23">
      <c r="W8731" s="45"/>
    </row>
    <row r="8732" spans="23:23">
      <c r="W8732" s="45"/>
    </row>
    <row r="8733" spans="23:23">
      <c r="W8733" s="45"/>
    </row>
    <row r="8734" spans="23:23">
      <c r="W8734" s="45"/>
    </row>
    <row r="8735" spans="23:23">
      <c r="W8735" s="45"/>
    </row>
    <row r="8736" spans="23:23">
      <c r="W8736" s="45"/>
    </row>
    <row r="8737" spans="23:23">
      <c r="W8737" s="45"/>
    </row>
    <row r="8738" spans="23:23">
      <c r="W8738" s="45"/>
    </row>
    <row r="8739" spans="23:23">
      <c r="W8739" s="45"/>
    </row>
    <row r="8740" spans="23:23">
      <c r="W8740" s="45"/>
    </row>
    <row r="8741" spans="23:23">
      <c r="W8741" s="45"/>
    </row>
    <row r="8742" spans="23:23">
      <c r="W8742" s="45"/>
    </row>
    <row r="8743" spans="23:23">
      <c r="W8743" s="45"/>
    </row>
    <row r="8744" spans="23:23">
      <c r="W8744" s="45"/>
    </row>
    <row r="8745" spans="23:23">
      <c r="W8745" s="45"/>
    </row>
    <row r="8746" spans="23:23">
      <c r="W8746" s="45"/>
    </row>
    <row r="8747" spans="23:23">
      <c r="W8747" s="45"/>
    </row>
    <row r="8748" spans="23:23">
      <c r="W8748" s="45"/>
    </row>
    <row r="8749" spans="23:23">
      <c r="W8749" s="45"/>
    </row>
    <row r="8750" spans="23:23">
      <c r="W8750" s="45"/>
    </row>
    <row r="8751" spans="23:23">
      <c r="W8751" s="45"/>
    </row>
    <row r="8752" spans="23:23">
      <c r="W8752" s="45"/>
    </row>
    <row r="8753" spans="23:23">
      <c r="W8753" s="45"/>
    </row>
    <row r="8754" spans="23:23">
      <c r="W8754" s="45"/>
    </row>
    <row r="8755" spans="23:23">
      <c r="W8755" s="45"/>
    </row>
    <row r="8756" spans="23:23">
      <c r="W8756" s="45"/>
    </row>
    <row r="8757" spans="23:23">
      <c r="W8757" s="45"/>
    </row>
    <row r="8758" spans="23:23">
      <c r="W8758" s="45"/>
    </row>
    <row r="8759" spans="23:23">
      <c r="W8759" s="45"/>
    </row>
    <row r="8760" spans="23:23">
      <c r="W8760" s="45"/>
    </row>
    <row r="8761" spans="23:23">
      <c r="W8761" s="45"/>
    </row>
    <row r="8762" spans="23:23">
      <c r="W8762" s="45"/>
    </row>
    <row r="8763" spans="23:23">
      <c r="W8763" s="45"/>
    </row>
    <row r="8764" spans="23:23">
      <c r="W8764" s="45"/>
    </row>
    <row r="8765" spans="23:23">
      <c r="W8765" s="45"/>
    </row>
    <row r="8766" spans="23:23">
      <c r="W8766" s="45"/>
    </row>
    <row r="8767" spans="23:23">
      <c r="W8767" s="45"/>
    </row>
    <row r="8768" spans="23:23">
      <c r="W8768" s="45"/>
    </row>
    <row r="8769" spans="23:23">
      <c r="W8769" s="45"/>
    </row>
    <row r="8770" spans="23:23">
      <c r="W8770" s="45"/>
    </row>
    <row r="8771" spans="23:23">
      <c r="W8771" s="45"/>
    </row>
    <row r="8772" spans="23:23">
      <c r="W8772" s="45"/>
    </row>
    <row r="8773" spans="23:23">
      <c r="W8773" s="45"/>
    </row>
    <row r="8774" spans="23:23">
      <c r="W8774" s="45"/>
    </row>
    <row r="8775" spans="23:23">
      <c r="W8775" s="45"/>
    </row>
    <row r="8776" spans="23:23">
      <c r="W8776" s="45"/>
    </row>
    <row r="8777" spans="23:23">
      <c r="W8777" s="45"/>
    </row>
    <row r="8778" spans="23:23">
      <c r="W8778" s="45"/>
    </row>
    <row r="8779" spans="23:23">
      <c r="W8779" s="45"/>
    </row>
    <row r="8780" spans="23:23">
      <c r="W8780" s="45"/>
    </row>
    <row r="8781" spans="23:23">
      <c r="W8781" s="45"/>
    </row>
    <row r="8782" spans="23:23">
      <c r="W8782" s="45"/>
    </row>
    <row r="8783" spans="23:23">
      <c r="W8783" s="45"/>
    </row>
    <row r="8784" spans="23:23">
      <c r="W8784" s="45"/>
    </row>
    <row r="8785" spans="23:23">
      <c r="W8785" s="45"/>
    </row>
    <row r="8786" spans="23:23">
      <c r="W8786" s="45"/>
    </row>
    <row r="8787" spans="23:23">
      <c r="W8787" s="45"/>
    </row>
    <row r="8788" spans="23:23">
      <c r="W8788" s="45"/>
    </row>
    <row r="8789" spans="23:23">
      <c r="W8789" s="45"/>
    </row>
    <row r="8790" spans="23:23">
      <c r="W8790" s="45"/>
    </row>
    <row r="8791" spans="23:23">
      <c r="W8791" s="45"/>
    </row>
    <row r="8792" spans="23:23">
      <c r="W8792" s="45"/>
    </row>
    <row r="8793" spans="23:23">
      <c r="W8793" s="45"/>
    </row>
    <row r="8794" spans="23:23">
      <c r="W8794" s="45"/>
    </row>
    <row r="8795" spans="23:23">
      <c r="W8795" s="45"/>
    </row>
    <row r="8796" spans="23:23">
      <c r="W8796" s="45"/>
    </row>
    <row r="8797" spans="23:23">
      <c r="W8797" s="45"/>
    </row>
    <row r="8798" spans="23:23">
      <c r="W8798" s="45"/>
    </row>
    <row r="8799" spans="23:23">
      <c r="W8799" s="45"/>
    </row>
    <row r="8800" spans="23:23">
      <c r="W8800" s="45"/>
    </row>
    <row r="8801" spans="23:23">
      <c r="W8801" s="45"/>
    </row>
    <row r="8802" spans="23:23">
      <c r="W8802" s="45"/>
    </row>
    <row r="8803" spans="23:23">
      <c r="W8803" s="45"/>
    </row>
    <row r="8804" spans="23:23">
      <c r="W8804" s="45"/>
    </row>
    <row r="8805" spans="23:23">
      <c r="W8805" s="45"/>
    </row>
    <row r="8806" spans="23:23">
      <c r="W8806" s="45"/>
    </row>
    <row r="8807" spans="23:23">
      <c r="W8807" s="45"/>
    </row>
    <row r="8808" spans="23:23">
      <c r="W8808" s="45"/>
    </row>
    <row r="8809" spans="23:23">
      <c r="W8809" s="45"/>
    </row>
    <row r="8810" spans="23:23">
      <c r="W8810" s="45"/>
    </row>
    <row r="8811" spans="23:23">
      <c r="W8811" s="45"/>
    </row>
    <row r="8812" spans="23:23">
      <c r="W8812" s="45"/>
    </row>
    <row r="8813" spans="23:23">
      <c r="W8813" s="45"/>
    </row>
    <row r="8814" spans="23:23">
      <c r="W8814" s="45"/>
    </row>
    <row r="8815" spans="23:23">
      <c r="W8815" s="45"/>
    </row>
    <row r="8816" spans="23:23">
      <c r="W8816" s="45"/>
    </row>
    <row r="8817" spans="23:23">
      <c r="W8817" s="45"/>
    </row>
    <row r="8818" spans="23:23">
      <c r="W8818" s="45"/>
    </row>
    <row r="8819" spans="23:23">
      <c r="W8819" s="45"/>
    </row>
    <row r="8820" spans="23:23">
      <c r="W8820" s="45"/>
    </row>
    <row r="8821" spans="23:23">
      <c r="W8821" s="45"/>
    </row>
    <row r="8822" spans="23:23">
      <c r="W8822" s="45"/>
    </row>
    <row r="8823" spans="23:23">
      <c r="W8823" s="45"/>
    </row>
    <row r="8824" spans="23:23">
      <c r="W8824" s="45"/>
    </row>
    <row r="8825" spans="23:23">
      <c r="W8825" s="45"/>
    </row>
    <row r="8826" spans="23:23">
      <c r="W8826" s="45"/>
    </row>
    <row r="8827" spans="23:23">
      <c r="W8827" s="45"/>
    </row>
    <row r="8828" spans="23:23">
      <c r="W8828" s="45"/>
    </row>
    <row r="8829" spans="23:23">
      <c r="W8829" s="45"/>
    </row>
    <row r="8830" spans="23:23">
      <c r="W8830" s="45"/>
    </row>
    <row r="8831" spans="23:23">
      <c r="W8831" s="45"/>
    </row>
    <row r="8832" spans="23:23">
      <c r="W8832" s="45"/>
    </row>
    <row r="8833" spans="23:23">
      <c r="W8833" s="45"/>
    </row>
    <row r="8834" spans="23:23">
      <c r="W8834" s="45"/>
    </row>
    <row r="8835" spans="23:23">
      <c r="W8835" s="45"/>
    </row>
    <row r="8836" spans="23:23">
      <c r="W8836" s="45"/>
    </row>
    <row r="8837" spans="23:23">
      <c r="W8837" s="45"/>
    </row>
    <row r="8838" spans="23:23">
      <c r="W8838" s="45"/>
    </row>
    <row r="8839" spans="23:23">
      <c r="W8839" s="45"/>
    </row>
    <row r="8840" spans="23:23">
      <c r="W8840" s="45"/>
    </row>
    <row r="8841" spans="23:23">
      <c r="W8841" s="45"/>
    </row>
    <row r="8842" spans="23:23">
      <c r="W8842" s="45"/>
    </row>
    <row r="8843" spans="23:23">
      <c r="W8843" s="45"/>
    </row>
    <row r="8844" spans="23:23">
      <c r="W8844" s="45"/>
    </row>
    <row r="8845" spans="23:23">
      <c r="W8845" s="45"/>
    </row>
    <row r="8846" spans="23:23">
      <c r="W8846" s="45"/>
    </row>
    <row r="8847" spans="23:23">
      <c r="W8847" s="45"/>
    </row>
    <row r="8848" spans="23:23">
      <c r="W8848" s="45"/>
    </row>
    <row r="8849" spans="23:23">
      <c r="W8849" s="45"/>
    </row>
    <row r="8850" spans="23:23">
      <c r="W8850" s="45"/>
    </row>
    <row r="8851" spans="23:23">
      <c r="W8851" s="45"/>
    </row>
    <row r="8852" spans="23:23">
      <c r="W8852" s="45"/>
    </row>
    <row r="8853" spans="23:23">
      <c r="W8853" s="45"/>
    </row>
    <row r="8854" spans="23:23">
      <c r="W8854" s="45"/>
    </row>
    <row r="8855" spans="23:23">
      <c r="W8855" s="45"/>
    </row>
    <row r="8856" spans="23:23">
      <c r="W8856" s="45"/>
    </row>
    <row r="8857" spans="23:23">
      <c r="W8857" s="45"/>
    </row>
    <row r="8858" spans="23:23">
      <c r="W8858" s="45"/>
    </row>
    <row r="8859" spans="23:23">
      <c r="W8859" s="45"/>
    </row>
    <row r="8860" spans="23:23">
      <c r="W8860" s="45"/>
    </row>
    <row r="8861" spans="23:23">
      <c r="W8861" s="45"/>
    </row>
    <row r="8862" spans="23:23">
      <c r="W8862" s="45"/>
    </row>
    <row r="8863" spans="23:23">
      <c r="W8863" s="45"/>
    </row>
    <row r="8864" spans="23:23">
      <c r="W8864" s="45"/>
    </row>
    <row r="8865" spans="23:23">
      <c r="W8865" s="45"/>
    </row>
    <row r="8866" spans="23:23">
      <c r="W8866" s="45"/>
    </row>
    <row r="8867" spans="23:23">
      <c r="W8867" s="45"/>
    </row>
    <row r="8868" spans="23:23">
      <c r="W8868" s="45"/>
    </row>
    <row r="8869" spans="23:23">
      <c r="W8869" s="45"/>
    </row>
    <row r="8870" spans="23:23">
      <c r="W8870" s="45"/>
    </row>
    <row r="8871" spans="23:23">
      <c r="W8871" s="45"/>
    </row>
    <row r="8872" spans="23:23">
      <c r="W8872" s="45"/>
    </row>
    <row r="8873" spans="23:23">
      <c r="W8873" s="45"/>
    </row>
    <row r="8874" spans="23:23">
      <c r="W8874" s="45"/>
    </row>
    <row r="8875" spans="23:23">
      <c r="W8875" s="45"/>
    </row>
    <row r="8876" spans="23:23">
      <c r="W8876" s="45"/>
    </row>
    <row r="8877" spans="23:23">
      <c r="W8877" s="45"/>
    </row>
    <row r="8878" spans="23:23">
      <c r="W8878" s="45"/>
    </row>
    <row r="8879" spans="23:23">
      <c r="W8879" s="45"/>
    </row>
    <row r="8880" spans="23:23">
      <c r="W8880" s="45"/>
    </row>
    <row r="8881" spans="23:23">
      <c r="W8881" s="45"/>
    </row>
    <row r="8882" spans="23:23">
      <c r="W8882" s="45"/>
    </row>
    <row r="8883" spans="23:23">
      <c r="W8883" s="45"/>
    </row>
    <row r="8884" spans="23:23">
      <c r="W8884" s="45"/>
    </row>
    <row r="8885" spans="23:23">
      <c r="W8885" s="45"/>
    </row>
    <row r="8886" spans="23:23">
      <c r="W8886" s="45"/>
    </row>
    <row r="8887" spans="23:23">
      <c r="W8887" s="45"/>
    </row>
    <row r="8888" spans="23:23">
      <c r="W8888" s="45"/>
    </row>
    <row r="8889" spans="23:23">
      <c r="W8889" s="45"/>
    </row>
    <row r="8890" spans="23:23">
      <c r="W8890" s="45"/>
    </row>
    <row r="8891" spans="23:23">
      <c r="W8891" s="45"/>
    </row>
    <row r="8892" spans="23:23">
      <c r="W8892" s="45"/>
    </row>
    <row r="8893" spans="23:23">
      <c r="W8893" s="45"/>
    </row>
    <row r="8894" spans="23:23">
      <c r="W8894" s="45"/>
    </row>
    <row r="8895" spans="23:23">
      <c r="W8895" s="45"/>
    </row>
    <row r="8896" spans="23:23">
      <c r="W8896" s="45"/>
    </row>
    <row r="8897" spans="23:23">
      <c r="W8897" s="45"/>
    </row>
    <row r="8898" spans="23:23">
      <c r="W8898" s="45"/>
    </row>
    <row r="8899" spans="23:23">
      <c r="W8899" s="45"/>
    </row>
    <row r="8900" spans="23:23">
      <c r="W8900" s="45"/>
    </row>
    <row r="8901" spans="23:23">
      <c r="W8901" s="45"/>
    </row>
    <row r="8902" spans="23:23">
      <c r="W8902" s="45"/>
    </row>
    <row r="8903" spans="23:23">
      <c r="W8903" s="45"/>
    </row>
    <row r="8904" spans="23:23">
      <c r="W8904" s="45"/>
    </row>
    <row r="8905" spans="23:23">
      <c r="W8905" s="45"/>
    </row>
    <row r="8906" spans="23:23">
      <c r="W8906" s="45"/>
    </row>
    <row r="8907" spans="23:23">
      <c r="W8907" s="45"/>
    </row>
    <row r="8908" spans="23:23">
      <c r="W8908" s="45"/>
    </row>
    <row r="8909" spans="23:23">
      <c r="W8909" s="45"/>
    </row>
    <row r="8910" spans="23:23">
      <c r="W8910" s="45"/>
    </row>
    <row r="8911" spans="23:23">
      <c r="W8911" s="45"/>
    </row>
    <row r="8912" spans="23:23">
      <c r="W8912" s="45"/>
    </row>
    <row r="8913" spans="23:23">
      <c r="W8913" s="45"/>
    </row>
    <row r="8914" spans="23:23">
      <c r="W8914" s="45"/>
    </row>
    <row r="8915" spans="23:23">
      <c r="W8915" s="45"/>
    </row>
    <row r="8916" spans="23:23">
      <c r="W8916" s="45"/>
    </row>
    <row r="8917" spans="23:23">
      <c r="W8917" s="45"/>
    </row>
    <row r="8918" spans="23:23">
      <c r="W8918" s="45"/>
    </row>
    <row r="8919" spans="23:23">
      <c r="W8919" s="45"/>
    </row>
    <row r="8920" spans="23:23">
      <c r="W8920" s="45"/>
    </row>
    <row r="8921" spans="23:23">
      <c r="W8921" s="45"/>
    </row>
    <row r="8922" spans="23:23">
      <c r="W8922" s="45"/>
    </row>
    <row r="8923" spans="23:23">
      <c r="W8923" s="45"/>
    </row>
    <row r="8924" spans="23:23">
      <c r="W8924" s="45"/>
    </row>
    <row r="8925" spans="23:23">
      <c r="W8925" s="45"/>
    </row>
    <row r="8926" spans="23:23">
      <c r="W8926" s="45"/>
    </row>
    <row r="8927" spans="23:23">
      <c r="W8927" s="45"/>
    </row>
    <row r="8928" spans="23:23">
      <c r="W8928" s="45"/>
    </row>
    <row r="8929" spans="23:23">
      <c r="W8929" s="45"/>
    </row>
    <row r="8930" spans="23:23">
      <c r="W8930" s="45"/>
    </row>
    <row r="8931" spans="23:23">
      <c r="W8931" s="45"/>
    </row>
    <row r="8932" spans="23:23">
      <c r="W8932" s="45"/>
    </row>
    <row r="8933" spans="23:23">
      <c r="W8933" s="45"/>
    </row>
    <row r="8934" spans="23:23">
      <c r="W8934" s="45"/>
    </row>
    <row r="8935" spans="23:23">
      <c r="W8935" s="45"/>
    </row>
    <row r="8936" spans="23:23">
      <c r="W8936" s="45"/>
    </row>
    <row r="8937" spans="23:23">
      <c r="W8937" s="45"/>
    </row>
    <row r="8938" spans="23:23">
      <c r="W8938" s="45"/>
    </row>
    <row r="8939" spans="23:23">
      <c r="W8939" s="45"/>
    </row>
    <row r="8940" spans="23:23">
      <c r="W8940" s="45"/>
    </row>
    <row r="8941" spans="23:23">
      <c r="W8941" s="45"/>
    </row>
    <row r="8942" spans="23:23">
      <c r="W8942" s="45"/>
    </row>
    <row r="8943" spans="23:23">
      <c r="W8943" s="45"/>
    </row>
    <row r="8944" spans="23:23">
      <c r="W8944" s="45"/>
    </row>
    <row r="8945" spans="23:23">
      <c r="W8945" s="45"/>
    </row>
    <row r="8946" spans="23:23">
      <c r="W8946" s="45"/>
    </row>
    <row r="8947" spans="23:23">
      <c r="W8947" s="45"/>
    </row>
    <row r="8948" spans="23:23">
      <c r="W8948" s="45"/>
    </row>
    <row r="8949" spans="23:23">
      <c r="W8949" s="45"/>
    </row>
    <row r="8950" spans="23:23">
      <c r="W8950" s="45"/>
    </row>
    <row r="8951" spans="23:23">
      <c r="W8951" s="45"/>
    </row>
    <row r="8952" spans="23:23">
      <c r="W8952" s="45"/>
    </row>
    <row r="8953" spans="23:23">
      <c r="W8953" s="45"/>
    </row>
    <row r="8954" spans="23:23">
      <c r="W8954" s="45"/>
    </row>
    <row r="8955" spans="23:23">
      <c r="W8955" s="45"/>
    </row>
    <row r="8956" spans="23:23">
      <c r="W8956" s="45"/>
    </row>
    <row r="8957" spans="23:23">
      <c r="W8957" s="45"/>
    </row>
    <row r="8958" spans="23:23">
      <c r="W8958" s="45"/>
    </row>
    <row r="8959" spans="23:23">
      <c r="W8959" s="45"/>
    </row>
    <row r="8960" spans="23:23">
      <c r="W8960" s="45"/>
    </row>
    <row r="8961" spans="23:23">
      <c r="W8961" s="45"/>
    </row>
    <row r="8962" spans="23:23">
      <c r="W8962" s="45"/>
    </row>
    <row r="8963" spans="23:23">
      <c r="W8963" s="45"/>
    </row>
    <row r="8964" spans="23:23">
      <c r="W8964" s="45"/>
    </row>
    <row r="8965" spans="23:23">
      <c r="W8965" s="45"/>
    </row>
    <row r="8966" spans="23:23">
      <c r="W8966" s="45"/>
    </row>
    <row r="8967" spans="23:23">
      <c r="W8967" s="45"/>
    </row>
    <row r="8968" spans="23:23">
      <c r="W8968" s="45"/>
    </row>
    <row r="8969" spans="23:23">
      <c r="W8969" s="45"/>
    </row>
    <row r="8970" spans="23:23">
      <c r="W8970" s="45"/>
    </row>
    <row r="8971" spans="23:23">
      <c r="W8971" s="45"/>
    </row>
    <row r="8972" spans="23:23">
      <c r="W8972" s="45"/>
    </row>
    <row r="8973" spans="23:23">
      <c r="W8973" s="45"/>
    </row>
    <row r="8974" spans="23:23">
      <c r="W8974" s="45"/>
    </row>
    <row r="8975" spans="23:23">
      <c r="W8975" s="45"/>
    </row>
    <row r="8976" spans="23:23">
      <c r="W8976" s="45"/>
    </row>
    <row r="8977" spans="23:23">
      <c r="W8977" s="45"/>
    </row>
    <row r="8978" spans="23:23">
      <c r="W8978" s="45"/>
    </row>
    <row r="8979" spans="23:23">
      <c r="W8979" s="45"/>
    </row>
    <row r="8980" spans="23:23">
      <c r="W8980" s="45"/>
    </row>
    <row r="8981" spans="23:23">
      <c r="W8981" s="45"/>
    </row>
    <row r="8982" spans="23:23">
      <c r="W8982" s="45"/>
    </row>
    <row r="8983" spans="23:23">
      <c r="W8983" s="45"/>
    </row>
    <row r="8984" spans="23:23">
      <c r="W8984" s="45"/>
    </row>
    <row r="8985" spans="23:23">
      <c r="W8985" s="45"/>
    </row>
    <row r="8986" spans="23:23">
      <c r="W8986" s="45"/>
    </row>
    <row r="8987" spans="23:23">
      <c r="W8987" s="45"/>
    </row>
    <row r="8988" spans="23:23">
      <c r="W8988" s="45"/>
    </row>
    <row r="8989" spans="23:23">
      <c r="W8989" s="45"/>
    </row>
    <row r="8990" spans="23:23">
      <c r="W8990" s="45"/>
    </row>
    <row r="8991" spans="23:23">
      <c r="W8991" s="45"/>
    </row>
    <row r="8992" spans="23:23">
      <c r="W8992" s="45"/>
    </row>
    <row r="8993" spans="23:23">
      <c r="W8993" s="45"/>
    </row>
    <row r="8994" spans="23:23">
      <c r="W8994" s="45"/>
    </row>
    <row r="8995" spans="23:23">
      <c r="W8995" s="45"/>
    </row>
    <row r="8996" spans="23:23">
      <c r="W8996" s="45"/>
    </row>
    <row r="8997" spans="23:23">
      <c r="W8997" s="45"/>
    </row>
    <row r="8998" spans="23:23">
      <c r="W8998" s="45"/>
    </row>
    <row r="8999" spans="23:23">
      <c r="W8999" s="45"/>
    </row>
    <row r="9000" spans="23:23">
      <c r="W9000" s="45"/>
    </row>
    <row r="9001" spans="23:23">
      <c r="W9001" s="45"/>
    </row>
    <row r="9002" spans="23:23">
      <c r="W9002" s="45"/>
    </row>
    <row r="9003" spans="23:23">
      <c r="W9003" s="45"/>
    </row>
    <row r="9004" spans="23:23">
      <c r="W9004" s="45"/>
    </row>
    <row r="9005" spans="23:23">
      <c r="W9005" s="45"/>
    </row>
    <row r="9006" spans="23:23">
      <c r="W9006" s="45"/>
    </row>
    <row r="9007" spans="23:23">
      <c r="W9007" s="45"/>
    </row>
    <row r="9008" spans="23:23">
      <c r="W9008" s="45"/>
    </row>
    <row r="9009" spans="23:23">
      <c r="W9009" s="45"/>
    </row>
    <row r="9010" spans="23:23">
      <c r="W9010" s="45"/>
    </row>
    <row r="9011" spans="23:23">
      <c r="W9011" s="45"/>
    </row>
    <row r="9012" spans="23:23">
      <c r="W9012" s="45"/>
    </row>
    <row r="9013" spans="23:23">
      <c r="W9013" s="45"/>
    </row>
    <row r="9014" spans="23:23">
      <c r="W9014" s="45"/>
    </row>
    <row r="9015" spans="23:23">
      <c r="W9015" s="45"/>
    </row>
    <row r="9016" spans="23:23">
      <c r="W9016" s="45"/>
    </row>
    <row r="9017" spans="23:23">
      <c r="W9017" s="45"/>
    </row>
    <row r="9018" spans="23:23">
      <c r="W9018" s="45"/>
    </row>
    <row r="9019" spans="23:23">
      <c r="W9019" s="45"/>
    </row>
    <row r="9020" spans="23:23">
      <c r="W9020" s="45"/>
    </row>
    <row r="9021" spans="23:23">
      <c r="W9021" s="45"/>
    </row>
    <row r="9022" spans="23:23">
      <c r="W9022" s="45"/>
    </row>
    <row r="9023" spans="23:23">
      <c r="W9023" s="45"/>
    </row>
    <row r="9024" spans="23:23">
      <c r="W9024" s="45"/>
    </row>
    <row r="9025" spans="23:23">
      <c r="W9025" s="45"/>
    </row>
    <row r="9026" spans="23:23">
      <c r="W9026" s="45"/>
    </row>
    <row r="9027" spans="23:23">
      <c r="W9027" s="45"/>
    </row>
    <row r="9028" spans="23:23">
      <c r="W9028" s="45"/>
    </row>
    <row r="9029" spans="23:23">
      <c r="W9029" s="45"/>
    </row>
    <row r="9030" spans="23:23">
      <c r="W9030" s="45"/>
    </row>
    <row r="9031" spans="23:23">
      <c r="W9031" s="45"/>
    </row>
    <row r="9032" spans="23:23">
      <c r="W9032" s="45"/>
    </row>
    <row r="9033" spans="23:23">
      <c r="W9033" s="45"/>
    </row>
    <row r="9034" spans="23:23">
      <c r="W9034" s="45"/>
    </row>
    <row r="9035" spans="23:23">
      <c r="W9035" s="45"/>
    </row>
    <row r="9036" spans="23:23">
      <c r="W9036" s="45"/>
    </row>
    <row r="9037" spans="23:23">
      <c r="W9037" s="45"/>
    </row>
    <row r="9038" spans="23:23">
      <c r="W9038" s="45"/>
    </row>
    <row r="9039" spans="23:23">
      <c r="W9039" s="45"/>
    </row>
    <row r="9040" spans="23:23">
      <c r="W9040" s="45"/>
    </row>
    <row r="9041" spans="23:23">
      <c r="W9041" s="45"/>
    </row>
    <row r="9042" spans="23:23">
      <c r="W9042" s="45"/>
    </row>
    <row r="9043" spans="23:23">
      <c r="W9043" s="45"/>
    </row>
    <row r="9044" spans="23:23">
      <c r="W9044" s="45"/>
    </row>
    <row r="9045" spans="23:23">
      <c r="W9045" s="45"/>
    </row>
    <row r="9046" spans="23:23">
      <c r="W9046" s="45"/>
    </row>
    <row r="9047" spans="23:23">
      <c r="W9047" s="45"/>
    </row>
    <row r="9048" spans="23:23">
      <c r="W9048" s="45"/>
    </row>
    <row r="9049" spans="23:23">
      <c r="W9049" s="45"/>
    </row>
    <row r="9050" spans="23:23">
      <c r="W9050" s="45"/>
    </row>
    <row r="9051" spans="23:23">
      <c r="W9051" s="45"/>
    </row>
    <row r="9052" spans="23:23">
      <c r="W9052" s="45"/>
    </row>
    <row r="9053" spans="23:23">
      <c r="W9053" s="45"/>
    </row>
    <row r="9054" spans="23:23">
      <c r="W9054" s="45"/>
    </row>
    <row r="9055" spans="23:23">
      <c r="W9055" s="45"/>
    </row>
    <row r="9056" spans="23:23">
      <c r="W9056" s="45"/>
    </row>
    <row r="9057" spans="23:23">
      <c r="W9057" s="45"/>
    </row>
    <row r="9058" spans="23:23">
      <c r="W9058" s="45"/>
    </row>
    <row r="9059" spans="23:23">
      <c r="W9059" s="45"/>
    </row>
    <row r="9060" spans="23:23">
      <c r="W9060" s="45"/>
    </row>
    <row r="9061" spans="23:23">
      <c r="W9061" s="45"/>
    </row>
    <row r="9062" spans="23:23">
      <c r="W9062" s="45"/>
    </row>
    <row r="9063" spans="23:23">
      <c r="W9063" s="45"/>
    </row>
    <row r="9064" spans="23:23">
      <c r="W9064" s="45"/>
    </row>
    <row r="9065" spans="23:23">
      <c r="W9065" s="45"/>
    </row>
    <row r="9066" spans="23:23">
      <c r="W9066" s="45"/>
    </row>
    <row r="9067" spans="23:23">
      <c r="W9067" s="45"/>
    </row>
    <row r="9068" spans="23:23">
      <c r="W9068" s="45"/>
    </row>
    <row r="9069" spans="23:23">
      <c r="W9069" s="45"/>
    </row>
    <row r="9070" spans="23:23">
      <c r="W9070" s="45"/>
    </row>
    <row r="9071" spans="23:23">
      <c r="W9071" s="45"/>
    </row>
    <row r="9072" spans="23:23">
      <c r="W9072" s="45"/>
    </row>
    <row r="9073" spans="23:23">
      <c r="W9073" s="45"/>
    </row>
    <row r="9074" spans="23:23">
      <c r="W9074" s="45"/>
    </row>
    <row r="9075" spans="23:23">
      <c r="W9075" s="45"/>
    </row>
    <row r="9076" spans="23:23">
      <c r="W9076" s="45"/>
    </row>
    <row r="9077" spans="23:23">
      <c r="W9077" s="45"/>
    </row>
    <row r="9078" spans="23:23">
      <c r="W9078" s="45"/>
    </row>
    <row r="9079" spans="23:23">
      <c r="W9079" s="45"/>
    </row>
    <row r="9080" spans="23:23">
      <c r="W9080" s="45"/>
    </row>
    <row r="9081" spans="23:23">
      <c r="W9081" s="45"/>
    </row>
    <row r="9082" spans="23:23">
      <c r="W9082" s="45"/>
    </row>
    <row r="9083" spans="23:23">
      <c r="W9083" s="45"/>
    </row>
    <row r="9084" spans="23:23">
      <c r="W9084" s="45"/>
    </row>
    <row r="9085" spans="23:23">
      <c r="W9085" s="45"/>
    </row>
    <row r="9086" spans="23:23">
      <c r="W9086" s="45"/>
    </row>
    <row r="9087" spans="23:23">
      <c r="W9087" s="45"/>
    </row>
    <row r="9088" spans="23:23">
      <c r="W9088" s="45"/>
    </row>
    <row r="9089" spans="23:23">
      <c r="W9089" s="45"/>
    </row>
    <row r="9090" spans="23:23">
      <c r="W9090" s="45"/>
    </row>
    <row r="9091" spans="23:23">
      <c r="W9091" s="45"/>
    </row>
    <row r="9092" spans="23:23">
      <c r="W9092" s="45"/>
    </row>
    <row r="9093" spans="23:23">
      <c r="W9093" s="45"/>
    </row>
    <row r="9094" spans="23:23">
      <c r="W9094" s="45"/>
    </row>
    <row r="9095" spans="23:23">
      <c r="W9095" s="45"/>
    </row>
    <row r="9096" spans="23:23">
      <c r="W9096" s="45"/>
    </row>
    <row r="9097" spans="23:23">
      <c r="W9097" s="45"/>
    </row>
    <row r="9098" spans="23:23">
      <c r="W9098" s="45"/>
    </row>
    <row r="9099" spans="23:23">
      <c r="W9099" s="45"/>
    </row>
    <row r="9100" spans="23:23">
      <c r="W9100" s="45"/>
    </row>
    <row r="9101" spans="23:23">
      <c r="W9101" s="45"/>
    </row>
    <row r="9102" spans="23:23">
      <c r="W9102" s="45"/>
    </row>
    <row r="9103" spans="23:23">
      <c r="W9103" s="45"/>
    </row>
    <row r="9104" spans="23:23">
      <c r="W9104" s="45"/>
    </row>
    <row r="9105" spans="23:23">
      <c r="W9105" s="45"/>
    </row>
    <row r="9106" spans="23:23">
      <c r="W9106" s="45"/>
    </row>
    <row r="9107" spans="23:23">
      <c r="W9107" s="45"/>
    </row>
    <row r="9108" spans="23:23">
      <c r="W9108" s="45"/>
    </row>
    <row r="9109" spans="23:23">
      <c r="W9109" s="45"/>
    </row>
    <row r="9110" spans="23:23">
      <c r="W9110" s="45"/>
    </row>
    <row r="9111" spans="23:23">
      <c r="W9111" s="45"/>
    </row>
    <row r="9112" spans="23:23">
      <c r="W9112" s="45"/>
    </row>
    <row r="9113" spans="23:23">
      <c r="W9113" s="45"/>
    </row>
    <row r="9114" spans="23:23">
      <c r="W9114" s="45"/>
    </row>
    <row r="9115" spans="23:23">
      <c r="W9115" s="45"/>
    </row>
    <row r="9116" spans="23:23">
      <c r="W9116" s="45"/>
    </row>
    <row r="9117" spans="23:23">
      <c r="W9117" s="45"/>
    </row>
    <row r="9118" spans="23:23">
      <c r="W9118" s="45"/>
    </row>
    <row r="9119" spans="23:23">
      <c r="W9119" s="45"/>
    </row>
    <row r="9120" spans="23:23">
      <c r="W9120" s="45"/>
    </row>
    <row r="9121" spans="23:23">
      <c r="W9121" s="45"/>
    </row>
    <row r="9122" spans="23:23">
      <c r="W9122" s="45"/>
    </row>
    <row r="9123" spans="23:23">
      <c r="W9123" s="45"/>
    </row>
    <row r="9124" spans="23:23">
      <c r="W9124" s="45"/>
    </row>
    <row r="9125" spans="23:23">
      <c r="W9125" s="45"/>
    </row>
    <row r="9126" spans="23:23">
      <c r="W9126" s="45"/>
    </row>
    <row r="9127" spans="23:23">
      <c r="W9127" s="45"/>
    </row>
    <row r="9128" spans="23:23">
      <c r="W9128" s="45"/>
    </row>
    <row r="9129" spans="23:23">
      <c r="W9129" s="45"/>
    </row>
    <row r="9130" spans="23:23">
      <c r="W9130" s="45"/>
    </row>
    <row r="9131" spans="23:23">
      <c r="W9131" s="45"/>
    </row>
    <row r="9132" spans="23:23">
      <c r="W9132" s="45"/>
    </row>
    <row r="9133" spans="23:23">
      <c r="W9133" s="45"/>
    </row>
    <row r="9134" spans="23:23">
      <c r="W9134" s="45"/>
    </row>
    <row r="9135" spans="23:23">
      <c r="W9135" s="45"/>
    </row>
    <row r="9136" spans="23:23">
      <c r="W9136" s="45"/>
    </row>
    <row r="9137" spans="23:23">
      <c r="W9137" s="45"/>
    </row>
    <row r="9138" spans="23:23">
      <c r="W9138" s="45"/>
    </row>
    <row r="9139" spans="23:23">
      <c r="W9139" s="45"/>
    </row>
    <row r="9140" spans="23:23">
      <c r="W9140" s="45"/>
    </row>
    <row r="9141" spans="23:23">
      <c r="W9141" s="45"/>
    </row>
    <row r="9142" spans="23:23">
      <c r="W9142" s="45"/>
    </row>
    <row r="9143" spans="23:23">
      <c r="W9143" s="45"/>
    </row>
    <row r="9144" spans="23:23">
      <c r="W9144" s="45"/>
    </row>
    <row r="9145" spans="23:23">
      <c r="W9145" s="45"/>
    </row>
    <row r="9146" spans="23:23">
      <c r="W9146" s="45"/>
    </row>
    <row r="9147" spans="23:23">
      <c r="W9147" s="45"/>
    </row>
    <row r="9148" spans="23:23">
      <c r="W9148" s="45"/>
    </row>
    <row r="9149" spans="23:23">
      <c r="W9149" s="45"/>
    </row>
    <row r="9150" spans="23:23">
      <c r="W9150" s="45"/>
    </row>
    <row r="9151" spans="23:23">
      <c r="W9151" s="45"/>
    </row>
    <row r="9152" spans="23:23">
      <c r="W9152" s="45"/>
    </row>
    <row r="9153" spans="23:23">
      <c r="W9153" s="45"/>
    </row>
    <row r="9154" spans="23:23">
      <c r="W9154" s="45"/>
    </row>
    <row r="9155" spans="23:23">
      <c r="W9155" s="45"/>
    </row>
    <row r="9156" spans="23:23">
      <c r="W9156" s="45"/>
    </row>
    <row r="9157" spans="23:23">
      <c r="W9157" s="45"/>
    </row>
    <row r="9158" spans="23:23">
      <c r="W9158" s="45"/>
    </row>
    <row r="9159" spans="23:23">
      <c r="W9159" s="45"/>
    </row>
    <row r="9160" spans="23:23">
      <c r="W9160" s="45"/>
    </row>
    <row r="9161" spans="23:23">
      <c r="W9161" s="45"/>
    </row>
    <row r="9162" spans="23:23">
      <c r="W9162" s="45"/>
    </row>
    <row r="9163" spans="23:23">
      <c r="W9163" s="45"/>
    </row>
    <row r="9164" spans="23:23">
      <c r="W9164" s="45"/>
    </row>
    <row r="9165" spans="23:23">
      <c r="W9165" s="45"/>
    </row>
    <row r="9166" spans="23:23">
      <c r="W9166" s="45"/>
    </row>
    <row r="9167" spans="23:23">
      <c r="W9167" s="45"/>
    </row>
    <row r="9168" spans="23:23">
      <c r="W9168" s="45"/>
    </row>
    <row r="9169" spans="23:23">
      <c r="W9169" s="45"/>
    </row>
    <row r="9170" spans="23:23">
      <c r="W9170" s="45"/>
    </row>
    <row r="9171" spans="23:23">
      <c r="W9171" s="45"/>
    </row>
    <row r="9172" spans="23:23">
      <c r="W9172" s="45"/>
    </row>
    <row r="9173" spans="23:23">
      <c r="W9173" s="45"/>
    </row>
    <row r="9174" spans="23:23">
      <c r="W9174" s="45"/>
    </row>
    <row r="9175" spans="23:23">
      <c r="W9175" s="45"/>
    </row>
    <row r="9176" spans="23:23">
      <c r="W9176" s="45"/>
    </row>
    <row r="9177" spans="23:23">
      <c r="W9177" s="45"/>
    </row>
    <row r="9178" spans="23:23">
      <c r="W9178" s="45"/>
    </row>
    <row r="9179" spans="23:23">
      <c r="W9179" s="45"/>
    </row>
    <row r="9180" spans="23:23">
      <c r="W9180" s="45"/>
    </row>
    <row r="9181" spans="23:23">
      <c r="W9181" s="45"/>
    </row>
    <row r="9182" spans="23:23">
      <c r="W9182" s="45"/>
    </row>
    <row r="9183" spans="23:23">
      <c r="W9183" s="45"/>
    </row>
    <row r="9184" spans="23:23">
      <c r="W9184" s="45"/>
    </row>
    <row r="9185" spans="23:23">
      <c r="W9185" s="45"/>
    </row>
    <row r="9186" spans="23:23">
      <c r="W9186" s="45"/>
    </row>
    <row r="9187" spans="23:23">
      <c r="W9187" s="45"/>
    </row>
    <row r="9188" spans="23:23">
      <c r="W9188" s="45"/>
    </row>
    <row r="9189" spans="23:23">
      <c r="W9189" s="45"/>
    </row>
    <row r="9190" spans="23:23">
      <c r="W9190" s="45"/>
    </row>
    <row r="9191" spans="23:23">
      <c r="W9191" s="45"/>
    </row>
    <row r="9192" spans="23:23">
      <c r="W9192" s="45"/>
    </row>
    <row r="9193" spans="23:23">
      <c r="W9193" s="45"/>
    </row>
    <row r="9194" spans="23:23">
      <c r="W9194" s="45"/>
    </row>
    <row r="9195" spans="23:23">
      <c r="W9195" s="45"/>
    </row>
    <row r="9196" spans="23:23">
      <c r="W9196" s="45"/>
    </row>
    <row r="9197" spans="23:23">
      <c r="W9197" s="45"/>
    </row>
    <row r="9198" spans="23:23">
      <c r="W9198" s="45"/>
    </row>
    <row r="9199" spans="23:23">
      <c r="W9199" s="45"/>
    </row>
    <row r="9200" spans="23:23">
      <c r="W9200" s="45"/>
    </row>
    <row r="9201" spans="23:23">
      <c r="W9201" s="45"/>
    </row>
    <row r="9202" spans="23:23">
      <c r="W9202" s="45"/>
    </row>
    <row r="9203" spans="23:23">
      <c r="W9203" s="45"/>
    </row>
    <row r="9204" spans="23:23">
      <c r="W9204" s="45"/>
    </row>
    <row r="9205" spans="23:23">
      <c r="W9205" s="45"/>
    </row>
    <row r="9206" spans="23:23">
      <c r="W9206" s="45"/>
    </row>
    <row r="9207" spans="23:23">
      <c r="W9207" s="45"/>
    </row>
    <row r="9208" spans="23:23">
      <c r="W9208" s="45"/>
    </row>
    <row r="9209" spans="23:23">
      <c r="W9209" s="45"/>
    </row>
    <row r="9210" spans="23:23">
      <c r="W9210" s="45"/>
    </row>
    <row r="9211" spans="23:23">
      <c r="W9211" s="45"/>
    </row>
    <row r="9212" spans="23:23">
      <c r="W9212" s="45"/>
    </row>
    <row r="9213" spans="23:23">
      <c r="W9213" s="45"/>
    </row>
    <row r="9214" spans="23:23">
      <c r="W9214" s="45"/>
    </row>
    <row r="9215" spans="23:23">
      <c r="W9215" s="45"/>
    </row>
    <row r="9216" spans="23:23">
      <c r="W9216" s="45"/>
    </row>
    <row r="9217" spans="23:23">
      <c r="W9217" s="45"/>
    </row>
    <row r="9218" spans="23:23">
      <c r="W9218" s="45"/>
    </row>
    <row r="9219" spans="23:23">
      <c r="W9219" s="45"/>
    </row>
    <row r="9220" spans="23:23">
      <c r="W9220" s="45"/>
    </row>
    <row r="9221" spans="23:23">
      <c r="W9221" s="45"/>
    </row>
    <row r="9222" spans="23:23">
      <c r="W9222" s="45"/>
    </row>
    <row r="9223" spans="23:23">
      <c r="W9223" s="45"/>
    </row>
    <row r="9224" spans="23:23">
      <c r="W9224" s="45"/>
    </row>
    <row r="9225" spans="23:23">
      <c r="W9225" s="45"/>
    </row>
    <row r="9226" spans="23:23">
      <c r="W9226" s="45"/>
    </row>
    <row r="9227" spans="23:23">
      <c r="W9227" s="45"/>
    </row>
    <row r="9228" spans="23:23">
      <c r="W9228" s="45"/>
    </row>
    <row r="9229" spans="23:23">
      <c r="W9229" s="45"/>
    </row>
    <row r="9230" spans="23:23">
      <c r="W9230" s="45"/>
    </row>
    <row r="9231" spans="23:23">
      <c r="W9231" s="45"/>
    </row>
    <row r="9232" spans="23:23">
      <c r="W9232" s="45"/>
    </row>
    <row r="9233" spans="23:23">
      <c r="W9233" s="45"/>
    </row>
    <row r="9234" spans="23:23">
      <c r="W9234" s="45"/>
    </row>
    <row r="9235" spans="23:23">
      <c r="W9235" s="45"/>
    </row>
    <row r="9236" spans="23:23">
      <c r="W9236" s="45"/>
    </row>
    <row r="9237" spans="23:23">
      <c r="W9237" s="45"/>
    </row>
    <row r="9238" spans="23:23">
      <c r="W9238" s="45"/>
    </row>
    <row r="9239" spans="23:23">
      <c r="W9239" s="45"/>
    </row>
    <row r="9240" spans="23:23">
      <c r="W9240" s="45"/>
    </row>
    <row r="9241" spans="23:23">
      <c r="W9241" s="45"/>
    </row>
    <row r="9242" spans="23:23">
      <c r="W9242" s="45"/>
    </row>
    <row r="9243" spans="23:23">
      <c r="W9243" s="45"/>
    </row>
    <row r="9244" spans="23:23">
      <c r="W9244" s="45"/>
    </row>
    <row r="9245" spans="23:23">
      <c r="W9245" s="45"/>
    </row>
    <row r="9246" spans="23:23">
      <c r="W9246" s="45"/>
    </row>
    <row r="9247" spans="23:23">
      <c r="W9247" s="45"/>
    </row>
    <row r="9248" spans="23:23">
      <c r="W9248" s="45"/>
    </row>
    <row r="9249" spans="23:23">
      <c r="W9249" s="45"/>
    </row>
    <row r="9250" spans="23:23">
      <c r="W9250" s="45"/>
    </row>
    <row r="9251" spans="23:23">
      <c r="W9251" s="45"/>
    </row>
    <row r="9252" spans="23:23">
      <c r="W9252" s="45"/>
    </row>
    <row r="9253" spans="23:23">
      <c r="W9253" s="45"/>
    </row>
    <row r="9254" spans="23:23">
      <c r="W9254" s="45"/>
    </row>
    <row r="9255" spans="23:23">
      <c r="W9255" s="45"/>
    </row>
    <row r="9256" spans="23:23">
      <c r="W9256" s="45"/>
    </row>
    <row r="9257" spans="23:23">
      <c r="W9257" s="45"/>
    </row>
    <row r="9258" spans="23:23">
      <c r="W9258" s="45"/>
    </row>
    <row r="9259" spans="23:23">
      <c r="W9259" s="45"/>
    </row>
    <row r="9260" spans="23:23">
      <c r="W9260" s="45"/>
    </row>
    <row r="9261" spans="23:23">
      <c r="W9261" s="45"/>
    </row>
    <row r="9262" spans="23:23">
      <c r="W9262" s="45"/>
    </row>
    <row r="9263" spans="23:23">
      <c r="W9263" s="45"/>
    </row>
    <row r="9264" spans="23:23">
      <c r="W9264" s="45"/>
    </row>
    <row r="9265" spans="23:23">
      <c r="W9265" s="45"/>
    </row>
    <row r="9266" spans="23:23">
      <c r="W9266" s="45"/>
    </row>
    <row r="9267" spans="23:23">
      <c r="W9267" s="45"/>
    </row>
    <row r="9268" spans="23:23">
      <c r="W9268" s="45"/>
    </row>
    <row r="9269" spans="23:23">
      <c r="W9269" s="45"/>
    </row>
    <row r="9270" spans="23:23">
      <c r="W9270" s="45"/>
    </row>
    <row r="9271" spans="23:23">
      <c r="W9271" s="45"/>
    </row>
    <row r="9272" spans="23:23">
      <c r="W9272" s="45"/>
    </row>
    <row r="9273" spans="23:23">
      <c r="W9273" s="45"/>
    </row>
    <row r="9274" spans="23:23">
      <c r="W9274" s="45"/>
    </row>
    <row r="9275" spans="23:23">
      <c r="W9275" s="45"/>
    </row>
    <row r="9276" spans="23:23">
      <c r="W9276" s="45"/>
    </row>
    <row r="9277" spans="23:23">
      <c r="W9277" s="45"/>
    </row>
    <row r="9278" spans="23:23">
      <c r="W9278" s="45"/>
    </row>
    <row r="9279" spans="23:23">
      <c r="W9279" s="45"/>
    </row>
    <row r="9280" spans="23:23">
      <c r="W9280" s="45"/>
    </row>
    <row r="9281" spans="23:23">
      <c r="W9281" s="45"/>
    </row>
    <row r="9282" spans="23:23">
      <c r="W9282" s="45"/>
    </row>
    <row r="9283" spans="23:23">
      <c r="W9283" s="45"/>
    </row>
    <row r="9284" spans="23:23">
      <c r="W9284" s="45"/>
    </row>
    <row r="9285" spans="23:23">
      <c r="W9285" s="45"/>
    </row>
    <row r="9286" spans="23:23">
      <c r="W9286" s="45"/>
    </row>
    <row r="9287" spans="23:23">
      <c r="W9287" s="45"/>
    </row>
    <row r="9288" spans="23:23">
      <c r="W9288" s="45"/>
    </row>
    <row r="9289" spans="23:23">
      <c r="W9289" s="45"/>
    </row>
    <row r="9290" spans="23:23">
      <c r="W9290" s="45"/>
    </row>
    <row r="9291" spans="23:23">
      <c r="W9291" s="45"/>
    </row>
    <row r="9292" spans="23:23">
      <c r="W9292" s="45"/>
    </row>
    <row r="9293" spans="23:23">
      <c r="W9293" s="45"/>
    </row>
    <row r="9294" spans="23:23">
      <c r="W9294" s="45"/>
    </row>
    <row r="9295" spans="23:23">
      <c r="W9295" s="45"/>
    </row>
    <row r="9296" spans="23:23">
      <c r="W9296" s="45"/>
    </row>
    <row r="9297" spans="23:23">
      <c r="W9297" s="45"/>
    </row>
    <row r="9298" spans="23:23">
      <c r="W9298" s="45"/>
    </row>
    <row r="9299" spans="23:23">
      <c r="W9299" s="45"/>
    </row>
    <row r="9300" spans="23:23">
      <c r="W9300" s="45"/>
    </row>
    <row r="9301" spans="23:23">
      <c r="W9301" s="45"/>
    </row>
    <row r="9302" spans="23:23">
      <c r="W9302" s="45"/>
    </row>
    <row r="9303" spans="23:23">
      <c r="W9303" s="45"/>
    </row>
    <row r="9304" spans="23:23">
      <c r="W9304" s="45"/>
    </row>
    <row r="9305" spans="23:23">
      <c r="W9305" s="45"/>
    </row>
    <row r="9306" spans="23:23">
      <c r="W9306" s="45"/>
    </row>
    <row r="9307" spans="23:23">
      <c r="W9307" s="45"/>
    </row>
    <row r="9308" spans="23:23">
      <c r="W9308" s="45"/>
    </row>
    <row r="9309" spans="23:23">
      <c r="W9309" s="45"/>
    </row>
    <row r="9310" spans="23:23">
      <c r="W9310" s="45"/>
    </row>
    <row r="9311" spans="23:23">
      <c r="W9311" s="45"/>
    </row>
    <row r="9312" spans="23:23">
      <c r="W9312" s="45"/>
    </row>
    <row r="9313" spans="23:23">
      <c r="W9313" s="45"/>
    </row>
    <row r="9314" spans="23:23">
      <c r="W9314" s="45"/>
    </row>
    <row r="9315" spans="23:23">
      <c r="W9315" s="45"/>
    </row>
    <row r="9316" spans="23:23">
      <c r="W9316" s="45"/>
    </row>
    <row r="9317" spans="23:23">
      <c r="W9317" s="45"/>
    </row>
    <row r="9318" spans="23:23">
      <c r="W9318" s="45"/>
    </row>
    <row r="9319" spans="23:23">
      <c r="W9319" s="45"/>
    </row>
    <row r="9320" spans="23:23">
      <c r="W9320" s="45"/>
    </row>
    <row r="9321" spans="23:23">
      <c r="W9321" s="45"/>
    </row>
    <row r="9322" spans="23:23">
      <c r="W9322" s="45"/>
    </row>
    <row r="9323" spans="23:23">
      <c r="W9323" s="45"/>
    </row>
    <row r="9324" spans="23:23">
      <c r="W9324" s="45"/>
    </row>
    <row r="9325" spans="23:23">
      <c r="W9325" s="45"/>
    </row>
    <row r="9326" spans="23:23">
      <c r="W9326" s="45"/>
    </row>
    <row r="9327" spans="23:23">
      <c r="W9327" s="45"/>
    </row>
    <row r="9328" spans="23:23">
      <c r="W9328" s="45"/>
    </row>
    <row r="9329" spans="23:23">
      <c r="W9329" s="45"/>
    </row>
    <row r="9330" spans="23:23">
      <c r="W9330" s="45"/>
    </row>
    <row r="9331" spans="23:23">
      <c r="W9331" s="45"/>
    </row>
    <row r="9332" spans="23:23">
      <c r="W9332" s="45"/>
    </row>
    <row r="9333" spans="23:23">
      <c r="W9333" s="45"/>
    </row>
    <row r="9334" spans="23:23">
      <c r="W9334" s="45"/>
    </row>
    <row r="9335" spans="23:23">
      <c r="W9335" s="45"/>
    </row>
    <row r="9336" spans="23:23">
      <c r="W9336" s="45"/>
    </row>
    <row r="9337" spans="23:23">
      <c r="W9337" s="45"/>
    </row>
    <row r="9338" spans="23:23">
      <c r="W9338" s="45"/>
    </row>
    <row r="9339" spans="23:23">
      <c r="W9339" s="45"/>
    </row>
    <row r="9340" spans="23:23">
      <c r="W9340" s="45"/>
    </row>
    <row r="9341" spans="23:23">
      <c r="W9341" s="45"/>
    </row>
    <row r="9342" spans="23:23">
      <c r="W9342" s="45"/>
    </row>
    <row r="9343" spans="23:23">
      <c r="W9343" s="45"/>
    </row>
    <row r="9344" spans="23:23">
      <c r="W9344" s="45"/>
    </row>
    <row r="9345" spans="23:23">
      <c r="W9345" s="45"/>
    </row>
    <row r="9346" spans="23:23">
      <c r="W9346" s="45"/>
    </row>
    <row r="9347" spans="23:23">
      <c r="W9347" s="45"/>
    </row>
    <row r="9348" spans="23:23">
      <c r="W9348" s="45"/>
    </row>
    <row r="9349" spans="23:23">
      <c r="W9349" s="45"/>
    </row>
    <row r="9350" spans="23:23">
      <c r="W9350" s="45"/>
    </row>
    <row r="9351" spans="23:23">
      <c r="W9351" s="45"/>
    </row>
    <row r="9352" spans="23:23">
      <c r="W9352" s="45"/>
    </row>
    <row r="9353" spans="23:23">
      <c r="W9353" s="45"/>
    </row>
    <row r="9354" spans="23:23">
      <c r="W9354" s="45"/>
    </row>
    <row r="9355" spans="23:23">
      <c r="W9355" s="45"/>
    </row>
    <row r="9356" spans="23:23">
      <c r="W9356" s="45"/>
    </row>
    <row r="9357" spans="23:23">
      <c r="W9357" s="45"/>
    </row>
    <row r="9358" spans="23:23">
      <c r="W9358" s="45"/>
    </row>
    <row r="9359" spans="23:23">
      <c r="W9359" s="45"/>
    </row>
    <row r="9360" spans="23:23">
      <c r="W9360" s="45"/>
    </row>
    <row r="9361" spans="23:23">
      <c r="W9361" s="45"/>
    </row>
    <row r="9362" spans="23:23">
      <c r="W9362" s="45"/>
    </row>
    <row r="9363" spans="23:23">
      <c r="W9363" s="45"/>
    </row>
    <row r="9364" spans="23:23">
      <c r="W9364" s="45"/>
    </row>
    <row r="9365" spans="23:23">
      <c r="W9365" s="45"/>
    </row>
    <row r="9366" spans="23:23">
      <c r="W9366" s="45"/>
    </row>
    <row r="9367" spans="23:23">
      <c r="W9367" s="45"/>
    </row>
    <row r="9368" spans="23:23">
      <c r="W9368" s="45"/>
    </row>
    <row r="9369" spans="23:23">
      <c r="W9369" s="45"/>
    </row>
    <row r="9370" spans="23:23">
      <c r="W9370" s="45"/>
    </row>
    <row r="9371" spans="23:23">
      <c r="W9371" s="45"/>
    </row>
    <row r="9372" spans="23:23">
      <c r="W9372" s="45"/>
    </row>
    <row r="9373" spans="23:23">
      <c r="W9373" s="45"/>
    </row>
    <row r="9374" spans="23:23">
      <c r="W9374" s="45"/>
    </row>
    <row r="9375" spans="23:23">
      <c r="W9375" s="45"/>
    </row>
    <row r="9376" spans="23:23">
      <c r="W9376" s="45"/>
    </row>
    <row r="9377" spans="23:23">
      <c r="W9377" s="45"/>
    </row>
    <row r="9378" spans="23:23">
      <c r="W9378" s="45"/>
    </row>
    <row r="9379" spans="23:23">
      <c r="W9379" s="45"/>
    </row>
    <row r="9380" spans="23:23">
      <c r="W9380" s="45"/>
    </row>
    <row r="9381" spans="23:23">
      <c r="W9381" s="45"/>
    </row>
    <row r="9382" spans="23:23">
      <c r="W9382" s="45"/>
    </row>
    <row r="9383" spans="23:23">
      <c r="W9383" s="45"/>
    </row>
    <row r="9384" spans="23:23">
      <c r="W9384" s="45"/>
    </row>
    <row r="9385" spans="23:23">
      <c r="W9385" s="45"/>
    </row>
    <row r="9386" spans="23:23">
      <c r="W9386" s="45"/>
    </row>
    <row r="9387" spans="23:23">
      <c r="W9387" s="45"/>
    </row>
    <row r="9388" spans="23:23">
      <c r="W9388" s="45"/>
    </row>
    <row r="9389" spans="23:23">
      <c r="W9389" s="45"/>
    </row>
    <row r="9390" spans="23:23">
      <c r="W9390" s="45"/>
    </row>
    <row r="9391" spans="23:23">
      <c r="W9391" s="45"/>
    </row>
    <row r="9392" spans="23:23">
      <c r="W9392" s="45"/>
    </row>
    <row r="9393" spans="23:23">
      <c r="W9393" s="45"/>
    </row>
    <row r="9394" spans="23:23">
      <c r="W9394" s="45"/>
    </row>
    <row r="9395" spans="23:23">
      <c r="W9395" s="45"/>
    </row>
    <row r="9396" spans="23:23">
      <c r="W9396" s="45"/>
    </row>
    <row r="9397" spans="23:23">
      <c r="W9397" s="45"/>
    </row>
    <row r="9398" spans="23:23">
      <c r="W9398" s="45"/>
    </row>
    <row r="9399" spans="23:23">
      <c r="W9399" s="45"/>
    </row>
    <row r="9400" spans="23:23">
      <c r="W9400" s="45"/>
    </row>
    <row r="9401" spans="23:23">
      <c r="W9401" s="45"/>
    </row>
    <row r="9402" spans="23:23">
      <c r="W9402" s="45"/>
    </row>
    <row r="9403" spans="23:23">
      <c r="W9403" s="45"/>
    </row>
    <row r="9404" spans="23:23">
      <c r="W9404" s="45"/>
    </row>
    <row r="9405" spans="23:23">
      <c r="W9405" s="45"/>
    </row>
    <row r="9406" spans="23:23">
      <c r="W9406" s="45"/>
    </row>
    <row r="9407" spans="23:23">
      <c r="W9407" s="45"/>
    </row>
    <row r="9408" spans="23:23">
      <c r="W9408" s="45"/>
    </row>
    <row r="9409" spans="23:23">
      <c r="W9409" s="45"/>
    </row>
    <row r="9410" spans="23:23">
      <c r="W9410" s="45"/>
    </row>
    <row r="9411" spans="23:23">
      <c r="W9411" s="45"/>
    </row>
    <row r="9412" spans="23:23">
      <c r="W9412" s="45"/>
    </row>
    <row r="9413" spans="23:23">
      <c r="W9413" s="45"/>
    </row>
    <row r="9414" spans="23:23">
      <c r="W9414" s="45"/>
    </row>
    <row r="9415" spans="23:23">
      <c r="W9415" s="45"/>
    </row>
    <row r="9416" spans="23:23">
      <c r="W9416" s="45"/>
    </row>
    <row r="9417" spans="23:23">
      <c r="W9417" s="45"/>
    </row>
    <row r="9418" spans="23:23">
      <c r="W9418" s="45"/>
    </row>
    <row r="9419" spans="23:23">
      <c r="W9419" s="45"/>
    </row>
    <row r="9420" spans="23:23">
      <c r="W9420" s="45"/>
    </row>
    <row r="9421" spans="23:23">
      <c r="W9421" s="45"/>
    </row>
    <row r="9422" spans="23:23">
      <c r="W9422" s="45"/>
    </row>
    <row r="9423" spans="23:23">
      <c r="W9423" s="45"/>
    </row>
    <row r="9424" spans="23:23">
      <c r="W9424" s="45"/>
    </row>
    <row r="9425" spans="23:23">
      <c r="W9425" s="45"/>
    </row>
    <row r="9426" spans="23:23">
      <c r="W9426" s="45"/>
    </row>
    <row r="9427" spans="23:23">
      <c r="W9427" s="45"/>
    </row>
    <row r="9428" spans="23:23">
      <c r="W9428" s="45"/>
    </row>
    <row r="9429" spans="23:23">
      <c r="W9429" s="45"/>
    </row>
    <row r="9430" spans="23:23">
      <c r="W9430" s="45"/>
    </row>
    <row r="9431" spans="23:23">
      <c r="W9431" s="45"/>
    </row>
    <row r="9432" spans="23:23">
      <c r="W9432" s="45"/>
    </row>
    <row r="9433" spans="23:23">
      <c r="W9433" s="45"/>
    </row>
    <row r="9434" spans="23:23">
      <c r="W9434" s="45"/>
    </row>
    <row r="9435" spans="23:23">
      <c r="W9435" s="45"/>
    </row>
    <row r="9436" spans="23:23">
      <c r="W9436" s="45"/>
    </row>
    <row r="9437" spans="23:23">
      <c r="W9437" s="45"/>
    </row>
    <row r="9438" spans="23:23">
      <c r="W9438" s="45"/>
    </row>
    <row r="9439" spans="23:23">
      <c r="W9439" s="45"/>
    </row>
    <row r="9440" spans="23:23">
      <c r="W9440" s="45"/>
    </row>
    <row r="9441" spans="23:23">
      <c r="W9441" s="45"/>
    </row>
    <row r="9442" spans="23:23">
      <c r="W9442" s="45"/>
    </row>
    <row r="9443" spans="23:23">
      <c r="W9443" s="45"/>
    </row>
    <row r="9444" spans="23:23">
      <c r="W9444" s="45"/>
    </row>
    <row r="9445" spans="23:23">
      <c r="W9445" s="45"/>
    </row>
    <row r="9446" spans="23:23">
      <c r="W9446" s="45"/>
    </row>
    <row r="9447" spans="23:23">
      <c r="W9447" s="45"/>
    </row>
    <row r="9448" spans="23:23">
      <c r="W9448" s="45"/>
    </row>
    <row r="9449" spans="23:23">
      <c r="W9449" s="45"/>
    </row>
    <row r="9450" spans="23:23">
      <c r="W9450" s="45"/>
    </row>
    <row r="9451" spans="23:23">
      <c r="W9451" s="45"/>
    </row>
    <row r="9452" spans="23:23">
      <c r="W9452" s="45"/>
    </row>
    <row r="9453" spans="23:23">
      <c r="W9453" s="45"/>
    </row>
    <row r="9454" spans="23:23">
      <c r="W9454" s="45"/>
    </row>
    <row r="9455" spans="23:23">
      <c r="W9455" s="45"/>
    </row>
    <row r="9456" spans="23:23">
      <c r="W9456" s="45"/>
    </row>
    <row r="9457" spans="23:23">
      <c r="W9457" s="45"/>
    </row>
    <row r="9458" spans="23:23">
      <c r="W9458" s="45"/>
    </row>
    <row r="9459" spans="23:23">
      <c r="W9459" s="45"/>
    </row>
    <row r="9460" spans="23:23">
      <c r="W9460" s="45"/>
    </row>
    <row r="9461" spans="23:23">
      <c r="W9461" s="45"/>
    </row>
    <row r="9462" spans="23:23">
      <c r="W9462" s="45"/>
    </row>
    <row r="9463" spans="23:23">
      <c r="W9463" s="45"/>
    </row>
    <row r="9464" spans="23:23">
      <c r="W9464" s="45"/>
    </row>
    <row r="9465" spans="23:23">
      <c r="W9465" s="45"/>
    </row>
    <row r="9466" spans="23:23">
      <c r="W9466" s="45"/>
    </row>
    <row r="9467" spans="23:23">
      <c r="W9467" s="45"/>
    </row>
    <row r="9468" spans="23:23">
      <c r="W9468" s="45"/>
    </row>
    <row r="9469" spans="23:23">
      <c r="W9469" s="45"/>
    </row>
    <row r="9470" spans="23:23">
      <c r="W9470" s="45"/>
    </row>
    <row r="9471" spans="23:23">
      <c r="W9471" s="45"/>
    </row>
    <row r="9472" spans="23:23">
      <c r="W9472" s="45"/>
    </row>
    <row r="9473" spans="23:23">
      <c r="W9473" s="45"/>
    </row>
    <row r="9474" spans="23:23">
      <c r="W9474" s="45"/>
    </row>
    <row r="9475" spans="23:23">
      <c r="W9475" s="45"/>
    </row>
    <row r="9476" spans="23:23">
      <c r="W9476" s="45"/>
    </row>
    <row r="9477" spans="23:23">
      <c r="W9477" s="45"/>
    </row>
    <row r="9478" spans="23:23">
      <c r="W9478" s="45"/>
    </row>
    <row r="9479" spans="23:23">
      <c r="W9479" s="45"/>
    </row>
    <row r="9480" spans="23:23">
      <c r="W9480" s="45"/>
    </row>
    <row r="9481" spans="23:23">
      <c r="W9481" s="45"/>
    </row>
    <row r="9482" spans="23:23">
      <c r="W9482" s="45"/>
    </row>
    <row r="9483" spans="23:23">
      <c r="W9483" s="45"/>
    </row>
    <row r="9484" spans="23:23">
      <c r="W9484" s="45"/>
    </row>
    <row r="9485" spans="23:23">
      <c r="W9485" s="45"/>
    </row>
    <row r="9486" spans="23:23">
      <c r="W9486" s="45"/>
    </row>
    <row r="9487" spans="23:23">
      <c r="W9487" s="45"/>
    </row>
    <row r="9488" spans="23:23">
      <c r="W9488" s="45"/>
    </row>
    <row r="9489" spans="23:23">
      <c r="W9489" s="45"/>
    </row>
    <row r="9490" spans="23:23">
      <c r="W9490" s="45"/>
    </row>
    <row r="9491" spans="23:23">
      <c r="W9491" s="45"/>
    </row>
    <row r="9492" spans="23:23">
      <c r="W9492" s="45"/>
    </row>
    <row r="9493" spans="23:23">
      <c r="W9493" s="45"/>
    </row>
    <row r="9494" spans="23:23">
      <c r="W9494" s="45"/>
    </row>
    <row r="9495" spans="23:23">
      <c r="W9495" s="45"/>
    </row>
    <row r="9496" spans="23:23">
      <c r="W9496" s="45"/>
    </row>
    <row r="9497" spans="23:23">
      <c r="W9497" s="45"/>
    </row>
    <row r="9498" spans="23:23">
      <c r="W9498" s="45"/>
    </row>
    <row r="9499" spans="23:23">
      <c r="W9499" s="45"/>
    </row>
    <row r="9500" spans="23:23">
      <c r="W9500" s="45"/>
    </row>
    <row r="9501" spans="23:23">
      <c r="W9501" s="45"/>
    </row>
    <row r="9502" spans="23:23">
      <c r="W9502" s="45"/>
    </row>
    <row r="9503" spans="23:23">
      <c r="W9503" s="45"/>
    </row>
    <row r="9504" spans="23:23">
      <c r="W9504" s="45"/>
    </row>
    <row r="9505" spans="23:23">
      <c r="W9505" s="45"/>
    </row>
    <row r="9506" spans="23:23">
      <c r="W9506" s="45"/>
    </row>
    <row r="9507" spans="23:23">
      <c r="W9507" s="45"/>
    </row>
    <row r="9508" spans="23:23">
      <c r="W9508" s="45"/>
    </row>
    <row r="9509" spans="23:23">
      <c r="W9509" s="45"/>
    </row>
    <row r="9510" spans="23:23">
      <c r="W9510" s="45"/>
    </row>
    <row r="9511" spans="23:23">
      <c r="W9511" s="45"/>
    </row>
    <row r="9512" spans="23:23">
      <c r="W9512" s="45"/>
    </row>
    <row r="9513" spans="23:23">
      <c r="W9513" s="45"/>
    </row>
    <row r="9514" spans="23:23">
      <c r="W9514" s="45"/>
    </row>
    <row r="9515" spans="23:23">
      <c r="W9515" s="45"/>
    </row>
    <row r="9516" spans="23:23">
      <c r="W9516" s="45"/>
    </row>
    <row r="9517" spans="23:23">
      <c r="W9517" s="45"/>
    </row>
    <row r="9518" spans="23:23">
      <c r="W9518" s="45"/>
    </row>
    <row r="9519" spans="23:23">
      <c r="W9519" s="45"/>
    </row>
    <row r="9520" spans="23:23">
      <c r="W9520" s="45"/>
    </row>
    <row r="9521" spans="23:23">
      <c r="W9521" s="45"/>
    </row>
    <row r="9522" spans="23:23">
      <c r="W9522" s="45"/>
    </row>
    <row r="9523" spans="23:23">
      <c r="W9523" s="45"/>
    </row>
    <row r="9524" spans="23:23">
      <c r="W9524" s="45"/>
    </row>
    <row r="9525" spans="23:23">
      <c r="W9525" s="45"/>
    </row>
    <row r="9526" spans="23:23">
      <c r="W9526" s="45"/>
    </row>
    <row r="9527" spans="23:23">
      <c r="W9527" s="45"/>
    </row>
    <row r="9528" spans="23:23">
      <c r="W9528" s="45"/>
    </row>
    <row r="9529" spans="23:23">
      <c r="W9529" s="45"/>
    </row>
    <row r="9530" spans="23:23">
      <c r="W9530" s="45"/>
    </row>
    <row r="9531" spans="23:23">
      <c r="W9531" s="45"/>
    </row>
    <row r="9532" spans="23:23">
      <c r="W9532" s="45"/>
    </row>
    <row r="9533" spans="23:23">
      <c r="W9533" s="45"/>
    </row>
    <row r="9534" spans="23:23">
      <c r="W9534" s="45"/>
    </row>
    <row r="9535" spans="23:23">
      <c r="W9535" s="45"/>
    </row>
    <row r="9536" spans="23:23">
      <c r="W9536" s="45"/>
    </row>
    <row r="9537" spans="23:23">
      <c r="W9537" s="45"/>
    </row>
    <row r="9538" spans="23:23">
      <c r="W9538" s="45"/>
    </row>
    <row r="9539" spans="23:23">
      <c r="W9539" s="45"/>
    </row>
    <row r="9540" spans="23:23">
      <c r="W9540" s="45"/>
    </row>
    <row r="9541" spans="23:23">
      <c r="W9541" s="45"/>
    </row>
    <row r="9542" spans="23:23">
      <c r="W9542" s="45"/>
    </row>
    <row r="9543" spans="23:23">
      <c r="W9543" s="45"/>
    </row>
    <row r="9544" spans="23:23">
      <c r="W9544" s="45"/>
    </row>
    <row r="9545" spans="23:23">
      <c r="W9545" s="45"/>
    </row>
    <row r="9546" spans="23:23">
      <c r="W9546" s="45"/>
    </row>
    <row r="9547" spans="23:23">
      <c r="W9547" s="45"/>
    </row>
    <row r="9548" spans="23:23">
      <c r="W9548" s="45"/>
    </row>
    <row r="9549" spans="23:23">
      <c r="W9549" s="45"/>
    </row>
    <row r="9550" spans="23:23">
      <c r="W9550" s="45"/>
    </row>
    <row r="9551" spans="23:23">
      <c r="W9551" s="45"/>
    </row>
    <row r="9552" spans="23:23">
      <c r="W9552" s="45"/>
    </row>
    <row r="9553" spans="23:23">
      <c r="W9553" s="45"/>
    </row>
    <row r="9554" spans="23:23">
      <c r="W9554" s="45"/>
    </row>
    <row r="9555" spans="23:23">
      <c r="W9555" s="45"/>
    </row>
    <row r="9556" spans="23:23">
      <c r="W9556" s="45"/>
    </row>
    <row r="9557" spans="23:23">
      <c r="W9557" s="45"/>
    </row>
    <row r="9558" spans="23:23">
      <c r="W9558" s="45"/>
    </row>
    <row r="9559" spans="23:23">
      <c r="W9559" s="45"/>
    </row>
    <row r="9560" spans="23:23">
      <c r="W9560" s="45"/>
    </row>
    <row r="9561" spans="23:23">
      <c r="W9561" s="45"/>
    </row>
    <row r="9562" spans="23:23">
      <c r="W9562" s="45"/>
    </row>
    <row r="9563" spans="23:23">
      <c r="W9563" s="45"/>
    </row>
    <row r="9564" spans="23:23">
      <c r="W9564" s="45"/>
    </row>
    <row r="9565" spans="23:23">
      <c r="W9565" s="45"/>
    </row>
    <row r="9566" spans="23:23">
      <c r="W9566" s="45"/>
    </row>
    <row r="9567" spans="23:23">
      <c r="W9567" s="45"/>
    </row>
    <row r="9568" spans="23:23">
      <c r="W9568" s="45"/>
    </row>
    <row r="9569" spans="23:23">
      <c r="W9569" s="45"/>
    </row>
    <row r="9570" spans="23:23">
      <c r="W9570" s="45"/>
    </row>
    <row r="9571" spans="23:23">
      <c r="W9571" s="45"/>
    </row>
    <row r="9572" spans="23:23">
      <c r="W9572" s="45"/>
    </row>
    <row r="9573" spans="23:23">
      <c r="W9573" s="45"/>
    </row>
    <row r="9574" spans="23:23">
      <c r="W9574" s="45"/>
    </row>
    <row r="9575" spans="23:23">
      <c r="W9575" s="45"/>
    </row>
    <row r="9576" spans="23:23">
      <c r="W9576" s="45"/>
    </row>
    <row r="9577" spans="23:23">
      <c r="W9577" s="45"/>
    </row>
    <row r="9578" spans="23:23">
      <c r="W9578" s="45"/>
    </row>
    <row r="9579" spans="23:23">
      <c r="W9579" s="45"/>
    </row>
    <row r="9580" spans="23:23">
      <c r="W9580" s="45"/>
    </row>
    <row r="9581" spans="23:23">
      <c r="W9581" s="45"/>
    </row>
    <row r="9582" spans="23:23">
      <c r="W9582" s="45"/>
    </row>
    <row r="9583" spans="23:23">
      <c r="W9583" s="45"/>
    </row>
    <row r="9584" spans="23:23">
      <c r="W9584" s="45"/>
    </row>
    <row r="9585" spans="23:23">
      <c r="W9585" s="45"/>
    </row>
    <row r="9586" spans="23:23">
      <c r="W9586" s="45"/>
    </row>
    <row r="9587" spans="23:23">
      <c r="W9587" s="45"/>
    </row>
    <row r="9588" spans="23:23">
      <c r="W9588" s="45"/>
    </row>
    <row r="9589" spans="23:23">
      <c r="W9589" s="45"/>
    </row>
    <row r="9590" spans="23:23">
      <c r="W9590" s="45"/>
    </row>
    <row r="9591" spans="23:23">
      <c r="W9591" s="45"/>
    </row>
    <row r="9592" spans="23:23">
      <c r="W9592" s="45"/>
    </row>
    <row r="9593" spans="23:23">
      <c r="W9593" s="45"/>
    </row>
    <row r="9594" spans="23:23">
      <c r="W9594" s="45"/>
    </row>
    <row r="9595" spans="23:23">
      <c r="W9595" s="45"/>
    </row>
    <row r="9596" spans="23:23">
      <c r="W9596" s="45"/>
    </row>
    <row r="9597" spans="23:23">
      <c r="W9597" s="45"/>
    </row>
    <row r="9598" spans="23:23">
      <c r="W9598" s="45"/>
    </row>
    <row r="9599" spans="23:23">
      <c r="W9599" s="45"/>
    </row>
    <row r="9600" spans="23:23">
      <c r="W9600" s="45"/>
    </row>
    <row r="9601" spans="23:23">
      <c r="W9601" s="45"/>
    </row>
    <row r="9602" spans="23:23">
      <c r="W9602" s="45"/>
    </row>
    <row r="9603" spans="23:23">
      <c r="W9603" s="45"/>
    </row>
    <row r="9604" spans="23:23">
      <c r="W9604" s="45"/>
    </row>
    <row r="9605" spans="23:23">
      <c r="W9605" s="45"/>
    </row>
    <row r="9606" spans="23:23">
      <c r="W9606" s="45"/>
    </row>
    <row r="9607" spans="23:23">
      <c r="W9607" s="45"/>
    </row>
    <row r="9608" spans="23:23">
      <c r="W9608" s="45"/>
    </row>
    <row r="9609" spans="23:23">
      <c r="W9609" s="45"/>
    </row>
    <row r="9610" spans="23:23">
      <c r="W9610" s="45"/>
    </row>
    <row r="9611" spans="23:23">
      <c r="W9611" s="45"/>
    </row>
    <row r="9612" spans="23:23">
      <c r="W9612" s="45"/>
    </row>
    <row r="9613" spans="23:23">
      <c r="W9613" s="45"/>
    </row>
    <row r="9614" spans="23:23">
      <c r="W9614" s="45"/>
    </row>
    <row r="9615" spans="23:23">
      <c r="W9615" s="45"/>
    </row>
    <row r="9616" spans="23:23">
      <c r="W9616" s="45"/>
    </row>
    <row r="9617" spans="23:23">
      <c r="W9617" s="45"/>
    </row>
    <row r="9618" spans="23:23">
      <c r="W9618" s="45"/>
    </row>
    <row r="9619" spans="23:23">
      <c r="W9619" s="45"/>
    </row>
    <row r="9620" spans="23:23">
      <c r="W9620" s="45"/>
    </row>
    <row r="9621" spans="23:23">
      <c r="W9621" s="45"/>
    </row>
    <row r="9622" spans="23:23">
      <c r="W9622" s="45"/>
    </row>
    <row r="9623" spans="23:23">
      <c r="W9623" s="45"/>
    </row>
    <row r="9624" spans="23:23">
      <c r="W9624" s="45"/>
    </row>
    <row r="9625" spans="23:23">
      <c r="W9625" s="45"/>
    </row>
    <row r="9626" spans="23:23">
      <c r="W9626" s="45"/>
    </row>
    <row r="9627" spans="23:23">
      <c r="W9627" s="45"/>
    </row>
    <row r="9628" spans="23:23">
      <c r="W9628" s="45"/>
    </row>
    <row r="9629" spans="23:23">
      <c r="W9629" s="45"/>
    </row>
    <row r="9630" spans="23:23">
      <c r="W9630" s="45"/>
    </row>
    <row r="9631" spans="23:23">
      <c r="W9631" s="45"/>
    </row>
    <row r="9632" spans="23:23">
      <c r="W9632" s="45"/>
    </row>
    <row r="9633" spans="23:23">
      <c r="W9633" s="45"/>
    </row>
    <row r="9634" spans="23:23">
      <c r="W9634" s="45"/>
    </row>
    <row r="9635" spans="23:23">
      <c r="W9635" s="45"/>
    </row>
    <row r="9636" spans="23:23">
      <c r="W9636" s="45"/>
    </row>
    <row r="9637" spans="23:23">
      <c r="W9637" s="45"/>
    </row>
    <row r="9638" spans="23:23">
      <c r="W9638" s="45"/>
    </row>
    <row r="9639" spans="23:23">
      <c r="W9639" s="45"/>
    </row>
    <row r="9640" spans="23:23">
      <c r="W9640" s="45"/>
    </row>
    <row r="9641" spans="23:23">
      <c r="W9641" s="45"/>
    </row>
    <row r="9642" spans="23:23">
      <c r="W9642" s="45"/>
    </row>
    <row r="9643" spans="23:23">
      <c r="W9643" s="45"/>
    </row>
    <row r="9644" spans="23:23">
      <c r="W9644" s="45"/>
    </row>
    <row r="9645" spans="23:23">
      <c r="W9645" s="45"/>
    </row>
    <row r="9646" spans="23:23">
      <c r="W9646" s="45"/>
    </row>
    <row r="9647" spans="23:23">
      <c r="W9647" s="45"/>
    </row>
    <row r="9648" spans="23:23">
      <c r="W9648" s="45"/>
    </row>
    <row r="9649" spans="23:23">
      <c r="W9649" s="45"/>
    </row>
    <row r="9650" spans="23:23">
      <c r="W9650" s="45"/>
    </row>
    <row r="9651" spans="23:23">
      <c r="W9651" s="45"/>
    </row>
    <row r="9652" spans="23:23">
      <c r="W9652" s="45"/>
    </row>
    <row r="9653" spans="23:23">
      <c r="W9653" s="45"/>
    </row>
    <row r="9654" spans="23:23">
      <c r="W9654" s="45"/>
    </row>
    <row r="9655" spans="23:23">
      <c r="W9655" s="45"/>
    </row>
    <row r="9656" spans="23:23">
      <c r="W9656" s="45"/>
    </row>
    <row r="9657" spans="23:23">
      <c r="W9657" s="45"/>
    </row>
    <row r="9658" spans="23:23">
      <c r="W9658" s="45"/>
    </row>
    <row r="9659" spans="23:23">
      <c r="W9659" s="45"/>
    </row>
    <row r="9660" spans="23:23">
      <c r="W9660" s="45"/>
    </row>
    <row r="9661" spans="23:23">
      <c r="W9661" s="45"/>
    </row>
    <row r="9662" spans="23:23">
      <c r="W9662" s="45"/>
    </row>
    <row r="9663" spans="23:23">
      <c r="W9663" s="45"/>
    </row>
    <row r="9664" spans="23:23">
      <c r="W9664" s="45"/>
    </row>
    <row r="9665" spans="23:23">
      <c r="W9665" s="45"/>
    </row>
    <row r="9666" spans="23:23">
      <c r="W9666" s="45"/>
    </row>
    <row r="9667" spans="23:23">
      <c r="W9667" s="45"/>
    </row>
    <row r="9668" spans="23:23">
      <c r="W9668" s="45"/>
    </row>
    <row r="9669" spans="23:23">
      <c r="W9669" s="45"/>
    </row>
    <row r="9670" spans="23:23">
      <c r="W9670" s="45"/>
    </row>
    <row r="9671" spans="23:23">
      <c r="W9671" s="45"/>
    </row>
    <row r="9672" spans="23:23">
      <c r="W9672" s="45"/>
    </row>
    <row r="9673" spans="23:23">
      <c r="W9673" s="45"/>
    </row>
    <row r="9674" spans="23:23">
      <c r="W9674" s="45"/>
    </row>
    <row r="9675" spans="23:23">
      <c r="W9675" s="45"/>
    </row>
    <row r="9676" spans="23:23">
      <c r="W9676" s="45"/>
    </row>
    <row r="9677" spans="23:23">
      <c r="W9677" s="45"/>
    </row>
    <row r="9678" spans="23:23">
      <c r="W9678" s="45"/>
    </row>
    <row r="9679" spans="23:23">
      <c r="W9679" s="45"/>
    </row>
    <row r="9680" spans="23:23">
      <c r="W9680" s="45"/>
    </row>
    <row r="9681" spans="23:23">
      <c r="W9681" s="45"/>
    </row>
    <row r="9682" spans="23:23">
      <c r="W9682" s="45"/>
    </row>
    <row r="9683" spans="23:23">
      <c r="W9683" s="45"/>
    </row>
    <row r="9684" spans="23:23">
      <c r="W9684" s="45"/>
    </row>
    <row r="9685" spans="23:23">
      <c r="W9685" s="45"/>
    </row>
    <row r="9686" spans="23:23">
      <c r="W9686" s="45"/>
    </row>
    <row r="9687" spans="23:23">
      <c r="W9687" s="45"/>
    </row>
    <row r="9688" spans="23:23">
      <c r="W9688" s="45"/>
    </row>
    <row r="9689" spans="23:23">
      <c r="W9689" s="45"/>
    </row>
    <row r="9690" spans="23:23">
      <c r="W9690" s="45"/>
    </row>
    <row r="9691" spans="23:23">
      <c r="W9691" s="45"/>
    </row>
    <row r="9692" spans="23:23">
      <c r="W9692" s="45"/>
    </row>
    <row r="9693" spans="23:23">
      <c r="W9693" s="45"/>
    </row>
    <row r="9694" spans="23:23">
      <c r="W9694" s="45"/>
    </row>
    <row r="9695" spans="23:23">
      <c r="W9695" s="45"/>
    </row>
    <row r="9696" spans="23:23">
      <c r="W9696" s="45"/>
    </row>
    <row r="9697" spans="23:23">
      <c r="W9697" s="45"/>
    </row>
    <row r="9698" spans="23:23">
      <c r="W9698" s="45"/>
    </row>
    <row r="9699" spans="23:23">
      <c r="W9699" s="45"/>
    </row>
    <row r="9700" spans="23:23">
      <c r="W9700" s="45"/>
    </row>
    <row r="9701" spans="23:23">
      <c r="W9701" s="45"/>
    </row>
    <row r="9702" spans="23:23">
      <c r="W9702" s="45"/>
    </row>
    <row r="9703" spans="23:23">
      <c r="W9703" s="45"/>
    </row>
    <row r="9704" spans="23:23">
      <c r="W9704" s="45"/>
    </row>
    <row r="9705" spans="23:23">
      <c r="W9705" s="45"/>
    </row>
    <row r="9706" spans="23:23">
      <c r="W9706" s="45"/>
    </row>
    <row r="9707" spans="23:23">
      <c r="W9707" s="45"/>
    </row>
    <row r="9708" spans="23:23">
      <c r="W9708" s="45"/>
    </row>
    <row r="9709" spans="23:23">
      <c r="W9709" s="45"/>
    </row>
    <row r="9710" spans="23:23">
      <c r="W9710" s="45"/>
    </row>
    <row r="9711" spans="23:23">
      <c r="W9711" s="45"/>
    </row>
    <row r="9712" spans="23:23">
      <c r="W9712" s="45"/>
    </row>
    <row r="9713" spans="23:23">
      <c r="W9713" s="45"/>
    </row>
    <row r="9714" spans="23:23">
      <c r="W9714" s="45"/>
    </row>
    <row r="9715" spans="23:23">
      <c r="W9715" s="45"/>
    </row>
    <row r="9716" spans="23:23">
      <c r="W9716" s="45"/>
    </row>
    <row r="9717" spans="23:23">
      <c r="W9717" s="45"/>
    </row>
    <row r="9718" spans="23:23">
      <c r="W9718" s="45"/>
    </row>
    <row r="9719" spans="23:23">
      <c r="W9719" s="45"/>
    </row>
    <row r="9720" spans="23:23">
      <c r="W9720" s="45"/>
    </row>
    <row r="9721" spans="23:23">
      <c r="W9721" s="45"/>
    </row>
    <row r="9722" spans="23:23">
      <c r="W9722" s="45"/>
    </row>
    <row r="9723" spans="23:23">
      <c r="W9723" s="45"/>
    </row>
    <row r="9724" spans="23:23">
      <c r="W9724" s="45"/>
    </row>
    <row r="9725" spans="23:23">
      <c r="W9725" s="45"/>
    </row>
    <row r="9726" spans="23:23">
      <c r="W9726" s="45"/>
    </row>
    <row r="9727" spans="23:23">
      <c r="W9727" s="45"/>
    </row>
    <row r="9728" spans="23:23">
      <c r="W9728" s="45"/>
    </row>
    <row r="9729" spans="23:23">
      <c r="W9729" s="45"/>
    </row>
    <row r="9730" spans="23:23">
      <c r="W9730" s="45"/>
    </row>
    <row r="9731" spans="23:23">
      <c r="W9731" s="45"/>
    </row>
    <row r="9732" spans="23:23">
      <c r="W9732" s="45"/>
    </row>
    <row r="9733" spans="23:23">
      <c r="W9733" s="45"/>
    </row>
    <row r="9734" spans="23:23">
      <c r="W9734" s="45"/>
    </row>
    <row r="9735" spans="23:23">
      <c r="W9735" s="45"/>
    </row>
    <row r="9736" spans="23:23">
      <c r="W9736" s="45"/>
    </row>
    <row r="9737" spans="23:23">
      <c r="W9737" s="45"/>
    </row>
    <row r="9738" spans="23:23">
      <c r="W9738" s="45"/>
    </row>
    <row r="9739" spans="23:23">
      <c r="W9739" s="45"/>
    </row>
    <row r="9740" spans="23:23">
      <c r="W9740" s="45"/>
    </row>
    <row r="9741" spans="23:23">
      <c r="W9741" s="45"/>
    </row>
    <row r="9742" spans="23:23">
      <c r="W9742" s="45"/>
    </row>
    <row r="9743" spans="23:23">
      <c r="W9743" s="45"/>
    </row>
    <row r="9744" spans="23:23">
      <c r="W9744" s="45"/>
    </row>
    <row r="9745" spans="23:23">
      <c r="W9745" s="45"/>
    </row>
    <row r="9746" spans="23:23">
      <c r="W9746" s="45"/>
    </row>
    <row r="9747" spans="23:23">
      <c r="W9747" s="45"/>
    </row>
    <row r="9748" spans="23:23">
      <c r="W9748" s="45"/>
    </row>
    <row r="9749" spans="23:23">
      <c r="W9749" s="45"/>
    </row>
    <row r="9750" spans="23:23">
      <c r="W9750" s="45"/>
    </row>
    <row r="9751" spans="23:23">
      <c r="W9751" s="45"/>
    </row>
    <row r="9752" spans="23:23">
      <c r="W9752" s="45"/>
    </row>
    <row r="9753" spans="23:23">
      <c r="W9753" s="45"/>
    </row>
    <row r="9754" spans="23:23">
      <c r="W9754" s="45"/>
    </row>
    <row r="9755" spans="23:23">
      <c r="W9755" s="45"/>
    </row>
    <row r="9756" spans="23:23">
      <c r="W9756" s="45"/>
    </row>
    <row r="9757" spans="23:23">
      <c r="W9757" s="45"/>
    </row>
    <row r="9758" spans="23:23">
      <c r="W9758" s="45"/>
    </row>
    <row r="9759" spans="23:23">
      <c r="W9759" s="45"/>
    </row>
    <row r="9760" spans="23:23">
      <c r="W9760" s="45"/>
    </row>
    <row r="9761" spans="23:23">
      <c r="W9761" s="45"/>
    </row>
    <row r="9762" spans="23:23">
      <c r="W9762" s="45"/>
    </row>
    <row r="9763" spans="23:23">
      <c r="W9763" s="45"/>
    </row>
    <row r="9764" spans="23:23">
      <c r="W9764" s="45"/>
    </row>
    <row r="9765" spans="23:23">
      <c r="W9765" s="45"/>
    </row>
    <row r="9766" spans="23:23">
      <c r="W9766" s="45"/>
    </row>
    <row r="9767" spans="23:23">
      <c r="W9767" s="45"/>
    </row>
    <row r="9768" spans="23:23">
      <c r="W9768" s="45"/>
    </row>
    <row r="9769" spans="23:23">
      <c r="W9769" s="45"/>
    </row>
    <row r="9770" spans="23:23">
      <c r="W9770" s="45"/>
    </row>
    <row r="9771" spans="23:23">
      <c r="W9771" s="45"/>
    </row>
    <row r="9772" spans="23:23">
      <c r="W9772" s="45"/>
    </row>
    <row r="9773" spans="23:23">
      <c r="W9773" s="45"/>
    </row>
    <row r="9774" spans="23:23">
      <c r="W9774" s="45"/>
    </row>
    <row r="9775" spans="23:23">
      <c r="W9775" s="45"/>
    </row>
    <row r="9776" spans="23:23">
      <c r="W9776" s="45"/>
    </row>
    <row r="9777" spans="23:23">
      <c r="W9777" s="45"/>
    </row>
    <row r="9778" spans="23:23">
      <c r="W9778" s="45"/>
    </row>
    <row r="9779" spans="23:23">
      <c r="W9779" s="45"/>
    </row>
    <row r="9780" spans="23:23">
      <c r="W9780" s="45"/>
    </row>
    <row r="9781" spans="23:23">
      <c r="W9781" s="45"/>
    </row>
    <row r="9782" spans="23:23">
      <c r="W9782" s="45"/>
    </row>
    <row r="9783" spans="23:23">
      <c r="W9783" s="45"/>
    </row>
    <row r="9784" spans="23:23">
      <c r="W9784" s="45"/>
    </row>
    <row r="9785" spans="23:23">
      <c r="W9785" s="45"/>
    </row>
    <row r="9786" spans="23:23">
      <c r="W9786" s="45"/>
    </row>
    <row r="9787" spans="23:23">
      <c r="W9787" s="45"/>
    </row>
    <row r="9788" spans="23:23">
      <c r="W9788" s="45"/>
    </row>
    <row r="9789" spans="23:23">
      <c r="W9789" s="45"/>
    </row>
    <row r="9790" spans="23:23">
      <c r="W9790" s="45"/>
    </row>
    <row r="9791" spans="23:23">
      <c r="W9791" s="45"/>
    </row>
    <row r="9792" spans="23:23">
      <c r="W9792" s="45"/>
    </row>
    <row r="9793" spans="23:23">
      <c r="W9793" s="45"/>
    </row>
    <row r="9794" spans="23:23">
      <c r="W9794" s="45"/>
    </row>
    <row r="9795" spans="23:23">
      <c r="W9795" s="45"/>
    </row>
    <row r="9796" spans="23:23">
      <c r="W9796" s="45"/>
    </row>
    <row r="9797" spans="23:23">
      <c r="W9797" s="45"/>
    </row>
    <row r="9798" spans="23:23">
      <c r="W9798" s="45"/>
    </row>
    <row r="9799" spans="23:23">
      <c r="W9799" s="45"/>
    </row>
    <row r="9800" spans="23:23">
      <c r="W9800" s="45"/>
    </row>
    <row r="9801" spans="23:23">
      <c r="W9801" s="45"/>
    </row>
    <row r="9802" spans="23:23">
      <c r="W9802" s="45"/>
    </row>
    <row r="9803" spans="23:23">
      <c r="W9803" s="45"/>
    </row>
    <row r="9804" spans="23:23">
      <c r="W9804" s="45"/>
    </row>
    <row r="9805" spans="23:23">
      <c r="W9805" s="45"/>
    </row>
    <row r="9806" spans="23:23">
      <c r="W9806" s="45"/>
    </row>
    <row r="9807" spans="23:23">
      <c r="W9807" s="45"/>
    </row>
    <row r="9808" spans="23:23">
      <c r="W9808" s="45"/>
    </row>
    <row r="9809" spans="23:23">
      <c r="W9809" s="45"/>
    </row>
    <row r="9810" spans="23:23">
      <c r="W9810" s="45"/>
    </row>
    <row r="9811" spans="23:23">
      <c r="W9811" s="45"/>
    </row>
    <row r="9812" spans="23:23">
      <c r="W9812" s="45"/>
    </row>
    <row r="9813" spans="23:23">
      <c r="W9813" s="45"/>
    </row>
    <row r="9814" spans="23:23">
      <c r="W9814" s="45"/>
    </row>
    <row r="9815" spans="23:23">
      <c r="W9815" s="45"/>
    </row>
    <row r="9816" spans="23:23">
      <c r="W9816" s="45"/>
    </row>
    <row r="9817" spans="23:23">
      <c r="W9817" s="45"/>
    </row>
    <row r="9818" spans="23:23">
      <c r="W9818" s="45"/>
    </row>
    <row r="9819" spans="23:23">
      <c r="W9819" s="45"/>
    </row>
    <row r="9820" spans="23:23">
      <c r="W9820" s="45"/>
    </row>
    <row r="9821" spans="23:23">
      <c r="W9821" s="45"/>
    </row>
    <row r="9822" spans="23:23">
      <c r="W9822" s="45"/>
    </row>
    <row r="9823" spans="23:23">
      <c r="W9823" s="45"/>
    </row>
    <row r="9824" spans="23:23">
      <c r="W9824" s="45"/>
    </row>
    <row r="9825" spans="23:23">
      <c r="W9825" s="45"/>
    </row>
    <row r="9826" spans="23:23">
      <c r="W9826" s="45"/>
    </row>
    <row r="9827" spans="23:23">
      <c r="W9827" s="45"/>
    </row>
    <row r="9828" spans="23:23">
      <c r="W9828" s="45"/>
    </row>
    <row r="9829" spans="23:23">
      <c r="W9829" s="45"/>
    </row>
    <row r="9830" spans="23:23">
      <c r="W9830" s="45"/>
    </row>
    <row r="9831" spans="23:23">
      <c r="W9831" s="45"/>
    </row>
    <row r="9832" spans="23:23">
      <c r="W9832" s="45"/>
    </row>
    <row r="9833" spans="23:23">
      <c r="W9833" s="45"/>
    </row>
    <row r="9834" spans="23:23">
      <c r="W9834" s="45"/>
    </row>
    <row r="9835" spans="23:23">
      <c r="W9835" s="45"/>
    </row>
    <row r="9836" spans="23:23">
      <c r="W9836" s="45"/>
    </row>
    <row r="9837" spans="23:23">
      <c r="W9837" s="45"/>
    </row>
    <row r="9838" spans="23:23">
      <c r="W9838" s="45"/>
    </row>
    <row r="9839" spans="23:23">
      <c r="W9839" s="45"/>
    </row>
    <row r="9840" spans="23:23">
      <c r="W9840" s="45"/>
    </row>
    <row r="9841" spans="23:23">
      <c r="W9841" s="45"/>
    </row>
    <row r="9842" spans="23:23">
      <c r="W9842" s="45"/>
    </row>
    <row r="9843" spans="23:23">
      <c r="W9843" s="45"/>
    </row>
    <row r="9844" spans="23:23">
      <c r="W9844" s="45"/>
    </row>
    <row r="9845" spans="23:23">
      <c r="W9845" s="45"/>
    </row>
    <row r="9846" spans="23:23">
      <c r="W9846" s="45"/>
    </row>
    <row r="9847" spans="23:23">
      <c r="W9847" s="45"/>
    </row>
    <row r="9848" spans="23:23">
      <c r="W9848" s="45"/>
    </row>
    <row r="9849" spans="23:23">
      <c r="W9849" s="45"/>
    </row>
    <row r="9850" spans="23:23">
      <c r="W9850" s="45"/>
    </row>
    <row r="9851" spans="23:23">
      <c r="W9851" s="45"/>
    </row>
    <row r="9852" spans="23:23">
      <c r="W9852" s="45"/>
    </row>
    <row r="9853" spans="23:23">
      <c r="W9853" s="45"/>
    </row>
    <row r="9854" spans="23:23">
      <c r="W9854" s="45"/>
    </row>
    <row r="9855" spans="23:23">
      <c r="W9855" s="45"/>
    </row>
    <row r="9856" spans="23:23">
      <c r="W9856" s="45"/>
    </row>
    <row r="9857" spans="23:23">
      <c r="W9857" s="45"/>
    </row>
    <row r="9858" spans="23:23">
      <c r="W9858" s="45"/>
    </row>
    <row r="9859" spans="23:23">
      <c r="W9859" s="45"/>
    </row>
    <row r="9860" spans="23:23">
      <c r="W9860" s="45"/>
    </row>
    <row r="9861" spans="23:23">
      <c r="W9861" s="45"/>
    </row>
    <row r="9862" spans="23:23">
      <c r="W9862" s="45"/>
    </row>
    <row r="9863" spans="23:23">
      <c r="W9863" s="45"/>
    </row>
    <row r="9864" spans="23:23">
      <c r="W9864" s="45"/>
    </row>
    <row r="9865" spans="23:23">
      <c r="W9865" s="45"/>
    </row>
    <row r="9866" spans="23:23">
      <c r="W9866" s="45"/>
    </row>
    <row r="9867" spans="23:23">
      <c r="W9867" s="45"/>
    </row>
    <row r="9868" spans="23:23">
      <c r="W9868" s="45"/>
    </row>
    <row r="9869" spans="23:23">
      <c r="W9869" s="45"/>
    </row>
    <row r="9870" spans="23:23">
      <c r="W9870" s="45"/>
    </row>
    <row r="9871" spans="23:23">
      <c r="W9871" s="45"/>
    </row>
    <row r="9872" spans="23:23">
      <c r="W9872" s="45"/>
    </row>
    <row r="9873" spans="23:23">
      <c r="W9873" s="45"/>
    </row>
    <row r="9874" spans="23:23">
      <c r="W9874" s="45"/>
    </row>
    <row r="9875" spans="23:23">
      <c r="W9875" s="45"/>
    </row>
    <row r="9876" spans="23:23">
      <c r="W9876" s="45"/>
    </row>
    <row r="9877" spans="23:23">
      <c r="W9877" s="45"/>
    </row>
    <row r="9878" spans="23:23">
      <c r="W9878" s="45"/>
    </row>
    <row r="9879" spans="23:23">
      <c r="W9879" s="45"/>
    </row>
    <row r="9880" spans="23:23">
      <c r="W9880" s="45"/>
    </row>
    <row r="9881" spans="23:23">
      <c r="W9881" s="45"/>
    </row>
    <row r="9882" spans="23:23">
      <c r="W9882" s="45"/>
    </row>
    <row r="9883" spans="23:23">
      <c r="W9883" s="45"/>
    </row>
    <row r="9884" spans="23:23">
      <c r="W9884" s="45"/>
    </row>
    <row r="9885" spans="23:23">
      <c r="W9885" s="45"/>
    </row>
    <row r="9886" spans="23:23">
      <c r="W9886" s="45"/>
    </row>
    <row r="9887" spans="23:23">
      <c r="W9887" s="45"/>
    </row>
    <row r="9888" spans="23:23">
      <c r="W9888" s="45"/>
    </row>
    <row r="9889" spans="23:23">
      <c r="W9889" s="45"/>
    </row>
    <row r="9890" spans="23:23">
      <c r="W9890" s="45"/>
    </row>
    <row r="9891" spans="23:23">
      <c r="W9891" s="45"/>
    </row>
    <row r="9892" spans="23:23">
      <c r="W9892" s="45"/>
    </row>
    <row r="9893" spans="23:23">
      <c r="W9893" s="45"/>
    </row>
    <row r="9894" spans="23:23">
      <c r="W9894" s="45"/>
    </row>
    <row r="9895" spans="23:23">
      <c r="W9895" s="45"/>
    </row>
    <row r="9896" spans="23:23">
      <c r="W9896" s="45"/>
    </row>
    <row r="9897" spans="23:23">
      <c r="W9897" s="45"/>
    </row>
    <row r="9898" spans="23:23">
      <c r="W9898" s="45"/>
    </row>
    <row r="9899" spans="23:23">
      <c r="W9899" s="45"/>
    </row>
    <row r="9900" spans="23:23">
      <c r="W9900" s="45"/>
    </row>
    <row r="9901" spans="23:23">
      <c r="W9901" s="45"/>
    </row>
    <row r="9902" spans="23:23">
      <c r="W9902" s="45"/>
    </row>
    <row r="9903" spans="23:23">
      <c r="W9903" s="45"/>
    </row>
    <row r="9904" spans="23:23">
      <c r="W9904" s="45"/>
    </row>
    <row r="9905" spans="23:23">
      <c r="W9905" s="45"/>
    </row>
    <row r="9906" spans="23:23">
      <c r="W9906" s="45"/>
    </row>
    <row r="9907" spans="23:23">
      <c r="W9907" s="45"/>
    </row>
    <row r="9908" spans="23:23">
      <c r="W9908" s="45"/>
    </row>
    <row r="9909" spans="23:23">
      <c r="W9909" s="45"/>
    </row>
    <row r="9910" spans="23:23">
      <c r="W9910" s="45"/>
    </row>
    <row r="9911" spans="23:23">
      <c r="W9911" s="45"/>
    </row>
    <row r="9912" spans="23:23">
      <c r="W9912" s="45"/>
    </row>
    <row r="9913" spans="23:23">
      <c r="W9913" s="45"/>
    </row>
    <row r="9914" spans="23:23">
      <c r="W9914" s="45"/>
    </row>
    <row r="9915" spans="23:23">
      <c r="W9915" s="45"/>
    </row>
    <row r="9916" spans="23:23">
      <c r="W9916" s="45"/>
    </row>
    <row r="9917" spans="23:23">
      <c r="W9917" s="45"/>
    </row>
    <row r="9918" spans="23:23">
      <c r="W9918" s="45"/>
    </row>
    <row r="9919" spans="23:23">
      <c r="W9919" s="45"/>
    </row>
    <row r="9920" spans="23:23">
      <c r="W9920" s="45"/>
    </row>
    <row r="9921" spans="23:23">
      <c r="W9921" s="45"/>
    </row>
    <row r="9922" spans="23:23">
      <c r="W9922" s="45"/>
    </row>
    <row r="9923" spans="23:23">
      <c r="W9923" s="45"/>
    </row>
    <row r="9924" spans="23:23">
      <c r="W9924" s="45"/>
    </row>
    <row r="9925" spans="23:23">
      <c r="W9925" s="45"/>
    </row>
    <row r="9926" spans="23:23">
      <c r="W9926" s="45"/>
    </row>
    <row r="9927" spans="23:23">
      <c r="W9927" s="45"/>
    </row>
    <row r="9928" spans="23:23">
      <c r="W9928" s="45"/>
    </row>
    <row r="9929" spans="23:23">
      <c r="W9929" s="45"/>
    </row>
    <row r="9930" spans="23:23">
      <c r="W9930" s="45"/>
    </row>
    <row r="9931" spans="23:23">
      <c r="W9931" s="45"/>
    </row>
    <row r="9932" spans="23:23">
      <c r="W9932" s="45"/>
    </row>
    <row r="9933" spans="23:23">
      <c r="W9933" s="45"/>
    </row>
    <row r="9934" spans="23:23">
      <c r="W9934" s="45"/>
    </row>
    <row r="9935" spans="23:23">
      <c r="W9935" s="45"/>
    </row>
    <row r="9936" spans="23:23">
      <c r="W9936" s="45"/>
    </row>
    <row r="9937" spans="23:23">
      <c r="W9937" s="45"/>
    </row>
    <row r="9938" spans="23:23">
      <c r="W9938" s="45"/>
    </row>
    <row r="9939" spans="23:23">
      <c r="W9939" s="45"/>
    </row>
    <row r="9940" spans="23:23">
      <c r="W9940" s="45"/>
    </row>
    <row r="9941" spans="23:23">
      <c r="W9941" s="45"/>
    </row>
    <row r="9942" spans="23:23">
      <c r="W9942" s="45"/>
    </row>
    <row r="9943" spans="23:23">
      <c r="W9943" s="45"/>
    </row>
    <row r="9944" spans="23:23">
      <c r="W9944" s="45"/>
    </row>
    <row r="9945" spans="23:23">
      <c r="W9945" s="45"/>
    </row>
    <row r="9946" spans="23:23">
      <c r="W9946" s="45"/>
    </row>
    <row r="9947" spans="23:23">
      <c r="W9947" s="45"/>
    </row>
    <row r="9948" spans="23:23">
      <c r="W9948" s="45"/>
    </row>
    <row r="9949" spans="23:23">
      <c r="W9949" s="45"/>
    </row>
    <row r="9950" spans="23:23">
      <c r="W9950" s="45"/>
    </row>
    <row r="9951" spans="23:23">
      <c r="W9951" s="45"/>
    </row>
    <row r="9952" spans="23:23">
      <c r="W9952" s="45"/>
    </row>
    <row r="9953" spans="23:23">
      <c r="W9953" s="45"/>
    </row>
    <row r="9954" spans="23:23">
      <c r="W9954" s="45"/>
    </row>
    <row r="9955" spans="23:23">
      <c r="W9955" s="45"/>
    </row>
    <row r="9956" spans="23:23">
      <c r="W9956" s="45"/>
    </row>
    <row r="9957" spans="23:23">
      <c r="W9957" s="45"/>
    </row>
    <row r="9958" spans="23:23">
      <c r="W9958" s="45"/>
    </row>
    <row r="9959" spans="23:23">
      <c r="W9959" s="45"/>
    </row>
    <row r="9960" spans="23:23">
      <c r="W9960" s="45"/>
    </row>
    <row r="9961" spans="23:23">
      <c r="W9961" s="45"/>
    </row>
    <row r="9962" spans="23:23">
      <c r="W9962" s="45"/>
    </row>
    <row r="9963" spans="23:23">
      <c r="W9963" s="45"/>
    </row>
    <row r="9964" spans="23:23">
      <c r="W9964" s="45"/>
    </row>
    <row r="9965" spans="23:23">
      <c r="W9965" s="45"/>
    </row>
    <row r="9966" spans="23:23">
      <c r="W9966" s="45"/>
    </row>
    <row r="9967" spans="23:23">
      <c r="W9967" s="45"/>
    </row>
    <row r="9968" spans="23:23">
      <c r="W9968" s="45"/>
    </row>
    <row r="9969" spans="23:23">
      <c r="W9969" s="45"/>
    </row>
    <row r="9970" spans="23:23">
      <c r="W9970" s="45"/>
    </row>
    <row r="9971" spans="23:23">
      <c r="W9971" s="45"/>
    </row>
    <row r="9972" spans="23:23">
      <c r="W9972" s="45"/>
    </row>
    <row r="9973" spans="23:23">
      <c r="W9973" s="45"/>
    </row>
    <row r="9974" spans="23:23">
      <c r="W9974" s="45"/>
    </row>
    <row r="9975" spans="23:23">
      <c r="W9975" s="45"/>
    </row>
    <row r="9976" spans="23:23">
      <c r="W9976" s="45"/>
    </row>
    <row r="9977" spans="23:23">
      <c r="W9977" s="45"/>
    </row>
    <row r="9978" spans="23:23">
      <c r="W9978" s="45"/>
    </row>
    <row r="9979" spans="23:23">
      <c r="W9979" s="45"/>
    </row>
    <row r="9980" spans="23:23">
      <c r="W9980" s="45"/>
    </row>
    <row r="9981" spans="23:23">
      <c r="W9981" s="45"/>
    </row>
    <row r="9982" spans="23:23">
      <c r="W9982" s="45"/>
    </row>
    <row r="9983" spans="23:23">
      <c r="W9983" s="45"/>
    </row>
    <row r="9984" spans="23:23">
      <c r="W9984" s="45"/>
    </row>
    <row r="9985" spans="23:23">
      <c r="W9985" s="45"/>
    </row>
    <row r="9986" spans="23:23">
      <c r="W9986" s="45"/>
    </row>
    <row r="9987" spans="23:23">
      <c r="W9987" s="45"/>
    </row>
    <row r="9988" spans="23:23">
      <c r="W9988" s="45"/>
    </row>
    <row r="9989" spans="23:23">
      <c r="W9989" s="45"/>
    </row>
    <row r="9990" spans="23:23">
      <c r="W9990" s="45"/>
    </row>
    <row r="9991" spans="23:23">
      <c r="W9991" s="45"/>
    </row>
    <row r="9992" spans="23:23">
      <c r="W9992" s="45"/>
    </row>
    <row r="9993" spans="23:23">
      <c r="W9993" s="45"/>
    </row>
    <row r="9994" spans="23:23">
      <c r="W9994" s="45"/>
    </row>
    <row r="9995" spans="23:23">
      <c r="W9995" s="45"/>
    </row>
    <row r="9996" spans="23:23">
      <c r="W9996" s="45"/>
    </row>
    <row r="9997" spans="23:23">
      <c r="W9997" s="45"/>
    </row>
    <row r="9998" spans="23:23">
      <c r="W9998" s="45"/>
    </row>
    <row r="9999" spans="23:23">
      <c r="W9999" s="45"/>
    </row>
    <row r="10000" spans="23:23">
      <c r="W10000" s="45"/>
    </row>
    <row r="10001" spans="23:23">
      <c r="W10001" s="45"/>
    </row>
    <row r="10002" spans="23:23">
      <c r="W10002" s="45"/>
    </row>
    <row r="10003" spans="23:23">
      <c r="W10003" s="45"/>
    </row>
    <row r="10004" spans="23:23">
      <c r="W10004" s="45"/>
    </row>
    <row r="10005" spans="23:23">
      <c r="W10005" s="45"/>
    </row>
    <row r="10006" spans="23:23">
      <c r="W10006" s="45"/>
    </row>
    <row r="10007" spans="23:23">
      <c r="W10007" s="45"/>
    </row>
    <row r="10008" spans="23:23">
      <c r="W10008" s="45"/>
    </row>
    <row r="10009" spans="23:23">
      <c r="W10009" s="45"/>
    </row>
    <row r="10010" spans="23:23">
      <c r="W10010" s="45"/>
    </row>
    <row r="10011" spans="23:23">
      <c r="W10011" s="45"/>
    </row>
    <row r="10012" spans="23:23">
      <c r="W10012" s="45"/>
    </row>
    <row r="10013" spans="23:23">
      <c r="W10013" s="45"/>
    </row>
    <row r="10014" spans="23:23">
      <c r="W10014" s="45"/>
    </row>
    <row r="10015" spans="23:23">
      <c r="W10015" s="45"/>
    </row>
    <row r="10016" spans="23:23">
      <c r="W10016" s="45"/>
    </row>
    <row r="10017" spans="23:23">
      <c r="W10017" s="45"/>
    </row>
    <row r="10018" spans="23:23">
      <c r="W10018" s="45"/>
    </row>
    <row r="10019" spans="23:23">
      <c r="W10019" s="45"/>
    </row>
    <row r="10020" spans="23:23">
      <c r="W10020" s="45"/>
    </row>
    <row r="10021" spans="23:23">
      <c r="W10021" s="45"/>
    </row>
    <row r="10022" spans="23:23">
      <c r="W10022" s="45"/>
    </row>
    <row r="10023" spans="23:23">
      <c r="W10023" s="45"/>
    </row>
    <row r="10024" spans="23:23">
      <c r="W10024" s="45"/>
    </row>
    <row r="10025" spans="23:23">
      <c r="W10025" s="45"/>
    </row>
    <row r="10026" spans="23:23">
      <c r="W10026" s="45"/>
    </row>
    <row r="10027" spans="23:23">
      <c r="W10027" s="45"/>
    </row>
    <row r="10028" spans="23:23">
      <c r="W10028" s="45"/>
    </row>
    <row r="10029" spans="23:23">
      <c r="W10029" s="45"/>
    </row>
    <row r="10030" spans="23:23">
      <c r="W10030" s="45"/>
    </row>
    <row r="10031" spans="23:23">
      <c r="W10031" s="45"/>
    </row>
    <row r="10032" spans="23:23">
      <c r="W10032" s="45"/>
    </row>
    <row r="10033" spans="23:23">
      <c r="W10033" s="45"/>
    </row>
    <row r="10034" spans="23:23">
      <c r="W10034" s="45"/>
    </row>
    <row r="10035" spans="23:23">
      <c r="W10035" s="45"/>
    </row>
    <row r="10036" spans="23:23">
      <c r="W10036" s="45"/>
    </row>
    <row r="10037" spans="23:23">
      <c r="W10037" s="45"/>
    </row>
    <row r="10038" spans="23:23">
      <c r="W10038" s="45"/>
    </row>
    <row r="10039" spans="23:23">
      <c r="W10039" s="45"/>
    </row>
    <row r="10040" spans="23:23">
      <c r="W10040" s="45"/>
    </row>
    <row r="10041" spans="23:23">
      <c r="W10041" s="45"/>
    </row>
    <row r="10042" spans="23:23">
      <c r="W10042" s="45"/>
    </row>
    <row r="10043" spans="23:23">
      <c r="W10043" s="45"/>
    </row>
    <row r="10044" spans="23:23">
      <c r="W10044" s="45"/>
    </row>
    <row r="10045" spans="23:23">
      <c r="W10045" s="45"/>
    </row>
    <row r="10046" spans="23:23">
      <c r="W10046" s="45"/>
    </row>
    <row r="10047" spans="23:23">
      <c r="W10047" s="45"/>
    </row>
    <row r="10048" spans="23:23">
      <c r="W10048" s="45"/>
    </row>
    <row r="10049" spans="23:23">
      <c r="W10049" s="45"/>
    </row>
    <row r="10050" spans="23:23">
      <c r="W10050" s="45"/>
    </row>
    <row r="10051" spans="23:23">
      <c r="W10051" s="45"/>
    </row>
    <row r="10052" spans="23:23">
      <c r="W10052" s="45"/>
    </row>
    <row r="10053" spans="23:23">
      <c r="W10053" s="45"/>
    </row>
    <row r="10054" spans="23:23">
      <c r="W10054" s="45"/>
    </row>
    <row r="10055" spans="23:23">
      <c r="W10055" s="45"/>
    </row>
    <row r="10056" spans="23:23">
      <c r="W10056" s="45"/>
    </row>
    <row r="10057" spans="23:23">
      <c r="W10057" s="45"/>
    </row>
    <row r="10058" spans="23:23">
      <c r="W10058" s="45"/>
    </row>
    <row r="10059" spans="23:23">
      <c r="W10059" s="45"/>
    </row>
    <row r="10060" spans="23:23">
      <c r="W10060" s="45"/>
    </row>
    <row r="10061" spans="23:23">
      <c r="W10061" s="45"/>
    </row>
    <row r="10062" spans="23:23">
      <c r="W10062" s="45"/>
    </row>
    <row r="10063" spans="23:23">
      <c r="W10063" s="45"/>
    </row>
    <row r="10064" spans="23:23">
      <c r="W10064" s="45"/>
    </row>
    <row r="10065" spans="23:23">
      <c r="W10065" s="45"/>
    </row>
    <row r="10066" spans="23:23">
      <c r="W10066" s="45"/>
    </row>
    <row r="10067" spans="23:23">
      <c r="W10067" s="45"/>
    </row>
    <row r="10068" spans="23:23">
      <c r="W10068" s="45"/>
    </row>
    <row r="10069" spans="23:23">
      <c r="W10069" s="45"/>
    </row>
    <row r="10070" spans="23:23">
      <c r="W10070" s="45"/>
    </row>
    <row r="10071" spans="23:23">
      <c r="W10071" s="45"/>
    </row>
    <row r="10072" spans="23:23">
      <c r="W10072" s="45"/>
    </row>
    <row r="10073" spans="23:23">
      <c r="W10073" s="45"/>
    </row>
    <row r="10074" spans="23:23">
      <c r="W10074" s="45"/>
    </row>
    <row r="10075" spans="23:23">
      <c r="W10075" s="45"/>
    </row>
    <row r="10076" spans="23:23">
      <c r="W10076" s="45"/>
    </row>
    <row r="10077" spans="23:23">
      <c r="W10077" s="45"/>
    </row>
    <row r="10078" spans="23:23">
      <c r="W10078" s="45"/>
    </row>
    <row r="10079" spans="23:23">
      <c r="W10079" s="45"/>
    </row>
    <row r="10080" spans="23:23">
      <c r="W10080" s="45"/>
    </row>
    <row r="10081" spans="23:23">
      <c r="W10081" s="45"/>
    </row>
    <row r="10082" spans="23:23">
      <c r="W10082" s="45"/>
    </row>
    <row r="10083" spans="23:23">
      <c r="W10083" s="45"/>
    </row>
    <row r="10084" spans="23:23">
      <c r="W10084" s="45"/>
    </row>
    <row r="10085" spans="23:23">
      <c r="W10085" s="45"/>
    </row>
    <row r="10086" spans="23:23">
      <c r="W10086" s="45"/>
    </row>
    <row r="10087" spans="23:23">
      <c r="W10087" s="45"/>
    </row>
    <row r="10088" spans="23:23">
      <c r="W10088" s="45"/>
    </row>
    <row r="10089" spans="23:23">
      <c r="W10089" s="45"/>
    </row>
    <row r="10090" spans="23:23">
      <c r="W10090" s="45"/>
    </row>
    <row r="10091" spans="23:23">
      <c r="W10091" s="45"/>
    </row>
    <row r="10092" spans="23:23">
      <c r="W10092" s="45"/>
    </row>
    <row r="10093" spans="23:23">
      <c r="W10093" s="45"/>
    </row>
    <row r="10094" spans="23:23">
      <c r="W10094" s="45"/>
    </row>
    <row r="10095" spans="23:23">
      <c r="W10095" s="45"/>
    </row>
    <row r="10096" spans="23:23">
      <c r="W10096" s="45"/>
    </row>
    <row r="10097" spans="23:23">
      <c r="W10097" s="45"/>
    </row>
    <row r="10098" spans="23:23">
      <c r="W10098" s="45"/>
    </row>
    <row r="10099" spans="23:23">
      <c r="W10099" s="45"/>
    </row>
    <row r="10100" spans="23:23">
      <c r="W10100" s="45"/>
    </row>
    <row r="10101" spans="23:23">
      <c r="W10101" s="45"/>
    </row>
    <row r="10102" spans="23:23">
      <c r="W10102" s="45"/>
    </row>
    <row r="10103" spans="23:23">
      <c r="W10103" s="45"/>
    </row>
    <row r="10104" spans="23:23">
      <c r="W10104" s="45"/>
    </row>
    <row r="10105" spans="23:23">
      <c r="W10105" s="45"/>
    </row>
    <row r="10106" spans="23:23">
      <c r="W10106" s="45"/>
    </row>
    <row r="10107" spans="23:23">
      <c r="W10107" s="45"/>
    </row>
    <row r="10108" spans="23:23">
      <c r="W10108" s="45"/>
    </row>
    <row r="10109" spans="23:23">
      <c r="W10109" s="45"/>
    </row>
    <row r="10110" spans="23:23">
      <c r="W10110" s="45"/>
    </row>
    <row r="10111" spans="23:23">
      <c r="W10111" s="45"/>
    </row>
    <row r="10112" spans="23:23">
      <c r="W10112" s="45"/>
    </row>
    <row r="10113" spans="23:23">
      <c r="W10113" s="45"/>
    </row>
    <row r="10114" spans="23:23">
      <c r="W10114" s="45"/>
    </row>
    <row r="10115" spans="23:23">
      <c r="W10115" s="45"/>
    </row>
    <row r="10116" spans="23:23">
      <c r="W10116" s="45"/>
    </row>
    <row r="10117" spans="23:23">
      <c r="W10117" s="45"/>
    </row>
    <row r="10118" spans="23:23">
      <c r="W10118" s="45"/>
    </row>
    <row r="10119" spans="23:23">
      <c r="W10119" s="45"/>
    </row>
    <row r="10120" spans="23:23">
      <c r="W10120" s="45"/>
    </row>
    <row r="10121" spans="23:23">
      <c r="W10121" s="45"/>
    </row>
    <row r="10122" spans="23:23">
      <c r="W10122" s="45"/>
    </row>
    <row r="10123" spans="23:23">
      <c r="W10123" s="45"/>
    </row>
    <row r="10124" spans="23:23">
      <c r="W10124" s="45"/>
    </row>
    <row r="10125" spans="23:23">
      <c r="W10125" s="45"/>
    </row>
    <row r="10126" spans="23:23">
      <c r="W10126" s="45"/>
    </row>
    <row r="10127" spans="23:23">
      <c r="W10127" s="45"/>
    </row>
    <row r="10128" spans="23:23">
      <c r="W10128" s="45"/>
    </row>
    <row r="10129" spans="23:23">
      <c r="W10129" s="45"/>
    </row>
    <row r="10130" spans="23:23">
      <c r="W10130" s="45"/>
    </row>
    <row r="10131" spans="23:23">
      <c r="W10131" s="45"/>
    </row>
    <row r="10132" spans="23:23">
      <c r="W10132" s="45"/>
    </row>
    <row r="10133" spans="23:23">
      <c r="W10133" s="45"/>
    </row>
    <row r="10134" spans="23:23">
      <c r="W10134" s="45"/>
    </row>
    <row r="10135" spans="23:23">
      <c r="W10135" s="45"/>
    </row>
    <row r="10136" spans="23:23">
      <c r="W10136" s="45"/>
    </row>
    <row r="10137" spans="23:23">
      <c r="W10137" s="45"/>
    </row>
    <row r="10138" spans="23:23">
      <c r="W10138" s="45"/>
    </row>
    <row r="10139" spans="23:23">
      <c r="W10139" s="45"/>
    </row>
    <row r="10140" spans="23:23">
      <c r="W10140" s="45"/>
    </row>
    <row r="10141" spans="23:23">
      <c r="W10141" s="45"/>
    </row>
    <row r="10142" spans="23:23">
      <c r="W10142" s="45"/>
    </row>
    <row r="10143" spans="23:23">
      <c r="W10143" s="45"/>
    </row>
    <row r="10144" spans="23:23">
      <c r="W10144" s="45"/>
    </row>
    <row r="10145" spans="23:23">
      <c r="W10145" s="45"/>
    </row>
    <row r="10146" spans="23:23">
      <c r="W10146" s="45"/>
    </row>
    <row r="10147" spans="23:23">
      <c r="W10147" s="45"/>
    </row>
    <row r="10148" spans="23:23">
      <c r="W10148" s="45"/>
    </row>
    <row r="10149" spans="23:23">
      <c r="W10149" s="45"/>
    </row>
    <row r="10150" spans="23:23">
      <c r="W10150" s="45"/>
    </row>
    <row r="10151" spans="23:23">
      <c r="W10151" s="45"/>
    </row>
    <row r="10152" spans="23:23">
      <c r="W10152" s="45"/>
    </row>
    <row r="10153" spans="23:23">
      <c r="W10153" s="45"/>
    </row>
    <row r="10154" spans="23:23">
      <c r="W10154" s="45"/>
    </row>
    <row r="10155" spans="23:23">
      <c r="W10155" s="45"/>
    </row>
    <row r="10156" spans="23:23">
      <c r="W10156" s="45"/>
    </row>
    <row r="10157" spans="23:23">
      <c r="W10157" s="45"/>
    </row>
    <row r="10158" spans="23:23">
      <c r="W10158" s="45"/>
    </row>
    <row r="10159" spans="23:23">
      <c r="W10159" s="45"/>
    </row>
    <row r="10160" spans="23:23">
      <c r="W10160" s="45"/>
    </row>
    <row r="10161" spans="23:23">
      <c r="W10161" s="45"/>
    </row>
    <row r="10162" spans="23:23">
      <c r="W10162" s="45"/>
    </row>
    <row r="10163" spans="23:23">
      <c r="W10163" s="45"/>
    </row>
    <row r="10164" spans="23:23">
      <c r="W10164" s="45"/>
    </row>
    <row r="10165" spans="23:23">
      <c r="W10165" s="45"/>
    </row>
    <row r="10166" spans="23:23">
      <c r="W10166" s="45"/>
    </row>
    <row r="10167" spans="23:23">
      <c r="W10167" s="45"/>
    </row>
    <row r="10168" spans="23:23">
      <c r="W10168" s="45"/>
    </row>
    <row r="10169" spans="23:23">
      <c r="W10169" s="45"/>
    </row>
    <row r="10170" spans="23:23">
      <c r="W10170" s="45"/>
    </row>
    <row r="10171" spans="23:23">
      <c r="W10171" s="45"/>
    </row>
    <row r="10172" spans="23:23">
      <c r="W10172" s="45"/>
    </row>
    <row r="10173" spans="23:23">
      <c r="W10173" s="45"/>
    </row>
    <row r="10174" spans="23:23">
      <c r="W10174" s="45"/>
    </row>
    <row r="10175" spans="23:23">
      <c r="W10175" s="45"/>
    </row>
    <row r="10176" spans="23:23">
      <c r="W10176" s="45"/>
    </row>
    <row r="10177" spans="23:23">
      <c r="W10177" s="45"/>
    </row>
    <row r="10178" spans="23:23">
      <c r="W10178" s="45"/>
    </row>
    <row r="10179" spans="23:23">
      <c r="W10179" s="45"/>
    </row>
    <row r="10180" spans="23:23">
      <c r="W10180" s="45"/>
    </row>
    <row r="10181" spans="23:23">
      <c r="W10181" s="45"/>
    </row>
    <row r="10182" spans="23:23">
      <c r="W10182" s="45"/>
    </row>
    <row r="10183" spans="23:23">
      <c r="W10183" s="45"/>
    </row>
    <row r="10184" spans="23:23">
      <c r="W10184" s="45"/>
    </row>
    <row r="10185" spans="23:23">
      <c r="W10185" s="45"/>
    </row>
    <row r="10186" spans="23:23">
      <c r="W10186" s="45"/>
    </row>
    <row r="10187" spans="23:23">
      <c r="W10187" s="45"/>
    </row>
    <row r="10188" spans="23:23">
      <c r="W10188" s="45"/>
    </row>
    <row r="10189" spans="23:23">
      <c r="W10189" s="45"/>
    </row>
    <row r="10190" spans="23:23">
      <c r="W10190" s="45"/>
    </row>
    <row r="10191" spans="23:23">
      <c r="W10191" s="45"/>
    </row>
    <row r="10192" spans="23:23">
      <c r="W10192" s="45"/>
    </row>
    <row r="10193" spans="23:23">
      <c r="W10193" s="45"/>
    </row>
    <row r="10194" spans="23:23">
      <c r="W10194" s="45"/>
    </row>
    <row r="10195" spans="23:23">
      <c r="W10195" s="45"/>
    </row>
    <row r="10196" spans="23:23">
      <c r="W10196" s="45"/>
    </row>
    <row r="10197" spans="23:23">
      <c r="W10197" s="45"/>
    </row>
    <row r="10198" spans="23:23">
      <c r="W10198" s="45"/>
    </row>
    <row r="10199" spans="23:23">
      <c r="W10199" s="45"/>
    </row>
    <row r="10200" spans="23:23">
      <c r="W10200" s="45"/>
    </row>
    <row r="10201" spans="23:23">
      <c r="W10201" s="45"/>
    </row>
    <row r="10202" spans="23:23">
      <c r="W10202" s="45"/>
    </row>
    <row r="10203" spans="23:23">
      <c r="W10203" s="45"/>
    </row>
    <row r="10204" spans="23:23">
      <c r="W10204" s="45"/>
    </row>
    <row r="10205" spans="23:23">
      <c r="W10205" s="45"/>
    </row>
    <row r="10206" spans="23:23">
      <c r="W10206" s="45"/>
    </row>
    <row r="10207" spans="23:23">
      <c r="W10207" s="45"/>
    </row>
    <row r="10208" spans="23:23">
      <c r="W10208" s="45"/>
    </row>
    <row r="10209" spans="23:23">
      <c r="W10209" s="45"/>
    </row>
    <row r="10210" spans="23:23">
      <c r="W10210" s="45"/>
    </row>
    <row r="10211" spans="23:23">
      <c r="W10211" s="45"/>
    </row>
    <row r="10212" spans="23:23">
      <c r="W10212" s="45"/>
    </row>
    <row r="10213" spans="23:23">
      <c r="W10213" s="45"/>
    </row>
    <row r="10214" spans="23:23">
      <c r="W10214" s="45"/>
    </row>
    <row r="10215" spans="23:23">
      <c r="W10215" s="45"/>
    </row>
    <row r="10216" spans="23:23">
      <c r="W10216" s="45"/>
    </row>
    <row r="10217" spans="23:23">
      <c r="W10217" s="45"/>
    </row>
    <row r="10218" spans="23:23">
      <c r="W10218" s="45"/>
    </row>
    <row r="10219" spans="23:23">
      <c r="W10219" s="45"/>
    </row>
    <row r="10220" spans="23:23">
      <c r="W10220" s="45"/>
    </row>
    <row r="10221" spans="23:23">
      <c r="W10221" s="45"/>
    </row>
    <row r="10222" spans="23:23">
      <c r="W10222" s="45"/>
    </row>
    <row r="10223" spans="23:23">
      <c r="W10223" s="45"/>
    </row>
    <row r="10224" spans="23:23">
      <c r="W10224" s="45"/>
    </row>
    <row r="10225" spans="23:23">
      <c r="W10225" s="45"/>
    </row>
    <row r="10226" spans="23:23">
      <c r="W10226" s="45"/>
    </row>
    <row r="10227" spans="23:23">
      <c r="W10227" s="45"/>
    </row>
    <row r="10228" spans="23:23">
      <c r="W10228" s="45"/>
    </row>
    <row r="10229" spans="23:23">
      <c r="W10229" s="45"/>
    </row>
    <row r="10230" spans="23:23">
      <c r="W10230" s="45"/>
    </row>
    <row r="10231" spans="23:23">
      <c r="W10231" s="45"/>
    </row>
    <row r="10232" spans="23:23">
      <c r="W10232" s="45"/>
    </row>
    <row r="10233" spans="23:23">
      <c r="W10233" s="45"/>
    </row>
    <row r="10234" spans="23:23">
      <c r="W10234" s="45"/>
    </row>
    <row r="10235" spans="23:23">
      <c r="W10235" s="45"/>
    </row>
    <row r="10236" spans="23:23">
      <c r="W10236" s="45"/>
    </row>
    <row r="10237" spans="23:23">
      <c r="W10237" s="45"/>
    </row>
    <row r="10238" spans="23:23">
      <c r="W10238" s="45"/>
    </row>
    <row r="10239" spans="23:23">
      <c r="W10239" s="45"/>
    </row>
    <row r="10240" spans="23:23">
      <c r="W10240" s="45"/>
    </row>
    <row r="10241" spans="23:23">
      <c r="W10241" s="45"/>
    </row>
    <row r="10242" spans="23:23">
      <c r="W10242" s="45"/>
    </row>
    <row r="10243" spans="23:23">
      <c r="W10243" s="45"/>
    </row>
    <row r="10244" spans="23:23">
      <c r="W10244" s="45"/>
    </row>
    <row r="10245" spans="23:23">
      <c r="W10245" s="45"/>
    </row>
    <row r="10246" spans="23:23">
      <c r="W10246" s="45"/>
    </row>
    <row r="10247" spans="23:23">
      <c r="W10247" s="45"/>
    </row>
    <row r="10248" spans="23:23">
      <c r="W10248" s="45"/>
    </row>
    <row r="10249" spans="23:23">
      <c r="W10249" s="45"/>
    </row>
    <row r="10250" spans="23:23">
      <c r="W10250" s="45"/>
    </row>
    <row r="10251" spans="23:23">
      <c r="W10251" s="45"/>
    </row>
    <row r="10252" spans="23:23">
      <c r="W10252" s="45"/>
    </row>
    <row r="10253" spans="23:23">
      <c r="W10253" s="45"/>
    </row>
    <row r="10254" spans="23:23">
      <c r="W10254" s="45"/>
    </row>
    <row r="10255" spans="23:23">
      <c r="W10255" s="45"/>
    </row>
    <row r="10256" spans="23:23">
      <c r="W10256" s="45"/>
    </row>
    <row r="10257" spans="23:23">
      <c r="W10257" s="45"/>
    </row>
    <row r="10258" spans="23:23">
      <c r="W10258" s="45"/>
    </row>
    <row r="10259" spans="23:23">
      <c r="W10259" s="45"/>
    </row>
    <row r="10260" spans="23:23">
      <c r="W10260" s="45"/>
    </row>
    <row r="10261" spans="23:23">
      <c r="W10261" s="45"/>
    </row>
    <row r="10262" spans="23:23">
      <c r="W10262" s="45"/>
    </row>
    <row r="10263" spans="23:23">
      <c r="W10263" s="45"/>
    </row>
    <row r="10264" spans="23:23">
      <c r="W10264" s="45"/>
    </row>
    <row r="10265" spans="23:23">
      <c r="W10265" s="45"/>
    </row>
    <row r="10266" spans="23:23">
      <c r="W10266" s="45"/>
    </row>
    <row r="10267" spans="23:23">
      <c r="W10267" s="45"/>
    </row>
    <row r="10268" spans="23:23">
      <c r="W10268" s="45"/>
    </row>
    <row r="10269" spans="23:23">
      <c r="W10269" s="45"/>
    </row>
    <row r="10270" spans="23:23">
      <c r="W10270" s="45"/>
    </row>
    <row r="10271" spans="23:23">
      <c r="W10271" s="45"/>
    </row>
    <row r="10272" spans="23:23">
      <c r="W10272" s="45"/>
    </row>
    <row r="10273" spans="23:23">
      <c r="W10273" s="45"/>
    </row>
    <row r="10274" spans="23:23">
      <c r="W10274" s="45"/>
    </row>
    <row r="10275" spans="23:23">
      <c r="W10275" s="45"/>
    </row>
    <row r="10276" spans="23:23">
      <c r="W10276" s="45"/>
    </row>
    <row r="10277" spans="23:23">
      <c r="W10277" s="45"/>
    </row>
    <row r="10278" spans="23:23">
      <c r="W10278" s="45"/>
    </row>
    <row r="10279" spans="23:23">
      <c r="W10279" s="45"/>
    </row>
    <row r="10280" spans="23:23">
      <c r="W10280" s="45"/>
    </row>
    <row r="10281" spans="23:23">
      <c r="W10281" s="45"/>
    </row>
    <row r="10282" spans="23:23">
      <c r="W10282" s="45"/>
    </row>
    <row r="10283" spans="23:23">
      <c r="W10283" s="45"/>
    </row>
    <row r="10284" spans="23:23">
      <c r="W10284" s="45"/>
    </row>
    <row r="10285" spans="23:23">
      <c r="W10285" s="45"/>
    </row>
    <row r="10286" spans="23:23">
      <c r="W10286" s="45"/>
    </row>
    <row r="10287" spans="23:23">
      <c r="W10287" s="45"/>
    </row>
    <row r="10288" spans="23:23">
      <c r="W10288" s="45"/>
    </row>
    <row r="10289" spans="23:23">
      <c r="W10289" s="45"/>
    </row>
    <row r="10290" spans="23:23">
      <c r="W10290" s="45"/>
    </row>
    <row r="10291" spans="23:23">
      <c r="W10291" s="45"/>
    </row>
    <row r="10292" spans="23:23">
      <c r="W10292" s="45"/>
    </row>
    <row r="10293" spans="23:23">
      <c r="W10293" s="45"/>
    </row>
    <row r="10294" spans="23:23">
      <c r="W10294" s="45"/>
    </row>
    <row r="10295" spans="23:23">
      <c r="W10295" s="45"/>
    </row>
    <row r="10296" spans="23:23">
      <c r="W10296" s="45"/>
    </row>
    <row r="10297" spans="23:23">
      <c r="W10297" s="45"/>
    </row>
    <row r="10298" spans="23:23">
      <c r="W10298" s="45"/>
    </row>
    <row r="10299" spans="23:23">
      <c r="W10299" s="45"/>
    </row>
    <row r="10300" spans="23:23">
      <c r="W10300" s="45"/>
    </row>
    <row r="10301" spans="23:23">
      <c r="W10301" s="45"/>
    </row>
    <row r="10302" spans="23:23">
      <c r="W10302" s="45"/>
    </row>
    <row r="10303" spans="23:23">
      <c r="W10303" s="45"/>
    </row>
    <row r="10304" spans="23:23">
      <c r="W10304" s="45"/>
    </row>
    <row r="10305" spans="23:23">
      <c r="W10305" s="45"/>
    </row>
    <row r="10306" spans="23:23">
      <c r="W10306" s="45"/>
    </row>
    <row r="10307" spans="23:23">
      <c r="W10307" s="45"/>
    </row>
    <row r="10308" spans="23:23">
      <c r="W10308" s="45"/>
    </row>
    <row r="10309" spans="23:23">
      <c r="W10309" s="45"/>
    </row>
    <row r="10310" spans="23:23">
      <c r="W10310" s="45"/>
    </row>
    <row r="10311" spans="23:23">
      <c r="W10311" s="45"/>
    </row>
    <row r="10312" spans="23:23">
      <c r="W10312" s="45"/>
    </row>
    <row r="10313" spans="23:23">
      <c r="W10313" s="45"/>
    </row>
    <row r="10314" spans="23:23">
      <c r="W10314" s="45"/>
    </row>
    <row r="10315" spans="23:23">
      <c r="W10315" s="45"/>
    </row>
    <row r="10316" spans="23:23">
      <c r="W10316" s="45"/>
    </row>
    <row r="10317" spans="23:23">
      <c r="W10317" s="45"/>
    </row>
    <row r="10318" spans="23:23">
      <c r="W10318" s="45"/>
    </row>
    <row r="10319" spans="23:23">
      <c r="W10319" s="45"/>
    </row>
    <row r="10320" spans="23:23">
      <c r="W10320" s="45"/>
    </row>
    <row r="10321" spans="23:23">
      <c r="W10321" s="45"/>
    </row>
    <row r="10322" spans="23:23">
      <c r="W10322" s="45"/>
    </row>
    <row r="10323" spans="23:23">
      <c r="W10323" s="45"/>
    </row>
    <row r="10324" spans="23:23">
      <c r="W10324" s="45"/>
    </row>
    <row r="10325" spans="23:23">
      <c r="W10325" s="45"/>
    </row>
    <row r="10326" spans="23:23">
      <c r="W10326" s="45"/>
    </row>
    <row r="10327" spans="23:23">
      <c r="W10327" s="45"/>
    </row>
    <row r="10328" spans="23:23">
      <c r="W10328" s="45"/>
    </row>
    <row r="10329" spans="23:23">
      <c r="W10329" s="45"/>
    </row>
    <row r="10330" spans="23:23">
      <c r="W10330" s="45"/>
    </row>
    <row r="10331" spans="23:23">
      <c r="W10331" s="45"/>
    </row>
    <row r="10332" spans="23:23">
      <c r="W10332" s="45"/>
    </row>
    <row r="10333" spans="23:23">
      <c r="W10333" s="45"/>
    </row>
    <row r="10334" spans="23:23">
      <c r="W10334" s="45"/>
    </row>
    <row r="10335" spans="23:23">
      <c r="W10335" s="45"/>
    </row>
    <row r="10336" spans="23:23">
      <c r="W10336" s="45"/>
    </row>
    <row r="10337" spans="23:23">
      <c r="W10337" s="45"/>
    </row>
    <row r="10338" spans="23:23">
      <c r="W10338" s="45"/>
    </row>
    <row r="10339" spans="23:23">
      <c r="W10339" s="45"/>
    </row>
    <row r="10340" spans="23:23">
      <c r="W10340" s="45"/>
    </row>
    <row r="10341" spans="23:23">
      <c r="W10341" s="45"/>
    </row>
    <row r="10342" spans="23:23">
      <c r="W10342" s="45"/>
    </row>
    <row r="10343" spans="23:23">
      <c r="W10343" s="45"/>
    </row>
    <row r="10344" spans="23:23">
      <c r="W10344" s="45"/>
    </row>
    <row r="10345" spans="23:23">
      <c r="W10345" s="45"/>
    </row>
    <row r="10346" spans="23:23">
      <c r="W10346" s="45"/>
    </row>
    <row r="10347" spans="23:23">
      <c r="W10347" s="45"/>
    </row>
    <row r="10348" spans="23:23">
      <c r="W10348" s="45"/>
    </row>
    <row r="10349" spans="23:23">
      <c r="W10349" s="45"/>
    </row>
    <row r="10350" spans="23:23">
      <c r="W10350" s="45"/>
    </row>
    <row r="10351" spans="23:23">
      <c r="W10351" s="45"/>
    </row>
    <row r="10352" spans="23:23">
      <c r="W10352" s="45"/>
    </row>
    <row r="10353" spans="23:23">
      <c r="W10353" s="45"/>
    </row>
    <row r="10354" spans="23:23">
      <c r="W10354" s="45"/>
    </row>
    <row r="10355" spans="23:23">
      <c r="W10355" s="45"/>
    </row>
    <row r="10356" spans="23:23">
      <c r="W10356" s="45"/>
    </row>
    <row r="10357" spans="23:23">
      <c r="W10357" s="45"/>
    </row>
    <row r="10358" spans="23:23">
      <c r="W10358" s="45"/>
    </row>
    <row r="10359" spans="23:23">
      <c r="W10359" s="45"/>
    </row>
    <row r="10360" spans="23:23">
      <c r="W10360" s="45"/>
    </row>
    <row r="10361" spans="23:23">
      <c r="W10361" s="45"/>
    </row>
    <row r="10362" spans="23:23">
      <c r="W10362" s="45"/>
    </row>
    <row r="10363" spans="23:23">
      <c r="W10363" s="45"/>
    </row>
    <row r="10364" spans="23:23">
      <c r="W10364" s="45"/>
    </row>
    <row r="10365" spans="23:23">
      <c r="W10365" s="45"/>
    </row>
    <row r="10366" spans="23:23">
      <c r="W10366" s="45"/>
    </row>
    <row r="10367" spans="23:23">
      <c r="W10367" s="45"/>
    </row>
    <row r="10368" spans="23:23">
      <c r="W10368" s="45"/>
    </row>
    <row r="10369" spans="23:23">
      <c r="W10369" s="45"/>
    </row>
    <row r="10370" spans="23:23">
      <c r="W10370" s="45"/>
    </row>
    <row r="10371" spans="23:23">
      <c r="W10371" s="45"/>
    </row>
    <row r="10372" spans="23:23">
      <c r="W10372" s="45"/>
    </row>
    <row r="10373" spans="23:23">
      <c r="W10373" s="45"/>
    </row>
    <row r="10374" spans="23:23">
      <c r="W10374" s="45"/>
    </row>
    <row r="10375" spans="23:23">
      <c r="W10375" s="45"/>
    </row>
    <row r="10376" spans="23:23">
      <c r="W10376" s="45"/>
    </row>
    <row r="10377" spans="23:23">
      <c r="W10377" s="45"/>
    </row>
    <row r="10378" spans="23:23">
      <c r="W10378" s="45"/>
    </row>
    <row r="10379" spans="23:23">
      <c r="W10379" s="45"/>
    </row>
    <row r="10380" spans="23:23">
      <c r="W10380" s="45"/>
    </row>
    <row r="10381" spans="23:23">
      <c r="W10381" s="45"/>
    </row>
    <row r="10382" spans="23:23">
      <c r="W10382" s="45"/>
    </row>
    <row r="10383" spans="23:23">
      <c r="W10383" s="45"/>
    </row>
    <row r="10384" spans="23:23">
      <c r="W10384" s="45"/>
    </row>
    <row r="10385" spans="23:23">
      <c r="W10385" s="45"/>
    </row>
    <row r="10386" spans="23:23">
      <c r="W10386" s="45"/>
    </row>
    <row r="10387" spans="23:23">
      <c r="W10387" s="45"/>
    </row>
    <row r="10388" spans="23:23">
      <c r="W10388" s="45"/>
    </row>
    <row r="10389" spans="23:23">
      <c r="W10389" s="45"/>
    </row>
    <row r="10390" spans="23:23">
      <c r="W10390" s="45"/>
    </row>
    <row r="10391" spans="23:23">
      <c r="W10391" s="45"/>
    </row>
    <row r="10392" spans="23:23">
      <c r="W10392" s="45"/>
    </row>
    <row r="10393" spans="23:23">
      <c r="W10393" s="45"/>
    </row>
    <row r="10394" spans="23:23">
      <c r="W10394" s="45"/>
    </row>
    <row r="10395" spans="23:23">
      <c r="W10395" s="45"/>
    </row>
    <row r="10396" spans="23:23">
      <c r="W10396" s="45"/>
    </row>
    <row r="10397" spans="23:23">
      <c r="W10397" s="45"/>
    </row>
    <row r="10398" spans="23:23">
      <c r="W10398" s="45"/>
    </row>
    <row r="10399" spans="23:23">
      <c r="W10399" s="45"/>
    </row>
    <row r="10400" spans="23:23">
      <c r="W10400" s="45"/>
    </row>
    <row r="10401" spans="23:23">
      <c r="W10401" s="45"/>
    </row>
    <row r="10402" spans="23:23">
      <c r="W10402" s="45"/>
    </row>
    <row r="10403" spans="23:23">
      <c r="W10403" s="45"/>
    </row>
    <row r="10404" spans="23:23">
      <c r="W10404" s="45"/>
    </row>
    <row r="10405" spans="23:23">
      <c r="W10405" s="45"/>
    </row>
    <row r="10406" spans="23:23">
      <c r="W10406" s="45"/>
    </row>
    <row r="10407" spans="23:23">
      <c r="W10407" s="45"/>
    </row>
    <row r="10408" spans="23:23">
      <c r="W10408" s="45"/>
    </row>
    <row r="10409" spans="23:23">
      <c r="W10409" s="45"/>
    </row>
    <row r="10410" spans="23:23">
      <c r="W10410" s="45"/>
    </row>
    <row r="10411" spans="23:23">
      <c r="W10411" s="45"/>
    </row>
    <row r="10412" spans="23:23">
      <c r="W10412" s="45"/>
    </row>
    <row r="10413" spans="23:23">
      <c r="W10413" s="45"/>
    </row>
    <row r="10414" spans="23:23">
      <c r="W10414" s="45"/>
    </row>
    <row r="10415" spans="23:23">
      <c r="W10415" s="45"/>
    </row>
    <row r="10416" spans="23:23">
      <c r="W10416" s="45"/>
    </row>
    <row r="10417" spans="23:23">
      <c r="W10417" s="45"/>
    </row>
    <row r="10418" spans="23:23">
      <c r="W10418" s="45"/>
    </row>
    <row r="10419" spans="23:23">
      <c r="W10419" s="45"/>
    </row>
    <row r="10420" spans="23:23">
      <c r="W10420" s="45"/>
    </row>
    <row r="10421" spans="23:23">
      <c r="W10421" s="45"/>
    </row>
    <row r="10422" spans="23:23">
      <c r="W10422" s="45"/>
    </row>
    <row r="10423" spans="23:23">
      <c r="W10423" s="45"/>
    </row>
    <row r="10424" spans="23:23">
      <c r="W10424" s="45"/>
    </row>
    <row r="10425" spans="23:23">
      <c r="W10425" s="45"/>
    </row>
    <row r="10426" spans="23:23">
      <c r="W10426" s="45"/>
    </row>
    <row r="10427" spans="23:23">
      <c r="W10427" s="45"/>
    </row>
    <row r="10428" spans="23:23">
      <c r="W10428" s="45"/>
    </row>
    <row r="10429" spans="23:23">
      <c r="W10429" s="45"/>
    </row>
    <row r="10430" spans="23:23">
      <c r="W10430" s="45"/>
    </row>
    <row r="10431" spans="23:23">
      <c r="W10431" s="45"/>
    </row>
    <row r="10432" spans="23:23">
      <c r="W10432" s="45"/>
    </row>
    <row r="10433" spans="23:23">
      <c r="W10433" s="45"/>
    </row>
    <row r="10434" spans="23:23">
      <c r="W10434" s="45"/>
    </row>
    <row r="10435" spans="23:23">
      <c r="W10435" s="45"/>
    </row>
    <row r="10436" spans="23:23">
      <c r="W10436" s="45"/>
    </row>
    <row r="10437" spans="23:23">
      <c r="W10437" s="45"/>
    </row>
    <row r="10438" spans="23:23">
      <c r="W10438" s="45"/>
    </row>
    <row r="10439" spans="23:23">
      <c r="W10439" s="45"/>
    </row>
    <row r="10440" spans="23:23">
      <c r="W10440" s="45"/>
    </row>
    <row r="10441" spans="23:23">
      <c r="W10441" s="45"/>
    </row>
    <row r="10442" spans="23:23">
      <c r="W10442" s="45"/>
    </row>
    <row r="10443" spans="23:23">
      <c r="W10443" s="45"/>
    </row>
    <row r="10444" spans="23:23">
      <c r="W10444" s="45"/>
    </row>
    <row r="10445" spans="23:23">
      <c r="W10445" s="45"/>
    </row>
    <row r="10446" spans="23:23">
      <c r="W10446" s="45"/>
    </row>
    <row r="10447" spans="23:23">
      <c r="W10447" s="45"/>
    </row>
    <row r="10448" spans="23:23">
      <c r="W10448" s="45"/>
    </row>
    <row r="10449" spans="23:23">
      <c r="W10449" s="45"/>
    </row>
    <row r="10450" spans="23:23">
      <c r="W10450" s="45"/>
    </row>
    <row r="10451" spans="23:23">
      <c r="W10451" s="45"/>
    </row>
    <row r="10452" spans="23:23">
      <c r="W10452" s="45"/>
    </row>
    <row r="10453" spans="23:23">
      <c r="W10453" s="45"/>
    </row>
    <row r="10454" spans="23:23">
      <c r="W10454" s="45"/>
    </row>
    <row r="10455" spans="23:23">
      <c r="W10455" s="45"/>
    </row>
    <row r="10456" spans="23:23">
      <c r="W10456" s="45"/>
    </row>
    <row r="10457" spans="23:23">
      <c r="W10457" s="45"/>
    </row>
    <row r="10458" spans="23:23">
      <c r="W10458" s="45"/>
    </row>
    <row r="10459" spans="23:23">
      <c r="W10459" s="45"/>
    </row>
    <row r="10460" spans="23:23">
      <c r="W10460" s="45"/>
    </row>
    <row r="10461" spans="23:23">
      <c r="W10461" s="45"/>
    </row>
    <row r="10462" spans="23:23">
      <c r="W10462" s="45"/>
    </row>
    <row r="10463" spans="23:23">
      <c r="W10463" s="45"/>
    </row>
    <row r="10464" spans="23:23">
      <c r="W10464" s="45"/>
    </row>
    <row r="10465" spans="23:23">
      <c r="W10465" s="45"/>
    </row>
    <row r="10466" spans="23:23">
      <c r="W10466" s="45"/>
    </row>
    <row r="10467" spans="23:23">
      <c r="W10467" s="45"/>
    </row>
    <row r="10468" spans="23:23">
      <c r="W10468" s="45"/>
    </row>
    <row r="10469" spans="23:23">
      <c r="W10469" s="45"/>
    </row>
    <row r="10470" spans="23:23">
      <c r="W10470" s="45"/>
    </row>
    <row r="10471" spans="23:23">
      <c r="W10471" s="45"/>
    </row>
    <row r="10472" spans="23:23">
      <c r="W10472" s="45"/>
    </row>
    <row r="10473" spans="23:23">
      <c r="W10473" s="45"/>
    </row>
    <row r="10474" spans="23:23">
      <c r="W10474" s="45"/>
    </row>
    <row r="10475" spans="23:23">
      <c r="W10475" s="45"/>
    </row>
    <row r="10476" spans="23:23">
      <c r="W10476" s="45"/>
    </row>
    <row r="10477" spans="23:23">
      <c r="W10477" s="45"/>
    </row>
    <row r="10478" spans="23:23">
      <c r="W10478" s="45"/>
    </row>
    <row r="10479" spans="23:23">
      <c r="W10479" s="45"/>
    </row>
    <row r="10480" spans="23:23">
      <c r="W10480" s="45"/>
    </row>
    <row r="10481" spans="23:23">
      <c r="W10481" s="45"/>
    </row>
    <row r="10482" spans="23:23">
      <c r="W10482" s="45"/>
    </row>
    <row r="10483" spans="23:23">
      <c r="W10483" s="45"/>
    </row>
    <row r="10484" spans="23:23">
      <c r="W10484" s="45"/>
    </row>
    <row r="10485" spans="23:23">
      <c r="W10485" s="45"/>
    </row>
    <row r="10486" spans="23:23">
      <c r="W10486" s="45"/>
    </row>
    <row r="10487" spans="23:23">
      <c r="W10487" s="45"/>
    </row>
    <row r="10488" spans="23:23">
      <c r="W10488" s="45"/>
    </row>
    <row r="10489" spans="23:23">
      <c r="W10489" s="45"/>
    </row>
    <row r="10490" spans="23:23">
      <c r="W10490" s="45"/>
    </row>
    <row r="10491" spans="23:23">
      <c r="W10491" s="45"/>
    </row>
    <row r="10492" spans="23:23">
      <c r="W10492" s="45"/>
    </row>
    <row r="10493" spans="23:23">
      <c r="W10493" s="45"/>
    </row>
    <row r="10494" spans="23:23">
      <c r="W10494" s="45"/>
    </row>
    <row r="10495" spans="23:23">
      <c r="W10495" s="45"/>
    </row>
    <row r="10496" spans="23:23">
      <c r="W10496" s="45"/>
    </row>
    <row r="10497" spans="23:23">
      <c r="W10497" s="45"/>
    </row>
    <row r="10498" spans="23:23">
      <c r="W10498" s="45"/>
    </row>
    <row r="10499" spans="23:23">
      <c r="W10499" s="45"/>
    </row>
    <row r="10500" spans="23:23">
      <c r="W10500" s="45"/>
    </row>
    <row r="10501" spans="23:23">
      <c r="W10501" s="45"/>
    </row>
    <row r="10502" spans="23:23">
      <c r="W10502" s="45"/>
    </row>
    <row r="10503" spans="23:23">
      <c r="W10503" s="45"/>
    </row>
    <row r="10504" spans="23:23">
      <c r="W10504" s="45"/>
    </row>
    <row r="10505" spans="23:23">
      <c r="W10505" s="45"/>
    </row>
    <row r="10506" spans="23:23">
      <c r="W10506" s="45"/>
    </row>
    <row r="10507" spans="23:23">
      <c r="W10507" s="45"/>
    </row>
    <row r="10508" spans="23:23">
      <c r="W10508" s="45"/>
    </row>
    <row r="10509" spans="23:23">
      <c r="W10509" s="45"/>
    </row>
    <row r="10510" spans="23:23">
      <c r="W10510" s="45"/>
    </row>
    <row r="10511" spans="23:23">
      <c r="W10511" s="45"/>
    </row>
    <row r="10512" spans="23:23">
      <c r="W10512" s="45"/>
    </row>
    <row r="10513" spans="23:23">
      <c r="W10513" s="45"/>
    </row>
    <row r="10514" spans="23:23">
      <c r="W10514" s="45"/>
    </row>
    <row r="10515" spans="23:23">
      <c r="W10515" s="45"/>
    </row>
    <row r="10516" spans="23:23">
      <c r="W10516" s="45"/>
    </row>
    <row r="10517" spans="23:23">
      <c r="W10517" s="45"/>
    </row>
    <row r="10518" spans="23:23">
      <c r="W10518" s="45"/>
    </row>
    <row r="10519" spans="23:23">
      <c r="W10519" s="45"/>
    </row>
    <row r="10520" spans="23:23">
      <c r="W10520" s="45"/>
    </row>
    <row r="10521" spans="23:23">
      <c r="W10521" s="45"/>
    </row>
    <row r="10522" spans="23:23">
      <c r="W10522" s="45"/>
    </row>
    <row r="10523" spans="23:23">
      <c r="W10523" s="45"/>
    </row>
    <row r="10524" spans="23:23">
      <c r="W10524" s="45"/>
    </row>
    <row r="10525" spans="23:23">
      <c r="W10525" s="45"/>
    </row>
    <row r="10526" spans="23:23">
      <c r="W10526" s="45"/>
    </row>
    <row r="10527" spans="23:23">
      <c r="W10527" s="45"/>
    </row>
    <row r="10528" spans="23:23">
      <c r="W10528" s="45"/>
    </row>
    <row r="10529" spans="23:23">
      <c r="W10529" s="45"/>
    </row>
    <row r="10530" spans="23:23">
      <c r="W10530" s="45"/>
    </row>
    <row r="10531" spans="23:23">
      <c r="W10531" s="45"/>
    </row>
    <row r="10532" spans="23:23">
      <c r="W10532" s="45"/>
    </row>
    <row r="10533" spans="23:23">
      <c r="W10533" s="45"/>
    </row>
    <row r="10534" spans="23:23">
      <c r="W10534" s="45"/>
    </row>
    <row r="10535" spans="23:23">
      <c r="W10535" s="45"/>
    </row>
    <row r="10536" spans="23:23">
      <c r="W10536" s="45"/>
    </row>
    <row r="10537" spans="23:23">
      <c r="W10537" s="45"/>
    </row>
    <row r="10538" spans="23:23">
      <c r="W10538" s="45"/>
    </row>
    <row r="10539" spans="23:23">
      <c r="W10539" s="45"/>
    </row>
    <row r="10540" spans="23:23">
      <c r="W10540" s="45"/>
    </row>
    <row r="10541" spans="23:23">
      <c r="W10541" s="45"/>
    </row>
    <row r="10542" spans="23:23">
      <c r="W10542" s="45"/>
    </row>
    <row r="10543" spans="23:23">
      <c r="W10543" s="45"/>
    </row>
    <row r="10544" spans="23:23">
      <c r="W10544" s="45"/>
    </row>
    <row r="10545" spans="23:23">
      <c r="W10545" s="45"/>
    </row>
    <row r="10546" spans="23:23">
      <c r="W10546" s="45"/>
    </row>
    <row r="10547" spans="23:23">
      <c r="W10547" s="45"/>
    </row>
    <row r="10548" spans="23:23">
      <c r="W10548" s="45"/>
    </row>
    <row r="10549" spans="23:23">
      <c r="W10549" s="45"/>
    </row>
    <row r="10550" spans="23:23">
      <c r="W10550" s="45"/>
    </row>
    <row r="10551" spans="23:23">
      <c r="W10551" s="45"/>
    </row>
    <row r="10552" spans="23:23">
      <c r="W10552" s="45"/>
    </row>
    <row r="10553" spans="23:23">
      <c r="W10553" s="45"/>
    </row>
    <row r="10554" spans="23:23">
      <c r="W10554" s="45"/>
    </row>
    <row r="10555" spans="23:23">
      <c r="W10555" s="45"/>
    </row>
    <row r="10556" spans="23:23">
      <c r="W10556" s="45"/>
    </row>
    <row r="10557" spans="23:23">
      <c r="W10557" s="45"/>
    </row>
    <row r="10558" spans="23:23">
      <c r="W10558" s="45"/>
    </row>
    <row r="10559" spans="23:23">
      <c r="W10559" s="45"/>
    </row>
    <row r="10560" spans="23:23">
      <c r="W10560" s="45"/>
    </row>
    <row r="10561" spans="23:23">
      <c r="W10561" s="45"/>
    </row>
    <row r="10562" spans="23:23">
      <c r="W10562" s="45"/>
    </row>
    <row r="10563" spans="23:23">
      <c r="W10563" s="45"/>
    </row>
    <row r="10564" spans="23:23">
      <c r="W10564" s="45"/>
    </row>
    <row r="10565" spans="23:23">
      <c r="W10565" s="45"/>
    </row>
    <row r="10566" spans="23:23">
      <c r="W10566" s="45"/>
    </row>
    <row r="10567" spans="23:23">
      <c r="W10567" s="45"/>
    </row>
    <row r="10568" spans="23:23">
      <c r="W10568" s="45"/>
    </row>
    <row r="10569" spans="23:23">
      <c r="W10569" s="45"/>
    </row>
    <row r="10570" spans="23:23">
      <c r="W10570" s="45"/>
    </row>
    <row r="10571" spans="23:23">
      <c r="W10571" s="45"/>
    </row>
    <row r="10572" spans="23:23">
      <c r="W10572" s="45"/>
    </row>
    <row r="10573" spans="23:23">
      <c r="W10573" s="45"/>
    </row>
    <row r="10574" spans="23:23">
      <c r="W10574" s="45"/>
    </row>
    <row r="10575" spans="23:23">
      <c r="W10575" s="45"/>
    </row>
    <row r="10576" spans="23:23">
      <c r="W10576" s="45"/>
    </row>
    <row r="10577" spans="23:23">
      <c r="W10577" s="45"/>
    </row>
    <row r="10578" spans="23:23">
      <c r="W10578" s="45"/>
    </row>
    <row r="10579" spans="23:23">
      <c r="W10579" s="45"/>
    </row>
    <row r="10580" spans="23:23">
      <c r="W10580" s="45"/>
    </row>
    <row r="10581" spans="23:23">
      <c r="W10581" s="45"/>
    </row>
    <row r="10582" spans="23:23">
      <c r="W10582" s="45"/>
    </row>
    <row r="10583" spans="23:23">
      <c r="W10583" s="45"/>
    </row>
    <row r="10584" spans="23:23">
      <c r="W10584" s="45"/>
    </row>
    <row r="10585" spans="23:23">
      <c r="W10585" s="45"/>
    </row>
    <row r="10586" spans="23:23">
      <c r="W10586" s="45"/>
    </row>
    <row r="10587" spans="23:23">
      <c r="W10587" s="45"/>
    </row>
    <row r="10588" spans="23:23">
      <c r="W10588" s="45"/>
    </row>
    <row r="10589" spans="23:23">
      <c r="W10589" s="45"/>
    </row>
    <row r="10590" spans="23:23">
      <c r="W10590" s="45"/>
    </row>
    <row r="10591" spans="23:23">
      <c r="W10591" s="45"/>
    </row>
    <row r="10592" spans="23:23">
      <c r="W10592" s="45"/>
    </row>
    <row r="10593" spans="23:23">
      <c r="W10593" s="45"/>
    </row>
    <row r="10594" spans="23:23">
      <c r="W10594" s="45"/>
    </row>
    <row r="10595" spans="23:23">
      <c r="W10595" s="45"/>
    </row>
    <row r="10596" spans="23:23">
      <c r="W10596" s="45"/>
    </row>
    <row r="10597" spans="23:23">
      <c r="W10597" s="45"/>
    </row>
    <row r="10598" spans="23:23">
      <c r="W10598" s="45"/>
    </row>
    <row r="10599" spans="23:23">
      <c r="W10599" s="45"/>
    </row>
    <row r="10600" spans="23:23">
      <c r="W10600" s="45"/>
    </row>
    <row r="10601" spans="23:23">
      <c r="W10601" s="45"/>
    </row>
    <row r="10602" spans="23:23">
      <c r="W10602" s="45"/>
    </row>
    <row r="10603" spans="23:23">
      <c r="W10603" s="45"/>
    </row>
    <row r="10604" spans="23:23">
      <c r="W10604" s="45"/>
    </row>
    <row r="10605" spans="23:23">
      <c r="W10605" s="45"/>
    </row>
    <row r="10606" spans="23:23">
      <c r="W10606" s="45"/>
    </row>
    <row r="10607" spans="23:23">
      <c r="W10607" s="45"/>
    </row>
    <row r="10608" spans="23:23">
      <c r="W10608" s="45"/>
    </row>
    <row r="10609" spans="23:23">
      <c r="W10609" s="45"/>
    </row>
    <row r="10610" spans="23:23">
      <c r="W10610" s="45"/>
    </row>
    <row r="10611" spans="23:23">
      <c r="W10611" s="45"/>
    </row>
    <row r="10612" spans="23:23">
      <c r="W10612" s="45"/>
    </row>
    <row r="10613" spans="23:23">
      <c r="W10613" s="45"/>
    </row>
    <row r="10614" spans="23:23">
      <c r="W10614" s="45"/>
    </row>
    <row r="10615" spans="23:23">
      <c r="W10615" s="45"/>
    </row>
    <row r="10616" spans="23:23">
      <c r="W10616" s="45"/>
    </row>
    <row r="10617" spans="23:23">
      <c r="W10617" s="45"/>
    </row>
    <row r="10618" spans="23:23">
      <c r="W10618" s="45"/>
    </row>
    <row r="10619" spans="23:23">
      <c r="W10619" s="45"/>
    </row>
    <row r="10620" spans="23:23">
      <c r="W10620" s="45"/>
    </row>
    <row r="10621" spans="23:23">
      <c r="W10621" s="45"/>
    </row>
    <row r="10622" spans="23:23">
      <c r="W10622" s="45"/>
    </row>
    <row r="10623" spans="23:23">
      <c r="W10623" s="45"/>
    </row>
    <row r="10624" spans="23:23">
      <c r="W10624" s="45"/>
    </row>
    <row r="10625" spans="23:23">
      <c r="W10625" s="45"/>
    </row>
    <row r="10626" spans="23:23">
      <c r="W10626" s="45"/>
    </row>
    <row r="10627" spans="23:23">
      <c r="W10627" s="45"/>
    </row>
    <row r="10628" spans="23:23">
      <c r="W10628" s="45"/>
    </row>
    <row r="10629" spans="23:23">
      <c r="W10629" s="45"/>
    </row>
    <row r="10630" spans="23:23">
      <c r="W10630" s="45"/>
    </row>
    <row r="10631" spans="23:23">
      <c r="W10631" s="45"/>
    </row>
    <row r="10632" spans="23:23">
      <c r="W10632" s="45"/>
    </row>
    <row r="10633" spans="23:23">
      <c r="W10633" s="45"/>
    </row>
    <row r="10634" spans="23:23">
      <c r="W10634" s="45"/>
    </row>
    <row r="10635" spans="23:23">
      <c r="W10635" s="45"/>
    </row>
    <row r="10636" spans="23:23">
      <c r="W10636" s="45"/>
    </row>
    <row r="10637" spans="23:23">
      <c r="W10637" s="45"/>
    </row>
    <row r="10638" spans="23:23">
      <c r="W10638" s="45"/>
    </row>
    <row r="10639" spans="23:23">
      <c r="W10639" s="45"/>
    </row>
    <row r="10640" spans="23:23">
      <c r="W10640" s="45"/>
    </row>
    <row r="10641" spans="23:23">
      <c r="W10641" s="45"/>
    </row>
    <row r="10642" spans="23:23">
      <c r="W10642" s="45"/>
    </row>
    <row r="10643" spans="23:23">
      <c r="W10643" s="45"/>
    </row>
    <row r="10644" spans="23:23">
      <c r="W10644" s="45"/>
    </row>
    <row r="10645" spans="23:23">
      <c r="W10645" s="45"/>
    </row>
    <row r="10646" spans="23:23">
      <c r="W10646" s="45"/>
    </row>
    <row r="10647" spans="23:23">
      <c r="W10647" s="45"/>
    </row>
    <row r="10648" spans="23:23">
      <c r="W10648" s="45"/>
    </row>
    <row r="10649" spans="23:23">
      <c r="W10649" s="45"/>
    </row>
    <row r="10650" spans="23:23">
      <c r="W10650" s="45"/>
    </row>
    <row r="10651" spans="23:23">
      <c r="W10651" s="45"/>
    </row>
    <row r="10652" spans="23:23">
      <c r="W10652" s="45"/>
    </row>
    <row r="10653" spans="23:23">
      <c r="W10653" s="45"/>
    </row>
    <row r="10654" spans="23:23">
      <c r="W10654" s="45"/>
    </row>
    <row r="10655" spans="23:23">
      <c r="W10655" s="45"/>
    </row>
    <row r="10656" spans="23:23">
      <c r="W10656" s="45"/>
    </row>
    <row r="10657" spans="23:23">
      <c r="W10657" s="45"/>
    </row>
    <row r="10658" spans="23:23">
      <c r="W10658" s="45"/>
    </row>
    <row r="10659" spans="23:23">
      <c r="W10659" s="45"/>
    </row>
    <row r="10660" spans="23:23">
      <c r="W10660" s="45"/>
    </row>
    <row r="10661" spans="23:23">
      <c r="W10661" s="45"/>
    </row>
    <row r="10662" spans="23:23">
      <c r="W10662" s="45"/>
    </row>
    <row r="10663" spans="23:23">
      <c r="W10663" s="45"/>
    </row>
    <row r="10664" spans="23:23">
      <c r="W10664" s="45"/>
    </row>
    <row r="10665" spans="23:23">
      <c r="W10665" s="45"/>
    </row>
    <row r="10666" spans="23:23">
      <c r="W10666" s="45"/>
    </row>
    <row r="10667" spans="23:23">
      <c r="W10667" s="45"/>
    </row>
    <row r="10668" spans="23:23">
      <c r="W10668" s="45"/>
    </row>
    <row r="10669" spans="23:23">
      <c r="W10669" s="45"/>
    </row>
    <row r="10670" spans="23:23">
      <c r="W10670" s="45"/>
    </row>
    <row r="10671" spans="23:23">
      <c r="W10671" s="45"/>
    </row>
    <row r="10672" spans="23:23">
      <c r="W10672" s="45"/>
    </row>
    <row r="10673" spans="23:23">
      <c r="W10673" s="45"/>
    </row>
    <row r="10674" spans="23:23">
      <c r="W10674" s="45"/>
    </row>
    <row r="10675" spans="23:23">
      <c r="W10675" s="45"/>
    </row>
    <row r="10676" spans="23:23">
      <c r="W10676" s="45"/>
    </row>
    <row r="10677" spans="23:23">
      <c r="W10677" s="45"/>
    </row>
    <row r="10678" spans="23:23">
      <c r="W10678" s="45"/>
    </row>
    <row r="10679" spans="23:23">
      <c r="W10679" s="45"/>
    </row>
    <row r="10680" spans="23:23">
      <c r="W10680" s="45"/>
    </row>
    <row r="10681" spans="23:23">
      <c r="W10681" s="45"/>
    </row>
    <row r="10682" spans="23:23">
      <c r="W10682" s="45"/>
    </row>
    <row r="10683" spans="23:23">
      <c r="W10683" s="45"/>
    </row>
    <row r="10684" spans="23:23">
      <c r="W10684" s="45"/>
    </row>
    <row r="10685" spans="23:23">
      <c r="W10685" s="45"/>
    </row>
    <row r="10686" spans="23:23">
      <c r="W10686" s="45"/>
    </row>
    <row r="10687" spans="23:23">
      <c r="W10687" s="45"/>
    </row>
    <row r="10688" spans="23:23">
      <c r="W10688" s="45"/>
    </row>
    <row r="10689" spans="23:23">
      <c r="W10689" s="45"/>
    </row>
    <row r="10690" spans="23:23">
      <c r="W10690" s="45"/>
    </row>
    <row r="10691" spans="23:23">
      <c r="W10691" s="45"/>
    </row>
    <row r="10692" spans="23:23">
      <c r="W10692" s="45"/>
    </row>
    <row r="10693" spans="23:23">
      <c r="W10693" s="45"/>
    </row>
    <row r="10694" spans="23:23">
      <c r="W10694" s="45"/>
    </row>
    <row r="10695" spans="23:23">
      <c r="W10695" s="45"/>
    </row>
    <row r="10696" spans="23:23">
      <c r="W10696" s="45"/>
    </row>
    <row r="10697" spans="23:23">
      <c r="W10697" s="45"/>
    </row>
    <row r="10698" spans="23:23">
      <c r="W10698" s="45"/>
    </row>
    <row r="10699" spans="23:23">
      <c r="W10699" s="45"/>
    </row>
    <row r="10700" spans="23:23">
      <c r="W10700" s="45"/>
    </row>
    <row r="10701" spans="23:23">
      <c r="W10701" s="45"/>
    </row>
    <row r="10702" spans="23:23">
      <c r="W10702" s="45"/>
    </row>
    <row r="10703" spans="23:23">
      <c r="W10703" s="45"/>
    </row>
    <row r="10704" spans="23:23">
      <c r="W10704" s="45"/>
    </row>
    <row r="10705" spans="23:23">
      <c r="W10705" s="45"/>
    </row>
    <row r="10706" spans="23:23">
      <c r="W10706" s="45"/>
    </row>
    <row r="10707" spans="23:23">
      <c r="W10707" s="45"/>
    </row>
    <row r="10708" spans="23:23">
      <c r="W10708" s="45"/>
    </row>
    <row r="10709" spans="23:23">
      <c r="W10709" s="45"/>
    </row>
    <row r="10710" spans="23:23">
      <c r="W10710" s="45"/>
    </row>
    <row r="10711" spans="23:23">
      <c r="W10711" s="45"/>
    </row>
    <row r="10712" spans="23:23">
      <c r="W10712" s="45"/>
    </row>
    <row r="10713" spans="23:23">
      <c r="W10713" s="45"/>
    </row>
    <row r="10714" spans="23:23">
      <c r="W10714" s="45"/>
    </row>
    <row r="10715" spans="23:23">
      <c r="W10715" s="45"/>
    </row>
    <row r="10716" spans="23:23">
      <c r="W10716" s="45"/>
    </row>
    <row r="10717" spans="23:23">
      <c r="W10717" s="45"/>
    </row>
    <row r="10718" spans="23:23">
      <c r="W10718" s="45"/>
    </row>
    <row r="10719" spans="23:23">
      <c r="W10719" s="45"/>
    </row>
    <row r="10720" spans="23:23">
      <c r="W10720" s="45"/>
    </row>
    <row r="10721" spans="23:23">
      <c r="W10721" s="45"/>
    </row>
    <row r="10722" spans="23:23">
      <c r="W10722" s="45"/>
    </row>
    <row r="10723" spans="23:23">
      <c r="W10723" s="45"/>
    </row>
    <row r="10724" spans="23:23">
      <c r="W10724" s="45"/>
    </row>
    <row r="10725" spans="23:23">
      <c r="W10725" s="45"/>
    </row>
    <row r="10726" spans="23:23">
      <c r="W10726" s="45"/>
    </row>
    <row r="10727" spans="23:23">
      <c r="W10727" s="45"/>
    </row>
    <row r="10728" spans="23:23">
      <c r="W10728" s="45"/>
    </row>
    <row r="10729" spans="23:23">
      <c r="W10729" s="45"/>
    </row>
    <row r="10730" spans="23:23">
      <c r="W10730" s="45"/>
    </row>
    <row r="10731" spans="23:23">
      <c r="W10731" s="45"/>
    </row>
    <row r="10732" spans="23:23">
      <c r="W10732" s="45"/>
    </row>
    <row r="10733" spans="23:23">
      <c r="W10733" s="45"/>
    </row>
    <row r="10734" spans="23:23">
      <c r="W10734" s="45"/>
    </row>
    <row r="10735" spans="23:23">
      <c r="W10735" s="45"/>
    </row>
    <row r="10736" spans="23:23">
      <c r="W10736" s="45"/>
    </row>
    <row r="10737" spans="23:23">
      <c r="W10737" s="45"/>
    </row>
    <row r="10738" spans="23:23">
      <c r="W10738" s="45"/>
    </row>
    <row r="10739" spans="23:23">
      <c r="W10739" s="45"/>
    </row>
    <row r="10740" spans="23:23">
      <c r="W10740" s="45"/>
    </row>
    <row r="10741" spans="23:23">
      <c r="W10741" s="45"/>
    </row>
    <row r="10742" spans="23:23">
      <c r="W10742" s="45"/>
    </row>
    <row r="10743" spans="23:23">
      <c r="W10743" s="45"/>
    </row>
    <row r="10744" spans="23:23">
      <c r="W10744" s="45"/>
    </row>
    <row r="10745" spans="23:23">
      <c r="W10745" s="45"/>
    </row>
    <row r="10746" spans="23:23">
      <c r="W10746" s="45"/>
    </row>
    <row r="10747" spans="23:23">
      <c r="W10747" s="45"/>
    </row>
    <row r="10748" spans="23:23">
      <c r="W10748" s="45"/>
    </row>
    <row r="10749" spans="23:23">
      <c r="W10749" s="45"/>
    </row>
    <row r="10750" spans="23:23">
      <c r="W10750" s="45"/>
    </row>
    <row r="10751" spans="23:23">
      <c r="W10751" s="45"/>
    </row>
    <row r="10752" spans="23:23">
      <c r="W10752" s="45"/>
    </row>
    <row r="10753" spans="23:23">
      <c r="W10753" s="45"/>
    </row>
    <row r="10754" spans="23:23">
      <c r="W10754" s="45"/>
    </row>
    <row r="10755" spans="23:23">
      <c r="W10755" s="45"/>
    </row>
    <row r="10756" spans="23:23">
      <c r="W10756" s="45"/>
    </row>
    <row r="10757" spans="23:23">
      <c r="W10757" s="45"/>
    </row>
    <row r="10758" spans="23:23">
      <c r="W10758" s="45"/>
    </row>
    <row r="10759" spans="23:23">
      <c r="W10759" s="45"/>
    </row>
    <row r="10760" spans="23:23">
      <c r="W10760" s="45"/>
    </row>
    <row r="10761" spans="23:23">
      <c r="W10761" s="45"/>
    </row>
    <row r="10762" spans="23:23">
      <c r="W10762" s="45"/>
    </row>
    <row r="10763" spans="23:23">
      <c r="W10763" s="45"/>
    </row>
    <row r="10764" spans="23:23">
      <c r="W10764" s="45"/>
    </row>
    <row r="10765" spans="23:23">
      <c r="W10765" s="45"/>
    </row>
    <row r="10766" spans="23:23">
      <c r="W10766" s="45"/>
    </row>
    <row r="10767" spans="23:23">
      <c r="W10767" s="45"/>
    </row>
    <row r="10768" spans="23:23">
      <c r="W10768" s="45"/>
    </row>
    <row r="10769" spans="23:23">
      <c r="W10769" s="45"/>
    </row>
    <row r="10770" spans="23:23">
      <c r="W10770" s="45"/>
    </row>
    <row r="10771" spans="23:23">
      <c r="W10771" s="45"/>
    </row>
    <row r="10772" spans="23:23">
      <c r="W10772" s="45"/>
    </row>
    <row r="10773" spans="23:23">
      <c r="W10773" s="45"/>
    </row>
    <row r="10774" spans="23:23">
      <c r="W10774" s="45"/>
    </row>
    <row r="10775" spans="23:23">
      <c r="W10775" s="45"/>
    </row>
    <row r="10776" spans="23:23">
      <c r="W10776" s="45"/>
    </row>
    <row r="10777" spans="23:23">
      <c r="W10777" s="45"/>
    </row>
    <row r="10778" spans="23:23">
      <c r="W10778" s="45"/>
    </row>
    <row r="10779" spans="23:23">
      <c r="W10779" s="45"/>
    </row>
    <row r="10780" spans="23:23">
      <c r="W10780" s="45"/>
    </row>
    <row r="10781" spans="23:23">
      <c r="W10781" s="45"/>
    </row>
    <row r="10782" spans="23:23">
      <c r="W10782" s="45"/>
    </row>
    <row r="10783" spans="23:23">
      <c r="W10783" s="45"/>
    </row>
    <row r="10784" spans="23:23">
      <c r="W10784" s="45"/>
    </row>
    <row r="10785" spans="23:23">
      <c r="W10785" s="45"/>
    </row>
    <row r="10786" spans="23:23">
      <c r="W10786" s="45"/>
    </row>
    <row r="10787" spans="23:23">
      <c r="W10787" s="45"/>
    </row>
    <row r="10788" spans="23:23">
      <c r="W10788" s="45"/>
    </row>
    <row r="10789" spans="23:23">
      <c r="W10789" s="45"/>
    </row>
    <row r="10790" spans="23:23">
      <c r="W10790" s="45"/>
    </row>
    <row r="10791" spans="23:23">
      <c r="W10791" s="45"/>
    </row>
    <row r="10792" spans="23:23">
      <c r="W10792" s="45"/>
    </row>
    <row r="10793" spans="23:23">
      <c r="W10793" s="45"/>
    </row>
    <row r="10794" spans="23:23">
      <c r="W10794" s="45"/>
    </row>
    <row r="10795" spans="23:23">
      <c r="W10795" s="45"/>
    </row>
    <row r="10796" spans="23:23">
      <c r="W10796" s="45"/>
    </row>
    <row r="10797" spans="23:23">
      <c r="W10797" s="45"/>
    </row>
    <row r="10798" spans="23:23">
      <c r="W10798" s="45"/>
    </row>
    <row r="10799" spans="23:23">
      <c r="W10799" s="45"/>
    </row>
    <row r="10800" spans="23:23">
      <c r="W10800" s="45"/>
    </row>
    <row r="10801" spans="23:23">
      <c r="W10801" s="45"/>
    </row>
    <row r="10802" spans="23:23">
      <c r="W10802" s="45"/>
    </row>
    <row r="10803" spans="23:23">
      <c r="W10803" s="45"/>
    </row>
    <row r="10804" spans="23:23">
      <c r="W10804" s="45"/>
    </row>
    <row r="10805" spans="23:23">
      <c r="W10805" s="45"/>
    </row>
    <row r="10806" spans="23:23">
      <c r="W10806" s="45"/>
    </row>
    <row r="10807" spans="23:23">
      <c r="W10807" s="45"/>
    </row>
    <row r="10808" spans="23:23">
      <c r="W10808" s="45"/>
    </row>
    <row r="10809" spans="23:23">
      <c r="W10809" s="45"/>
    </row>
    <row r="10810" spans="23:23">
      <c r="W10810" s="45"/>
    </row>
    <row r="10811" spans="23:23">
      <c r="W10811" s="45"/>
    </row>
    <row r="10812" spans="23:23">
      <c r="W10812" s="45"/>
    </row>
    <row r="10813" spans="23:23">
      <c r="W10813" s="45"/>
    </row>
    <row r="10814" spans="23:23">
      <c r="W10814" s="45"/>
    </row>
    <row r="10815" spans="23:23">
      <c r="W10815" s="45"/>
    </row>
    <row r="10816" spans="23:23">
      <c r="W10816" s="45"/>
    </row>
    <row r="10817" spans="23:23">
      <c r="W10817" s="45"/>
    </row>
    <row r="10818" spans="23:23">
      <c r="W10818" s="45"/>
    </row>
    <row r="10819" spans="23:23">
      <c r="W10819" s="45"/>
    </row>
    <row r="10820" spans="23:23">
      <c r="W10820" s="45"/>
    </row>
    <row r="10821" spans="23:23">
      <c r="W10821" s="45"/>
    </row>
    <row r="10822" spans="23:23">
      <c r="W10822" s="45"/>
    </row>
    <row r="10823" spans="23:23">
      <c r="W10823" s="45"/>
    </row>
    <row r="10824" spans="23:23">
      <c r="W10824" s="45"/>
    </row>
    <row r="10825" spans="23:23">
      <c r="W10825" s="45"/>
    </row>
    <row r="10826" spans="23:23">
      <c r="W10826" s="45"/>
    </row>
    <row r="10827" spans="23:23">
      <c r="W10827" s="45"/>
    </row>
    <row r="10828" spans="23:23">
      <c r="W10828" s="45"/>
    </row>
    <row r="10829" spans="23:23">
      <c r="W10829" s="45"/>
    </row>
    <row r="10830" spans="23:23">
      <c r="W10830" s="45"/>
    </row>
    <row r="10831" spans="23:23">
      <c r="W10831" s="45"/>
    </row>
    <row r="10832" spans="23:23">
      <c r="W10832" s="45"/>
    </row>
    <row r="10833" spans="23:23">
      <c r="W10833" s="45"/>
    </row>
    <row r="10834" spans="23:23">
      <c r="W10834" s="45"/>
    </row>
    <row r="10835" spans="23:23">
      <c r="W10835" s="45"/>
    </row>
    <row r="10836" spans="23:23">
      <c r="W10836" s="45"/>
    </row>
    <row r="10837" spans="23:23">
      <c r="W10837" s="45"/>
    </row>
    <row r="10838" spans="23:23">
      <c r="W10838" s="45"/>
    </row>
    <row r="10839" spans="23:23">
      <c r="W10839" s="45"/>
    </row>
    <row r="10840" spans="23:23">
      <c r="W10840" s="45"/>
    </row>
    <row r="10841" spans="23:23">
      <c r="W10841" s="45"/>
    </row>
    <row r="10842" spans="23:23">
      <c r="W10842" s="45"/>
    </row>
    <row r="10843" spans="23:23">
      <c r="W10843" s="45"/>
    </row>
    <row r="10844" spans="23:23">
      <c r="W10844" s="45"/>
    </row>
    <row r="10845" spans="23:23">
      <c r="W10845" s="45"/>
    </row>
    <row r="10846" spans="23:23">
      <c r="W10846" s="45"/>
    </row>
    <row r="10847" spans="23:23">
      <c r="W10847" s="45"/>
    </row>
    <row r="10848" spans="23:23">
      <c r="W10848" s="45"/>
    </row>
    <row r="10849" spans="23:23">
      <c r="W10849" s="45"/>
    </row>
    <row r="10850" spans="23:23">
      <c r="W10850" s="45"/>
    </row>
    <row r="10851" spans="23:23">
      <c r="W10851" s="45"/>
    </row>
    <row r="10852" spans="23:23">
      <c r="W10852" s="45"/>
    </row>
    <row r="10853" spans="23:23">
      <c r="W10853" s="45"/>
    </row>
    <row r="10854" spans="23:23">
      <c r="W10854" s="45"/>
    </row>
    <row r="10855" spans="23:23">
      <c r="W10855" s="45"/>
    </row>
    <row r="10856" spans="23:23">
      <c r="W10856" s="45"/>
    </row>
    <row r="10857" spans="23:23">
      <c r="W10857" s="45"/>
    </row>
    <row r="10858" spans="23:23">
      <c r="W10858" s="45"/>
    </row>
    <row r="10859" spans="23:23">
      <c r="W10859" s="45"/>
    </row>
    <row r="10860" spans="23:23">
      <c r="W10860" s="45"/>
    </row>
    <row r="10861" spans="23:23">
      <c r="W10861" s="45"/>
    </row>
    <row r="10862" spans="23:23">
      <c r="W10862" s="45"/>
    </row>
    <row r="10863" spans="23:23">
      <c r="W10863" s="45"/>
    </row>
    <row r="10864" spans="23:23">
      <c r="W10864" s="45"/>
    </row>
    <row r="10865" spans="23:23">
      <c r="W10865" s="45"/>
    </row>
    <row r="10866" spans="23:23">
      <c r="W10866" s="45"/>
    </row>
    <row r="10867" spans="23:23">
      <c r="W10867" s="45"/>
    </row>
    <row r="10868" spans="23:23">
      <c r="W10868" s="45"/>
    </row>
    <row r="10869" spans="23:23">
      <c r="W10869" s="45"/>
    </row>
    <row r="10870" spans="23:23">
      <c r="W10870" s="45"/>
    </row>
    <row r="10871" spans="23:23">
      <c r="W10871" s="45"/>
    </row>
    <row r="10872" spans="23:23">
      <c r="W10872" s="45"/>
    </row>
    <row r="10873" spans="23:23">
      <c r="W10873" s="45"/>
    </row>
    <row r="10874" spans="23:23">
      <c r="W10874" s="45"/>
    </row>
    <row r="10875" spans="23:23">
      <c r="W10875" s="45"/>
    </row>
    <row r="10876" spans="23:23">
      <c r="W10876" s="45"/>
    </row>
    <row r="10877" spans="23:23">
      <c r="W10877" s="45"/>
    </row>
    <row r="10878" spans="23:23">
      <c r="W10878" s="45"/>
    </row>
    <row r="10879" spans="23:23">
      <c r="W10879" s="45"/>
    </row>
    <row r="10880" spans="23:23">
      <c r="W10880" s="45"/>
    </row>
    <row r="10881" spans="23:23">
      <c r="W10881" s="45"/>
    </row>
    <row r="10882" spans="23:23">
      <c r="W10882" s="45"/>
    </row>
    <row r="10883" spans="23:23">
      <c r="W10883" s="45"/>
    </row>
    <row r="10884" spans="23:23">
      <c r="W10884" s="45"/>
    </row>
    <row r="10885" spans="23:23">
      <c r="W10885" s="45"/>
    </row>
    <row r="10886" spans="23:23">
      <c r="W10886" s="45"/>
    </row>
    <row r="10887" spans="23:23">
      <c r="W10887" s="45"/>
    </row>
    <row r="10888" spans="23:23">
      <c r="W10888" s="45"/>
    </row>
    <row r="10889" spans="23:23">
      <c r="W10889" s="45"/>
    </row>
    <row r="10890" spans="23:23">
      <c r="W10890" s="45"/>
    </row>
    <row r="10891" spans="23:23">
      <c r="W10891" s="45"/>
    </row>
    <row r="10892" spans="23:23">
      <c r="W10892" s="45"/>
    </row>
    <row r="10893" spans="23:23">
      <c r="W10893" s="45"/>
    </row>
    <row r="10894" spans="23:23">
      <c r="W10894" s="45"/>
    </row>
    <row r="10895" spans="23:23">
      <c r="W10895" s="45"/>
    </row>
    <row r="10896" spans="23:23">
      <c r="W10896" s="45"/>
    </row>
    <row r="10897" spans="23:23">
      <c r="W10897" s="45"/>
    </row>
    <row r="10898" spans="23:23">
      <c r="W10898" s="45"/>
    </row>
    <row r="10899" spans="23:23">
      <c r="W10899" s="45"/>
    </row>
    <row r="10900" spans="23:23">
      <c r="W10900" s="45"/>
    </row>
    <row r="10901" spans="23:23">
      <c r="W10901" s="45"/>
    </row>
    <row r="10902" spans="23:23">
      <c r="W10902" s="45"/>
    </row>
    <row r="10903" spans="23:23">
      <c r="W10903" s="45"/>
    </row>
    <row r="10904" spans="23:23">
      <c r="W10904" s="45"/>
    </row>
    <row r="10905" spans="23:23">
      <c r="W10905" s="45"/>
    </row>
    <row r="10906" spans="23:23">
      <c r="W10906" s="45"/>
    </row>
    <row r="10907" spans="23:23">
      <c r="W10907" s="45"/>
    </row>
    <row r="10908" spans="23:23">
      <c r="W10908" s="45"/>
    </row>
    <row r="10909" spans="23:23">
      <c r="W10909" s="45"/>
    </row>
    <row r="10910" spans="23:23">
      <c r="W10910" s="45"/>
    </row>
    <row r="10911" spans="23:23">
      <c r="W10911" s="45"/>
    </row>
    <row r="10912" spans="23:23">
      <c r="W10912" s="45"/>
    </row>
    <row r="10913" spans="23:23">
      <c r="W10913" s="45"/>
    </row>
    <row r="10914" spans="23:23">
      <c r="W10914" s="45"/>
    </row>
    <row r="10915" spans="23:23">
      <c r="W10915" s="45"/>
    </row>
    <row r="10916" spans="23:23">
      <c r="W10916" s="45"/>
    </row>
    <row r="10917" spans="23:23">
      <c r="W10917" s="45"/>
    </row>
    <row r="10918" spans="23:23">
      <c r="W10918" s="45"/>
    </row>
    <row r="10919" spans="23:23">
      <c r="W10919" s="45"/>
    </row>
    <row r="10920" spans="23:23">
      <c r="W10920" s="45"/>
    </row>
    <row r="10921" spans="23:23">
      <c r="W10921" s="45"/>
    </row>
    <row r="10922" spans="23:23">
      <c r="W10922" s="45"/>
    </row>
    <row r="10923" spans="23:23">
      <c r="W10923" s="45"/>
    </row>
    <row r="10924" spans="23:23">
      <c r="W10924" s="45"/>
    </row>
    <row r="10925" spans="23:23">
      <c r="W10925" s="45"/>
    </row>
    <row r="10926" spans="23:23">
      <c r="W10926" s="45"/>
    </row>
    <row r="10927" spans="23:23">
      <c r="W10927" s="45"/>
    </row>
    <row r="10928" spans="23:23">
      <c r="W10928" s="45"/>
    </row>
    <row r="10929" spans="23:23">
      <c r="W10929" s="45"/>
    </row>
    <row r="10930" spans="23:23">
      <c r="W10930" s="45"/>
    </row>
    <row r="10931" spans="23:23">
      <c r="W10931" s="45"/>
    </row>
    <row r="10932" spans="23:23">
      <c r="W10932" s="45"/>
    </row>
    <row r="10933" spans="23:23">
      <c r="W10933" s="45"/>
    </row>
    <row r="10934" spans="23:23">
      <c r="W10934" s="45"/>
    </row>
    <row r="10935" spans="23:23">
      <c r="W10935" s="45"/>
    </row>
    <row r="10936" spans="23:23">
      <c r="W10936" s="45"/>
    </row>
    <row r="10937" spans="23:23">
      <c r="W10937" s="45"/>
    </row>
    <row r="10938" spans="23:23">
      <c r="W10938" s="45"/>
    </row>
    <row r="10939" spans="23:23">
      <c r="W10939" s="45"/>
    </row>
    <row r="10940" spans="23:23">
      <c r="W10940" s="45"/>
    </row>
    <row r="10941" spans="23:23">
      <c r="W10941" s="45"/>
    </row>
    <row r="10942" spans="23:23">
      <c r="W10942" s="45"/>
    </row>
    <row r="10943" spans="23:23">
      <c r="W10943" s="45"/>
    </row>
    <row r="10944" spans="23:23">
      <c r="W10944" s="45"/>
    </row>
    <row r="10945" spans="23:23">
      <c r="W10945" s="45"/>
    </row>
    <row r="10946" spans="23:23">
      <c r="W10946" s="45"/>
    </row>
    <row r="10947" spans="23:23">
      <c r="W10947" s="45"/>
    </row>
    <row r="10948" spans="23:23">
      <c r="W10948" s="45"/>
    </row>
    <row r="10949" spans="23:23">
      <c r="W10949" s="45"/>
    </row>
    <row r="10950" spans="23:23">
      <c r="W10950" s="45"/>
    </row>
    <row r="10951" spans="23:23">
      <c r="W10951" s="45"/>
    </row>
    <row r="10952" spans="23:23">
      <c r="W10952" s="45"/>
    </row>
    <row r="10953" spans="23:23">
      <c r="W10953" s="45"/>
    </row>
    <row r="10954" spans="23:23">
      <c r="W10954" s="45"/>
    </row>
    <row r="10955" spans="23:23">
      <c r="W10955" s="45"/>
    </row>
    <row r="10956" spans="23:23">
      <c r="W10956" s="45"/>
    </row>
    <row r="10957" spans="23:23">
      <c r="W10957" s="45"/>
    </row>
    <row r="10958" spans="23:23">
      <c r="W10958" s="45"/>
    </row>
    <row r="10959" spans="23:23">
      <c r="W10959" s="45"/>
    </row>
    <row r="10960" spans="23:23">
      <c r="W10960" s="45"/>
    </row>
    <row r="10961" spans="23:23">
      <c r="W10961" s="45"/>
    </row>
    <row r="10962" spans="23:23">
      <c r="W10962" s="45"/>
    </row>
    <row r="10963" spans="23:23">
      <c r="W10963" s="45"/>
    </row>
    <row r="10964" spans="23:23">
      <c r="W10964" s="45"/>
    </row>
    <row r="10965" spans="23:23">
      <c r="W10965" s="45"/>
    </row>
    <row r="10966" spans="23:23">
      <c r="W10966" s="45"/>
    </row>
    <row r="10967" spans="23:23">
      <c r="W10967" s="45"/>
    </row>
    <row r="10968" spans="23:23">
      <c r="W10968" s="45"/>
    </row>
    <row r="10969" spans="23:23">
      <c r="W10969" s="45"/>
    </row>
    <row r="10970" spans="23:23">
      <c r="W10970" s="45"/>
    </row>
    <row r="10971" spans="23:23">
      <c r="W10971" s="45"/>
    </row>
    <row r="10972" spans="23:23">
      <c r="W10972" s="45"/>
    </row>
    <row r="10973" spans="23:23">
      <c r="W10973" s="45"/>
    </row>
    <row r="10974" spans="23:23">
      <c r="W10974" s="45"/>
    </row>
    <row r="10975" spans="23:23">
      <c r="W10975" s="45"/>
    </row>
    <row r="10976" spans="23:23">
      <c r="W10976" s="45"/>
    </row>
    <row r="10977" spans="23:23">
      <c r="W10977" s="45"/>
    </row>
    <row r="10978" spans="23:23">
      <c r="W10978" s="45"/>
    </row>
    <row r="10979" spans="23:23">
      <c r="W10979" s="45"/>
    </row>
    <row r="10980" spans="23:23">
      <c r="W10980" s="45"/>
    </row>
    <row r="10981" spans="23:23">
      <c r="W10981" s="45"/>
    </row>
    <row r="10982" spans="23:23">
      <c r="W10982" s="45"/>
    </row>
    <row r="10983" spans="23:23">
      <c r="W10983" s="45"/>
    </row>
    <row r="10984" spans="23:23">
      <c r="W10984" s="45"/>
    </row>
    <row r="10985" spans="23:23">
      <c r="W10985" s="45"/>
    </row>
    <row r="10986" spans="23:23">
      <c r="W10986" s="45"/>
    </row>
    <row r="10987" spans="23:23">
      <c r="W10987" s="45"/>
    </row>
    <row r="10988" spans="23:23">
      <c r="W10988" s="45"/>
    </row>
    <row r="10989" spans="23:23">
      <c r="W10989" s="45"/>
    </row>
    <row r="10990" spans="23:23">
      <c r="W10990" s="45"/>
    </row>
    <row r="10991" spans="23:23">
      <c r="W10991" s="45"/>
    </row>
    <row r="10992" spans="23:23">
      <c r="W10992" s="45"/>
    </row>
    <row r="10993" spans="23:23">
      <c r="W10993" s="45"/>
    </row>
    <row r="10994" spans="23:23">
      <c r="W10994" s="45"/>
    </row>
    <row r="10995" spans="23:23">
      <c r="W10995" s="45"/>
    </row>
    <row r="10996" spans="23:23">
      <c r="W10996" s="45"/>
    </row>
    <row r="10997" spans="23:23">
      <c r="W10997" s="45"/>
    </row>
    <row r="10998" spans="23:23">
      <c r="W10998" s="45"/>
    </row>
    <row r="10999" spans="23:23">
      <c r="W10999" s="45"/>
    </row>
    <row r="11000" spans="23:23">
      <c r="W11000" s="45"/>
    </row>
    <row r="11001" spans="23:23">
      <c r="W11001" s="45"/>
    </row>
    <row r="11002" spans="23:23">
      <c r="W11002" s="45"/>
    </row>
    <row r="11003" spans="23:23">
      <c r="W11003" s="45"/>
    </row>
    <row r="11004" spans="23:23">
      <c r="W11004" s="45"/>
    </row>
    <row r="11005" spans="23:23">
      <c r="W11005" s="45"/>
    </row>
    <row r="11006" spans="23:23">
      <c r="W11006" s="45"/>
    </row>
    <row r="11007" spans="23:23">
      <c r="W11007" s="45"/>
    </row>
    <row r="11008" spans="23:23">
      <c r="W11008" s="45"/>
    </row>
    <row r="11009" spans="23:23">
      <c r="W11009" s="45"/>
    </row>
    <row r="11010" spans="23:23">
      <c r="W11010" s="45"/>
    </row>
    <row r="11011" spans="23:23">
      <c r="W11011" s="45"/>
    </row>
    <row r="11012" spans="23:23">
      <c r="W11012" s="45"/>
    </row>
    <row r="11013" spans="23:23">
      <c r="W11013" s="45"/>
    </row>
    <row r="11014" spans="23:23">
      <c r="W11014" s="45"/>
    </row>
    <row r="11015" spans="23:23">
      <c r="W11015" s="45"/>
    </row>
    <row r="11016" spans="23:23">
      <c r="W11016" s="45"/>
    </row>
    <row r="11017" spans="23:23">
      <c r="W11017" s="45"/>
    </row>
    <row r="11018" spans="23:23">
      <c r="W11018" s="45"/>
    </row>
    <row r="11019" spans="23:23">
      <c r="W11019" s="45"/>
    </row>
    <row r="11020" spans="23:23">
      <c r="W11020" s="45"/>
    </row>
    <row r="11021" spans="23:23">
      <c r="W11021" s="45"/>
    </row>
    <row r="11022" spans="23:23">
      <c r="W11022" s="45"/>
    </row>
    <row r="11023" spans="23:23">
      <c r="W11023" s="45"/>
    </row>
    <row r="11024" spans="23:23">
      <c r="W11024" s="45"/>
    </row>
    <row r="11025" spans="23:23">
      <c r="W11025" s="45"/>
    </row>
    <row r="11026" spans="23:23">
      <c r="W11026" s="45"/>
    </row>
    <row r="11027" spans="23:23">
      <c r="W11027" s="45"/>
    </row>
    <row r="11028" spans="23:23">
      <c r="W11028" s="45"/>
    </row>
    <row r="11029" spans="23:23">
      <c r="W11029" s="45"/>
    </row>
    <row r="11030" spans="23:23">
      <c r="W11030" s="45"/>
    </row>
    <row r="11031" spans="23:23">
      <c r="W11031" s="45"/>
    </row>
    <row r="11032" spans="23:23">
      <c r="W11032" s="45"/>
    </row>
    <row r="11033" spans="23:23">
      <c r="W11033" s="45"/>
    </row>
    <row r="11034" spans="23:23">
      <c r="W11034" s="45"/>
    </row>
    <row r="11035" spans="23:23">
      <c r="W11035" s="45"/>
    </row>
    <row r="11036" spans="23:23">
      <c r="W11036" s="45"/>
    </row>
    <row r="11037" spans="23:23">
      <c r="W11037" s="45"/>
    </row>
    <row r="11038" spans="23:23">
      <c r="W11038" s="45"/>
    </row>
    <row r="11039" spans="23:23">
      <c r="W11039" s="45"/>
    </row>
    <row r="11040" spans="23:23">
      <c r="W11040" s="45"/>
    </row>
    <row r="11041" spans="23:23">
      <c r="W11041" s="45"/>
    </row>
    <row r="11042" spans="23:23">
      <c r="W11042" s="45"/>
    </row>
    <row r="11043" spans="23:23">
      <c r="W11043" s="45"/>
    </row>
    <row r="11044" spans="23:23">
      <c r="W11044" s="45"/>
    </row>
    <row r="11045" spans="23:23">
      <c r="W11045" s="45"/>
    </row>
    <row r="11046" spans="23:23">
      <c r="W11046" s="45"/>
    </row>
    <row r="11047" spans="23:23">
      <c r="W11047" s="45"/>
    </row>
    <row r="11048" spans="23:23">
      <c r="W11048" s="45"/>
    </row>
    <row r="11049" spans="23:23">
      <c r="W11049" s="45"/>
    </row>
    <row r="11050" spans="23:23">
      <c r="W11050" s="45"/>
    </row>
    <row r="11051" spans="23:23">
      <c r="W11051" s="45"/>
    </row>
    <row r="11052" spans="23:23">
      <c r="W11052" s="45"/>
    </row>
    <row r="11053" spans="23:23">
      <c r="W11053" s="45"/>
    </row>
    <row r="11054" spans="23:23">
      <c r="W11054" s="45"/>
    </row>
    <row r="11055" spans="23:23">
      <c r="W11055" s="45"/>
    </row>
    <row r="11056" spans="23:23">
      <c r="W11056" s="45"/>
    </row>
    <row r="11057" spans="23:23">
      <c r="W11057" s="45"/>
    </row>
    <row r="11058" spans="23:23">
      <c r="W11058" s="45"/>
    </row>
    <row r="11059" spans="23:23">
      <c r="W11059" s="45"/>
    </row>
    <row r="11060" spans="23:23">
      <c r="W11060" s="45"/>
    </row>
    <row r="11061" spans="23:23">
      <c r="W11061" s="45"/>
    </row>
    <row r="11062" spans="23:23">
      <c r="W11062" s="45"/>
    </row>
    <row r="11063" spans="23:23">
      <c r="W11063" s="45"/>
    </row>
    <row r="11064" spans="23:23">
      <c r="W11064" s="45"/>
    </row>
    <row r="11065" spans="23:23">
      <c r="W11065" s="45"/>
    </row>
    <row r="11066" spans="23:23">
      <c r="W11066" s="45"/>
    </row>
    <row r="11067" spans="23:23">
      <c r="W11067" s="45"/>
    </row>
    <row r="11068" spans="23:23">
      <c r="W11068" s="45"/>
    </row>
    <row r="11069" spans="23:23">
      <c r="W11069" s="45"/>
    </row>
    <row r="11070" spans="23:23">
      <c r="W11070" s="45"/>
    </row>
    <row r="11071" spans="23:23">
      <c r="W11071" s="45"/>
    </row>
    <row r="11072" spans="23:23">
      <c r="W11072" s="45"/>
    </row>
    <row r="11073" spans="23:23">
      <c r="W11073" s="45"/>
    </row>
    <row r="11074" spans="23:23">
      <c r="W11074" s="45"/>
    </row>
    <row r="11075" spans="23:23">
      <c r="W11075" s="45"/>
    </row>
    <row r="11076" spans="23:23">
      <c r="W11076" s="45"/>
    </row>
    <row r="11077" spans="23:23">
      <c r="W11077" s="45"/>
    </row>
    <row r="11078" spans="23:23">
      <c r="W11078" s="45"/>
    </row>
    <row r="11079" spans="23:23">
      <c r="W11079" s="45"/>
    </row>
    <row r="11080" spans="23:23">
      <c r="W11080" s="45"/>
    </row>
    <row r="11081" spans="23:23">
      <c r="W11081" s="45"/>
    </row>
    <row r="11082" spans="23:23">
      <c r="W11082" s="45"/>
    </row>
    <row r="11083" spans="23:23">
      <c r="W11083" s="45"/>
    </row>
    <row r="11084" spans="23:23">
      <c r="W11084" s="45"/>
    </row>
    <row r="11085" spans="23:23">
      <c r="W11085" s="45"/>
    </row>
    <row r="11086" spans="23:23">
      <c r="W11086" s="45"/>
    </row>
    <row r="11087" spans="23:23">
      <c r="W11087" s="45"/>
    </row>
    <row r="11088" spans="23:23">
      <c r="W11088" s="45"/>
    </row>
    <row r="11089" spans="23:23">
      <c r="W11089" s="45"/>
    </row>
    <row r="11090" spans="23:23">
      <c r="W11090" s="45"/>
    </row>
    <row r="11091" spans="23:23">
      <c r="W11091" s="45"/>
    </row>
    <row r="11092" spans="23:23">
      <c r="W11092" s="45"/>
    </row>
    <row r="11093" spans="23:23">
      <c r="W11093" s="45"/>
    </row>
    <row r="11094" spans="23:23">
      <c r="W11094" s="45"/>
    </row>
    <row r="11095" spans="23:23">
      <c r="W11095" s="45"/>
    </row>
    <row r="11096" spans="23:23">
      <c r="W11096" s="45"/>
    </row>
    <row r="11097" spans="23:23">
      <c r="W11097" s="45"/>
    </row>
    <row r="11098" spans="23:23">
      <c r="W11098" s="45"/>
    </row>
    <row r="11099" spans="23:23">
      <c r="W11099" s="45"/>
    </row>
    <row r="11100" spans="23:23">
      <c r="W11100" s="45"/>
    </row>
    <row r="11101" spans="23:23">
      <c r="W11101" s="45"/>
    </row>
    <row r="11102" spans="23:23">
      <c r="W11102" s="45"/>
    </row>
    <row r="11103" spans="23:23">
      <c r="W11103" s="45"/>
    </row>
    <row r="11104" spans="23:23">
      <c r="W11104" s="45"/>
    </row>
    <row r="11105" spans="23:23">
      <c r="W11105" s="45"/>
    </row>
    <row r="11106" spans="23:23">
      <c r="W11106" s="45"/>
    </row>
    <row r="11107" spans="23:23">
      <c r="W11107" s="45"/>
    </row>
    <row r="11108" spans="23:23">
      <c r="W11108" s="45"/>
    </row>
    <row r="11109" spans="23:23">
      <c r="W11109" s="45"/>
    </row>
    <row r="11110" spans="23:23">
      <c r="W11110" s="45"/>
    </row>
    <row r="11111" spans="23:23">
      <c r="W11111" s="45"/>
    </row>
    <row r="11112" spans="23:23">
      <c r="W11112" s="45"/>
    </row>
    <row r="11113" spans="23:23">
      <c r="W11113" s="45"/>
    </row>
    <row r="11114" spans="23:23">
      <c r="W11114" s="45"/>
    </row>
    <row r="11115" spans="23:23">
      <c r="W11115" s="45"/>
    </row>
    <row r="11116" spans="23:23">
      <c r="W11116" s="45"/>
    </row>
    <row r="11117" spans="23:23">
      <c r="W11117" s="45"/>
    </row>
    <row r="11118" spans="23:23">
      <c r="W11118" s="45"/>
    </row>
    <row r="11119" spans="23:23">
      <c r="W11119" s="45"/>
    </row>
    <row r="11120" spans="23:23">
      <c r="W11120" s="45"/>
    </row>
    <row r="11121" spans="23:23">
      <c r="W11121" s="45"/>
    </row>
    <row r="11122" spans="23:23">
      <c r="W11122" s="45"/>
    </row>
    <row r="11123" spans="23:23">
      <c r="W11123" s="45"/>
    </row>
    <row r="11124" spans="23:23">
      <c r="W11124" s="45"/>
    </row>
    <row r="11125" spans="23:23">
      <c r="W11125" s="45"/>
    </row>
    <row r="11126" spans="23:23">
      <c r="W11126" s="45"/>
    </row>
    <row r="11127" spans="23:23">
      <c r="W11127" s="45"/>
    </row>
    <row r="11128" spans="23:23">
      <c r="W11128" s="45"/>
    </row>
    <row r="11129" spans="23:23">
      <c r="W11129" s="45"/>
    </row>
    <row r="11130" spans="23:23">
      <c r="W11130" s="45"/>
    </row>
    <row r="11131" spans="23:23">
      <c r="W11131" s="45"/>
    </row>
    <row r="11132" spans="23:23">
      <c r="W11132" s="45"/>
    </row>
    <row r="11133" spans="23:23">
      <c r="W11133" s="45"/>
    </row>
    <row r="11134" spans="23:23">
      <c r="W11134" s="45"/>
    </row>
    <row r="11135" spans="23:23">
      <c r="W11135" s="45"/>
    </row>
    <row r="11136" spans="23:23">
      <c r="W11136" s="45"/>
    </row>
    <row r="11137" spans="23:23">
      <c r="W11137" s="45"/>
    </row>
    <row r="11138" spans="23:23">
      <c r="W11138" s="45"/>
    </row>
    <row r="11139" spans="23:23">
      <c r="W11139" s="45"/>
    </row>
    <row r="11140" spans="23:23">
      <c r="W11140" s="45"/>
    </row>
    <row r="11141" spans="23:23">
      <c r="W11141" s="45"/>
    </row>
    <row r="11142" spans="23:23">
      <c r="W11142" s="45"/>
    </row>
    <row r="11143" spans="23:23">
      <c r="W11143" s="45"/>
    </row>
    <row r="11144" spans="23:23">
      <c r="W11144" s="45"/>
    </row>
    <row r="11145" spans="23:23">
      <c r="W11145" s="45"/>
    </row>
    <row r="11146" spans="23:23">
      <c r="W11146" s="45"/>
    </row>
    <row r="11147" spans="23:23">
      <c r="W11147" s="45"/>
    </row>
    <row r="11148" spans="23:23">
      <c r="W11148" s="45"/>
    </row>
    <row r="11149" spans="23:23">
      <c r="W11149" s="45"/>
    </row>
    <row r="11150" spans="23:23">
      <c r="W11150" s="45"/>
    </row>
    <row r="11151" spans="23:23">
      <c r="W11151" s="45"/>
    </row>
    <row r="11152" spans="23:23">
      <c r="W11152" s="45"/>
    </row>
    <row r="11153" spans="23:23">
      <c r="W11153" s="45"/>
    </row>
    <row r="11154" spans="23:23">
      <c r="W11154" s="45"/>
    </row>
    <row r="11155" spans="23:23">
      <c r="W11155" s="45"/>
    </row>
    <row r="11156" spans="23:23">
      <c r="W11156" s="45"/>
    </row>
    <row r="11157" spans="23:23">
      <c r="W11157" s="45"/>
    </row>
    <row r="11158" spans="23:23">
      <c r="W11158" s="45"/>
    </row>
    <row r="11159" spans="23:23">
      <c r="W11159" s="45"/>
    </row>
    <row r="11160" spans="23:23">
      <c r="W11160" s="45"/>
    </row>
    <row r="11161" spans="23:23">
      <c r="W11161" s="45"/>
    </row>
    <row r="11162" spans="23:23">
      <c r="W11162" s="45"/>
    </row>
    <row r="11163" spans="23:23">
      <c r="W11163" s="45"/>
    </row>
    <row r="11164" spans="23:23">
      <c r="W11164" s="45"/>
    </row>
    <row r="11165" spans="23:23">
      <c r="W11165" s="45"/>
    </row>
    <row r="11166" spans="23:23">
      <c r="W11166" s="45"/>
    </row>
    <row r="11167" spans="23:23">
      <c r="W11167" s="45"/>
    </row>
    <row r="11168" spans="23:23">
      <c r="W11168" s="45"/>
    </row>
    <row r="11169" spans="23:23">
      <c r="W11169" s="45"/>
    </row>
    <row r="11170" spans="23:23">
      <c r="W11170" s="45"/>
    </row>
    <row r="11171" spans="23:23">
      <c r="W11171" s="45"/>
    </row>
    <row r="11172" spans="23:23">
      <c r="W11172" s="45"/>
    </row>
    <row r="11173" spans="23:23">
      <c r="W11173" s="45"/>
    </row>
    <row r="11174" spans="23:23">
      <c r="W11174" s="45"/>
    </row>
    <row r="11175" spans="23:23">
      <c r="W11175" s="45"/>
    </row>
    <row r="11176" spans="23:23">
      <c r="W11176" s="45"/>
    </row>
    <row r="11177" spans="23:23">
      <c r="W11177" s="45"/>
    </row>
    <row r="11178" spans="23:23">
      <c r="W11178" s="45"/>
    </row>
    <row r="11179" spans="23:23">
      <c r="W11179" s="45"/>
    </row>
    <row r="11180" spans="23:23">
      <c r="W11180" s="45"/>
    </row>
    <row r="11181" spans="23:23">
      <c r="W11181" s="45"/>
    </row>
    <row r="11182" spans="23:23">
      <c r="W11182" s="45"/>
    </row>
    <row r="11183" spans="23:23">
      <c r="W11183" s="45"/>
    </row>
    <row r="11184" spans="23:23">
      <c r="W11184" s="45"/>
    </row>
    <row r="11185" spans="23:23">
      <c r="W11185" s="45"/>
    </row>
    <row r="11186" spans="23:23">
      <c r="W11186" s="45"/>
    </row>
    <row r="11187" spans="23:23">
      <c r="W11187" s="45"/>
    </row>
    <row r="11188" spans="23:23">
      <c r="W11188" s="45"/>
    </row>
    <row r="11189" spans="23:23">
      <c r="W11189" s="45"/>
    </row>
    <row r="11190" spans="23:23">
      <c r="W11190" s="45"/>
    </row>
    <row r="11191" spans="23:23">
      <c r="W11191" s="45"/>
    </row>
    <row r="11192" spans="23:23">
      <c r="W11192" s="45"/>
    </row>
    <row r="11193" spans="23:23">
      <c r="W11193" s="45"/>
    </row>
    <row r="11194" spans="23:23">
      <c r="W11194" s="45"/>
    </row>
    <row r="11195" spans="23:23">
      <c r="W11195" s="45"/>
    </row>
    <row r="11196" spans="23:23">
      <c r="W11196" s="45"/>
    </row>
    <row r="11197" spans="23:23">
      <c r="W11197" s="45"/>
    </row>
    <row r="11198" spans="23:23">
      <c r="W11198" s="45"/>
    </row>
    <row r="11199" spans="23:23">
      <c r="W11199" s="45"/>
    </row>
    <row r="11200" spans="23:23">
      <c r="W11200" s="45"/>
    </row>
    <row r="11201" spans="23:23">
      <c r="W11201" s="45"/>
    </row>
    <row r="11202" spans="23:23">
      <c r="W11202" s="45"/>
    </row>
    <row r="11203" spans="23:23">
      <c r="W11203" s="45"/>
    </row>
    <row r="11204" spans="23:23">
      <c r="W11204" s="45"/>
    </row>
    <row r="11205" spans="23:23">
      <c r="W11205" s="45"/>
    </row>
    <row r="11206" spans="23:23">
      <c r="W11206" s="45"/>
    </row>
    <row r="11207" spans="23:23">
      <c r="W11207" s="45"/>
    </row>
    <row r="11208" spans="23:23">
      <c r="W11208" s="45"/>
    </row>
    <row r="11209" spans="23:23">
      <c r="W11209" s="45"/>
    </row>
    <row r="11210" spans="23:23">
      <c r="W11210" s="45"/>
    </row>
    <row r="11211" spans="23:23">
      <c r="W11211" s="45"/>
    </row>
    <row r="11212" spans="23:23">
      <c r="W11212" s="45"/>
    </row>
    <row r="11213" spans="23:23">
      <c r="W11213" s="45"/>
    </row>
    <row r="11214" spans="23:23">
      <c r="W11214" s="45"/>
    </row>
    <row r="11215" spans="23:23">
      <c r="W11215" s="45"/>
    </row>
    <row r="11216" spans="23:23">
      <c r="W11216" s="45"/>
    </row>
    <row r="11217" spans="23:23">
      <c r="W11217" s="45"/>
    </row>
    <row r="11218" spans="23:23">
      <c r="W11218" s="45"/>
    </row>
    <row r="11219" spans="23:23">
      <c r="W11219" s="45"/>
    </row>
    <row r="11220" spans="23:23">
      <c r="W11220" s="45"/>
    </row>
    <row r="11221" spans="23:23">
      <c r="W11221" s="45"/>
    </row>
    <row r="11222" spans="23:23">
      <c r="W11222" s="45"/>
    </row>
    <row r="11223" spans="23:23">
      <c r="W11223" s="45"/>
    </row>
    <row r="11224" spans="23:23">
      <c r="W11224" s="45"/>
    </row>
    <row r="11225" spans="23:23">
      <c r="W11225" s="45"/>
    </row>
    <row r="11226" spans="23:23">
      <c r="W11226" s="45"/>
    </row>
    <row r="11227" spans="23:23">
      <c r="W11227" s="45"/>
    </row>
    <row r="11228" spans="23:23">
      <c r="W11228" s="45"/>
    </row>
    <row r="11229" spans="23:23">
      <c r="W11229" s="45"/>
    </row>
    <row r="11230" spans="23:23">
      <c r="W11230" s="45"/>
    </row>
    <row r="11231" spans="23:23">
      <c r="W11231" s="45"/>
    </row>
    <row r="11232" spans="23:23">
      <c r="W11232" s="45"/>
    </row>
    <row r="11233" spans="23:23">
      <c r="W11233" s="45"/>
    </row>
    <row r="11234" spans="23:23">
      <c r="W11234" s="45"/>
    </row>
    <row r="11235" spans="23:23">
      <c r="W11235" s="45"/>
    </row>
    <row r="11236" spans="23:23">
      <c r="W11236" s="45"/>
    </row>
    <row r="11237" spans="23:23">
      <c r="W11237" s="45"/>
    </row>
    <row r="11238" spans="23:23">
      <c r="W11238" s="45"/>
    </row>
    <row r="11239" spans="23:23">
      <c r="W11239" s="45"/>
    </row>
    <row r="11240" spans="23:23">
      <c r="W11240" s="45"/>
    </row>
    <row r="11241" spans="23:23">
      <c r="W11241" s="45"/>
    </row>
    <row r="11242" spans="23:23">
      <c r="W11242" s="45"/>
    </row>
    <row r="11243" spans="23:23">
      <c r="W11243" s="45"/>
    </row>
    <row r="11244" spans="23:23">
      <c r="W11244" s="45"/>
    </row>
    <row r="11245" spans="23:23">
      <c r="W11245" s="45"/>
    </row>
    <row r="11246" spans="23:23">
      <c r="W11246" s="45"/>
    </row>
    <row r="11247" spans="23:23">
      <c r="W11247" s="45"/>
    </row>
    <row r="11248" spans="23:23">
      <c r="W11248" s="45"/>
    </row>
    <row r="11249" spans="23:23">
      <c r="W11249" s="45"/>
    </row>
    <row r="11250" spans="23:23">
      <c r="W11250" s="45"/>
    </row>
    <row r="11251" spans="23:23">
      <c r="W11251" s="45"/>
    </row>
    <row r="11252" spans="23:23">
      <c r="W11252" s="45"/>
    </row>
    <row r="11253" spans="23:23">
      <c r="W11253" s="45"/>
    </row>
    <row r="11254" spans="23:23">
      <c r="W11254" s="45"/>
    </row>
    <row r="11255" spans="23:23">
      <c r="W11255" s="45"/>
    </row>
    <row r="11256" spans="23:23">
      <c r="W11256" s="45"/>
    </row>
    <row r="11257" spans="23:23">
      <c r="W11257" s="45"/>
    </row>
    <row r="11258" spans="23:23">
      <c r="W11258" s="45"/>
    </row>
    <row r="11259" spans="23:23">
      <c r="W11259" s="45"/>
    </row>
    <row r="11260" spans="23:23">
      <c r="W11260" s="45"/>
    </row>
    <row r="11261" spans="23:23">
      <c r="W11261" s="45"/>
    </row>
    <row r="11262" spans="23:23">
      <c r="W11262" s="45"/>
    </row>
    <row r="11263" spans="23:23">
      <c r="W11263" s="45"/>
    </row>
    <row r="11264" spans="23:23">
      <c r="W11264" s="45"/>
    </row>
    <row r="11265" spans="23:23">
      <c r="W11265" s="45"/>
    </row>
    <row r="11266" spans="23:23">
      <c r="W11266" s="45"/>
    </row>
    <row r="11267" spans="23:23">
      <c r="W11267" s="45"/>
    </row>
    <row r="11268" spans="23:23">
      <c r="W11268" s="45"/>
    </row>
    <row r="11269" spans="23:23">
      <c r="W11269" s="45"/>
    </row>
    <row r="11270" spans="23:23">
      <c r="W11270" s="45"/>
    </row>
    <row r="11271" spans="23:23">
      <c r="W11271" s="45"/>
    </row>
    <row r="11272" spans="23:23">
      <c r="W11272" s="45"/>
    </row>
    <row r="11273" spans="23:23">
      <c r="W11273" s="45"/>
    </row>
    <row r="11274" spans="23:23">
      <c r="W11274" s="45"/>
    </row>
    <row r="11275" spans="23:23">
      <c r="W11275" s="45"/>
    </row>
    <row r="11276" spans="23:23">
      <c r="W11276" s="45"/>
    </row>
    <row r="11277" spans="23:23">
      <c r="W11277" s="45"/>
    </row>
    <row r="11278" spans="23:23">
      <c r="W11278" s="45"/>
    </row>
    <row r="11279" spans="23:23">
      <c r="W11279" s="45"/>
    </row>
    <row r="11280" spans="23:23">
      <c r="W11280" s="45"/>
    </row>
    <row r="11281" spans="23:23">
      <c r="W11281" s="45"/>
    </row>
    <row r="11282" spans="23:23">
      <c r="W11282" s="45"/>
    </row>
    <row r="11283" spans="23:23">
      <c r="W11283" s="45"/>
    </row>
    <row r="11284" spans="23:23">
      <c r="W11284" s="45"/>
    </row>
    <row r="11285" spans="23:23">
      <c r="W11285" s="45"/>
    </row>
    <row r="11286" spans="23:23">
      <c r="W11286" s="45"/>
    </row>
    <row r="11287" spans="23:23">
      <c r="W11287" s="45"/>
    </row>
    <row r="11288" spans="23:23">
      <c r="W11288" s="45"/>
    </row>
    <row r="11289" spans="23:23">
      <c r="W11289" s="45"/>
    </row>
    <row r="11290" spans="23:23">
      <c r="W11290" s="45"/>
    </row>
    <row r="11291" spans="23:23">
      <c r="W11291" s="45"/>
    </row>
    <row r="11292" spans="23:23">
      <c r="W11292" s="45"/>
    </row>
    <row r="11293" spans="23:23">
      <c r="W11293" s="45"/>
    </row>
    <row r="11294" spans="23:23">
      <c r="W11294" s="45"/>
    </row>
    <row r="11295" spans="23:23">
      <c r="W11295" s="45"/>
    </row>
    <row r="11296" spans="23:23">
      <c r="W11296" s="45"/>
    </row>
    <row r="11297" spans="23:23">
      <c r="W11297" s="45"/>
    </row>
    <row r="11298" spans="23:23">
      <c r="W11298" s="45"/>
    </row>
    <row r="11299" spans="23:23">
      <c r="W11299" s="45"/>
    </row>
    <row r="11300" spans="23:23">
      <c r="W11300" s="45"/>
    </row>
    <row r="11301" spans="23:23">
      <c r="W11301" s="45"/>
    </row>
    <row r="11302" spans="23:23">
      <c r="W11302" s="45"/>
    </row>
    <row r="11303" spans="23:23">
      <c r="W11303" s="45"/>
    </row>
    <row r="11304" spans="23:23">
      <c r="W11304" s="45"/>
    </row>
    <row r="11305" spans="23:23">
      <c r="W11305" s="45"/>
    </row>
    <row r="11306" spans="23:23">
      <c r="W11306" s="45"/>
    </row>
    <row r="11307" spans="23:23">
      <c r="W11307" s="45"/>
    </row>
    <row r="11308" spans="23:23">
      <c r="W11308" s="45"/>
    </row>
    <row r="11309" spans="23:23">
      <c r="W11309" s="45"/>
    </row>
    <row r="11310" spans="23:23">
      <c r="W11310" s="45"/>
    </row>
    <row r="11311" spans="23:23">
      <c r="W11311" s="45"/>
    </row>
    <row r="11312" spans="23:23">
      <c r="W11312" s="45"/>
    </row>
    <row r="11313" spans="23:23">
      <c r="W11313" s="45"/>
    </row>
    <row r="11314" spans="23:23">
      <c r="W11314" s="45"/>
    </row>
    <row r="11315" spans="23:23">
      <c r="W11315" s="45"/>
    </row>
    <row r="11316" spans="23:23">
      <c r="W11316" s="45"/>
    </row>
    <row r="11317" spans="23:23">
      <c r="W11317" s="45"/>
    </row>
    <row r="11318" spans="23:23">
      <c r="W11318" s="45"/>
    </row>
    <row r="11319" spans="23:23">
      <c r="W11319" s="45"/>
    </row>
    <row r="11320" spans="23:23">
      <c r="W11320" s="45"/>
    </row>
    <row r="11321" spans="23:23">
      <c r="W11321" s="45"/>
    </row>
    <row r="11322" spans="23:23">
      <c r="W11322" s="45"/>
    </row>
    <row r="11323" spans="23:23">
      <c r="W11323" s="45"/>
    </row>
    <row r="11324" spans="23:23">
      <c r="W11324" s="45"/>
    </row>
    <row r="11325" spans="23:23">
      <c r="W11325" s="45"/>
    </row>
    <row r="11326" spans="23:23">
      <c r="W11326" s="45"/>
    </row>
    <row r="11327" spans="23:23">
      <c r="W11327" s="45"/>
    </row>
    <row r="11328" spans="23:23">
      <c r="W11328" s="45"/>
    </row>
    <row r="11329" spans="23:23">
      <c r="W11329" s="45"/>
    </row>
    <row r="11330" spans="23:23">
      <c r="W11330" s="45"/>
    </row>
    <row r="11331" spans="23:23">
      <c r="W11331" s="45"/>
    </row>
    <row r="11332" spans="23:23">
      <c r="W11332" s="45"/>
    </row>
    <row r="11333" spans="23:23">
      <c r="W11333" s="45"/>
    </row>
    <row r="11334" spans="23:23">
      <c r="W11334" s="45"/>
    </row>
    <row r="11335" spans="23:23">
      <c r="W11335" s="45"/>
    </row>
    <row r="11336" spans="23:23">
      <c r="W11336" s="45"/>
    </row>
    <row r="11337" spans="23:23">
      <c r="W11337" s="45"/>
    </row>
    <row r="11338" spans="23:23">
      <c r="W11338" s="45"/>
    </row>
    <row r="11339" spans="23:23">
      <c r="W11339" s="45"/>
    </row>
    <row r="11340" spans="23:23">
      <c r="W11340" s="45"/>
    </row>
    <row r="11341" spans="23:23">
      <c r="W11341" s="45"/>
    </row>
    <row r="11342" spans="23:23">
      <c r="W11342" s="45"/>
    </row>
    <row r="11343" spans="23:23">
      <c r="W11343" s="45"/>
    </row>
    <row r="11344" spans="23:23">
      <c r="W11344" s="45"/>
    </row>
    <row r="11345" spans="23:23">
      <c r="W11345" s="45"/>
    </row>
    <row r="11346" spans="23:23">
      <c r="W11346" s="45"/>
    </row>
    <row r="11347" spans="23:23">
      <c r="W11347" s="45"/>
    </row>
    <row r="11348" spans="23:23">
      <c r="W11348" s="45"/>
    </row>
    <row r="11349" spans="23:23">
      <c r="W11349" s="45"/>
    </row>
    <row r="11350" spans="23:23">
      <c r="W11350" s="45"/>
    </row>
    <row r="11351" spans="23:23">
      <c r="W11351" s="45"/>
    </row>
    <row r="11352" spans="23:23">
      <c r="W11352" s="45"/>
    </row>
    <row r="11353" spans="23:23">
      <c r="W11353" s="45"/>
    </row>
    <row r="11354" spans="23:23">
      <c r="W11354" s="45"/>
    </row>
    <row r="11355" spans="23:23">
      <c r="W11355" s="45"/>
    </row>
    <row r="11356" spans="23:23">
      <c r="W11356" s="45"/>
    </row>
    <row r="11357" spans="23:23">
      <c r="W11357" s="45"/>
    </row>
    <row r="11358" spans="23:23">
      <c r="W11358" s="45"/>
    </row>
    <row r="11359" spans="23:23">
      <c r="W11359" s="45"/>
    </row>
    <row r="11360" spans="23:23">
      <c r="W11360" s="45"/>
    </row>
    <row r="11361" spans="23:23">
      <c r="W11361" s="45"/>
    </row>
    <row r="11362" spans="23:23">
      <c r="W11362" s="45"/>
    </row>
    <row r="11363" spans="23:23">
      <c r="W11363" s="45"/>
    </row>
    <row r="11364" spans="23:23">
      <c r="W11364" s="45"/>
    </row>
    <row r="11365" spans="23:23">
      <c r="W11365" s="45"/>
    </row>
    <row r="11366" spans="23:23">
      <c r="W11366" s="45"/>
    </row>
    <row r="11367" spans="23:23">
      <c r="W11367" s="45"/>
    </row>
    <row r="11368" spans="23:23">
      <c r="W11368" s="45"/>
    </row>
    <row r="11369" spans="23:23">
      <c r="W11369" s="45"/>
    </row>
    <row r="11370" spans="23:23">
      <c r="W11370" s="45"/>
    </row>
    <row r="11371" spans="23:23">
      <c r="W11371" s="45"/>
    </row>
    <row r="11372" spans="23:23">
      <c r="W11372" s="45"/>
    </row>
    <row r="11373" spans="23:23">
      <c r="W11373" s="45"/>
    </row>
    <row r="11374" spans="23:23">
      <c r="W11374" s="45"/>
    </row>
    <row r="11375" spans="23:23">
      <c r="W11375" s="45"/>
    </row>
    <row r="11376" spans="23:23">
      <c r="W11376" s="45"/>
    </row>
    <row r="11377" spans="23:23">
      <c r="W11377" s="45"/>
    </row>
    <row r="11378" spans="23:23">
      <c r="W11378" s="45"/>
    </row>
    <row r="11379" spans="23:23">
      <c r="W11379" s="45"/>
    </row>
    <row r="11380" spans="23:23">
      <c r="W11380" s="45"/>
    </row>
    <row r="11381" spans="23:23">
      <c r="W11381" s="45"/>
    </row>
    <row r="11382" spans="23:23">
      <c r="W11382" s="45"/>
    </row>
    <row r="11383" spans="23:23">
      <c r="W11383" s="45"/>
    </row>
    <row r="11384" spans="23:23">
      <c r="W11384" s="45"/>
    </row>
    <row r="11385" spans="23:23">
      <c r="W11385" s="45"/>
    </row>
    <row r="11386" spans="23:23">
      <c r="W11386" s="45"/>
    </row>
    <row r="11387" spans="23:23">
      <c r="W11387" s="45"/>
    </row>
    <row r="11388" spans="23:23">
      <c r="W11388" s="45"/>
    </row>
    <row r="11389" spans="23:23">
      <c r="W11389" s="45"/>
    </row>
    <row r="11390" spans="23:23">
      <c r="W11390" s="45"/>
    </row>
    <row r="11391" spans="23:23">
      <c r="W11391" s="45"/>
    </row>
    <row r="11392" spans="23:23">
      <c r="W11392" s="45"/>
    </row>
    <row r="11393" spans="23:23">
      <c r="W11393" s="45"/>
    </row>
    <row r="11394" spans="23:23">
      <c r="W11394" s="45"/>
    </row>
    <row r="11395" spans="23:23">
      <c r="W11395" s="45"/>
    </row>
    <row r="11396" spans="23:23">
      <c r="W11396" s="45"/>
    </row>
    <row r="11397" spans="23:23">
      <c r="W11397" s="45"/>
    </row>
    <row r="11398" spans="23:23">
      <c r="W11398" s="45"/>
    </row>
    <row r="11399" spans="23:23">
      <c r="W11399" s="45"/>
    </row>
    <row r="11400" spans="23:23">
      <c r="W11400" s="45"/>
    </row>
    <row r="11401" spans="23:23">
      <c r="W11401" s="45"/>
    </row>
    <row r="11402" spans="23:23">
      <c r="W11402" s="45"/>
    </row>
    <row r="11403" spans="23:23">
      <c r="W11403" s="45"/>
    </row>
    <row r="11404" spans="23:23">
      <c r="W11404" s="45"/>
    </row>
    <row r="11405" spans="23:23">
      <c r="W11405" s="45"/>
    </row>
    <row r="11406" spans="23:23">
      <c r="W11406" s="45"/>
    </row>
    <row r="11407" spans="23:23">
      <c r="W11407" s="45"/>
    </row>
    <row r="11408" spans="23:23">
      <c r="W11408" s="45"/>
    </row>
    <row r="11409" spans="23:23">
      <c r="W11409" s="45"/>
    </row>
    <row r="11410" spans="23:23">
      <c r="W11410" s="45"/>
    </row>
    <row r="11411" spans="23:23">
      <c r="W11411" s="45"/>
    </row>
    <row r="11412" spans="23:23">
      <c r="W11412" s="45"/>
    </row>
    <row r="11413" spans="23:23">
      <c r="W11413" s="45"/>
    </row>
    <row r="11414" spans="23:23">
      <c r="W11414" s="45"/>
    </row>
    <row r="11415" spans="23:23">
      <c r="W11415" s="45"/>
    </row>
    <row r="11416" spans="23:23">
      <c r="W11416" s="45"/>
    </row>
    <row r="11417" spans="23:23">
      <c r="W11417" s="45"/>
    </row>
    <row r="11418" spans="23:23">
      <c r="W11418" s="45"/>
    </row>
    <row r="11419" spans="23:23">
      <c r="W11419" s="45"/>
    </row>
    <row r="11420" spans="23:23">
      <c r="W11420" s="45"/>
    </row>
    <row r="11421" spans="23:23">
      <c r="W11421" s="45"/>
    </row>
    <row r="11422" spans="23:23">
      <c r="W11422" s="45"/>
    </row>
    <row r="11423" spans="23:23">
      <c r="W11423" s="45"/>
    </row>
    <row r="11424" spans="23:23">
      <c r="W11424" s="45"/>
    </row>
    <row r="11425" spans="23:23">
      <c r="W11425" s="45"/>
    </row>
    <row r="11426" spans="23:23">
      <c r="W11426" s="45"/>
    </row>
    <row r="11427" spans="23:23">
      <c r="W11427" s="45"/>
    </row>
    <row r="11428" spans="23:23">
      <c r="W11428" s="45"/>
    </row>
    <row r="11429" spans="23:23">
      <c r="W11429" s="45"/>
    </row>
    <row r="11430" spans="23:23">
      <c r="W11430" s="45"/>
    </row>
    <row r="11431" spans="23:23">
      <c r="W11431" s="45"/>
    </row>
    <row r="11432" spans="23:23">
      <c r="W11432" s="45"/>
    </row>
    <row r="11433" spans="23:23">
      <c r="W11433" s="45"/>
    </row>
    <row r="11434" spans="23:23">
      <c r="W11434" s="45"/>
    </row>
    <row r="11435" spans="23:23">
      <c r="W11435" s="45"/>
    </row>
    <row r="11436" spans="23:23">
      <c r="W11436" s="45"/>
    </row>
    <row r="11437" spans="23:23">
      <c r="W11437" s="45"/>
    </row>
    <row r="11438" spans="23:23">
      <c r="W11438" s="45"/>
    </row>
    <row r="11439" spans="23:23">
      <c r="W11439" s="45"/>
    </row>
    <row r="11440" spans="23:23">
      <c r="W11440" s="45"/>
    </row>
    <row r="11441" spans="23:23">
      <c r="W11441" s="45"/>
    </row>
    <row r="11442" spans="23:23">
      <c r="W11442" s="45"/>
    </row>
    <row r="11443" spans="23:23">
      <c r="W11443" s="45"/>
    </row>
    <row r="11444" spans="23:23">
      <c r="W11444" s="45"/>
    </row>
    <row r="11445" spans="23:23">
      <c r="W11445" s="45"/>
    </row>
    <row r="11446" spans="23:23">
      <c r="W11446" s="45"/>
    </row>
    <row r="11447" spans="23:23">
      <c r="W11447" s="45"/>
    </row>
    <row r="11448" spans="23:23">
      <c r="W11448" s="45"/>
    </row>
    <row r="11449" spans="23:23">
      <c r="W11449" s="45"/>
    </row>
    <row r="11450" spans="23:23">
      <c r="W11450" s="45"/>
    </row>
    <row r="11451" spans="23:23">
      <c r="W11451" s="45"/>
    </row>
    <row r="11452" spans="23:23">
      <c r="W11452" s="45"/>
    </row>
    <row r="11453" spans="23:23">
      <c r="W11453" s="45"/>
    </row>
    <row r="11454" spans="23:23">
      <c r="W11454" s="45"/>
    </row>
    <row r="11455" spans="23:23">
      <c r="W11455" s="45"/>
    </row>
    <row r="11456" spans="23:23">
      <c r="W11456" s="45"/>
    </row>
    <row r="11457" spans="23:23">
      <c r="W11457" s="45"/>
    </row>
    <row r="11458" spans="23:23">
      <c r="W11458" s="45"/>
    </row>
    <row r="11459" spans="23:23">
      <c r="W11459" s="45"/>
    </row>
    <row r="11460" spans="23:23">
      <c r="W11460" s="45"/>
    </row>
    <row r="11461" spans="23:23">
      <c r="W11461" s="45"/>
    </row>
    <row r="11462" spans="23:23">
      <c r="W11462" s="45"/>
    </row>
    <row r="11463" spans="23:23">
      <c r="W11463" s="45"/>
    </row>
    <row r="11464" spans="23:23">
      <c r="W11464" s="45"/>
    </row>
    <row r="11465" spans="23:23">
      <c r="W11465" s="45"/>
    </row>
    <row r="11466" spans="23:23">
      <c r="W11466" s="45"/>
    </row>
    <row r="11467" spans="23:23">
      <c r="W11467" s="45"/>
    </row>
    <row r="11468" spans="23:23">
      <c r="W11468" s="45"/>
    </row>
    <row r="11469" spans="23:23">
      <c r="W11469" s="45"/>
    </row>
    <row r="11470" spans="23:23">
      <c r="W11470" s="45"/>
    </row>
    <row r="11471" spans="23:23">
      <c r="W11471" s="45"/>
    </row>
    <row r="11472" spans="23:23">
      <c r="W11472" s="45"/>
    </row>
    <row r="11473" spans="23:23">
      <c r="W11473" s="45"/>
    </row>
    <row r="11474" spans="23:23">
      <c r="W11474" s="45"/>
    </row>
    <row r="11475" spans="23:23">
      <c r="W11475" s="45"/>
    </row>
    <row r="11476" spans="23:23">
      <c r="W11476" s="45"/>
    </row>
    <row r="11477" spans="23:23">
      <c r="W11477" s="45"/>
    </row>
    <row r="11478" spans="23:23">
      <c r="W11478" s="45"/>
    </row>
    <row r="11479" spans="23:23">
      <c r="W11479" s="45"/>
    </row>
    <row r="11480" spans="23:23">
      <c r="W11480" s="45"/>
    </row>
    <row r="11481" spans="23:23">
      <c r="W11481" s="45"/>
    </row>
    <row r="11482" spans="23:23">
      <c r="W11482" s="45"/>
    </row>
    <row r="11483" spans="23:23">
      <c r="W11483" s="45"/>
    </row>
    <row r="11484" spans="23:23">
      <c r="W11484" s="45"/>
    </row>
    <row r="11485" spans="23:23">
      <c r="W11485" s="45"/>
    </row>
    <row r="11486" spans="23:23">
      <c r="W11486" s="45"/>
    </row>
    <row r="11487" spans="23:23">
      <c r="W11487" s="45"/>
    </row>
    <row r="11488" spans="23:23">
      <c r="W11488" s="45"/>
    </row>
    <row r="11489" spans="23:23">
      <c r="W11489" s="45"/>
    </row>
    <row r="11490" spans="23:23">
      <c r="W11490" s="45"/>
    </row>
    <row r="11491" spans="23:23">
      <c r="W11491" s="45"/>
    </row>
    <row r="11492" spans="23:23">
      <c r="W11492" s="45"/>
    </row>
    <row r="11493" spans="23:23">
      <c r="W11493" s="45"/>
    </row>
    <row r="11494" spans="23:23">
      <c r="W11494" s="45"/>
    </row>
    <row r="11495" spans="23:23">
      <c r="W11495" s="45"/>
    </row>
    <row r="11496" spans="23:23">
      <c r="W11496" s="45"/>
    </row>
    <row r="11497" spans="23:23">
      <c r="W11497" s="45"/>
    </row>
    <row r="11498" spans="23:23">
      <c r="W11498" s="45"/>
    </row>
    <row r="11499" spans="23:23">
      <c r="W11499" s="45"/>
    </row>
    <row r="11500" spans="23:23">
      <c r="W11500" s="45"/>
    </row>
    <row r="11501" spans="23:23">
      <c r="W11501" s="45"/>
    </row>
    <row r="11502" spans="23:23">
      <c r="W11502" s="45"/>
    </row>
    <row r="11503" spans="23:23">
      <c r="W11503" s="45"/>
    </row>
    <row r="11504" spans="23:23">
      <c r="W11504" s="45"/>
    </row>
    <row r="11505" spans="23:23">
      <c r="W11505" s="45"/>
    </row>
    <row r="11506" spans="23:23">
      <c r="W11506" s="45"/>
    </row>
    <row r="11507" spans="23:23">
      <c r="W11507" s="45"/>
    </row>
    <row r="11508" spans="23:23">
      <c r="W11508" s="45"/>
    </row>
    <row r="11509" spans="23:23">
      <c r="W11509" s="45"/>
    </row>
    <row r="11510" spans="23:23">
      <c r="W11510" s="45"/>
    </row>
    <row r="11511" spans="23:23">
      <c r="W11511" s="45"/>
    </row>
    <row r="11512" spans="23:23">
      <c r="W11512" s="45"/>
    </row>
    <row r="11513" spans="23:23">
      <c r="W11513" s="45"/>
    </row>
    <row r="11514" spans="23:23">
      <c r="W11514" s="45"/>
    </row>
    <row r="11515" spans="23:23">
      <c r="W11515" s="45"/>
    </row>
    <row r="11516" spans="23:23">
      <c r="W11516" s="45"/>
    </row>
    <row r="11517" spans="23:23">
      <c r="W11517" s="45"/>
    </row>
    <row r="11518" spans="23:23">
      <c r="W11518" s="45"/>
    </row>
    <row r="11519" spans="23:23">
      <c r="W11519" s="45"/>
    </row>
    <row r="11520" spans="23:23">
      <c r="W11520" s="45"/>
    </row>
    <row r="11521" spans="23:23">
      <c r="W11521" s="45"/>
    </row>
    <row r="11522" spans="23:23">
      <c r="W11522" s="45"/>
    </row>
    <row r="11523" spans="23:23">
      <c r="W11523" s="45"/>
    </row>
    <row r="11524" spans="23:23">
      <c r="W11524" s="45"/>
    </row>
    <row r="11525" spans="23:23">
      <c r="W11525" s="45"/>
    </row>
    <row r="11526" spans="23:23">
      <c r="W11526" s="45"/>
    </row>
    <row r="11527" spans="23:23">
      <c r="W11527" s="45"/>
    </row>
    <row r="11528" spans="23:23">
      <c r="W11528" s="45"/>
    </row>
    <row r="11529" spans="23:23">
      <c r="W11529" s="45"/>
    </row>
    <row r="11530" spans="23:23">
      <c r="W11530" s="45"/>
    </row>
    <row r="11531" spans="23:23">
      <c r="W11531" s="45"/>
    </row>
    <row r="11532" spans="23:23">
      <c r="W11532" s="45"/>
    </row>
    <row r="11533" spans="23:23">
      <c r="W11533" s="45"/>
    </row>
    <row r="11534" spans="23:23">
      <c r="W11534" s="45"/>
    </row>
    <row r="11535" spans="23:23">
      <c r="W11535" s="45"/>
    </row>
    <row r="11536" spans="23:23">
      <c r="W11536" s="45"/>
    </row>
    <row r="11537" spans="23:23">
      <c r="W11537" s="45"/>
    </row>
    <row r="11538" spans="23:23">
      <c r="W11538" s="45"/>
    </row>
    <row r="11539" spans="23:23">
      <c r="W11539" s="45"/>
    </row>
    <row r="11540" spans="23:23">
      <c r="W11540" s="45"/>
    </row>
    <row r="11541" spans="23:23">
      <c r="W11541" s="45"/>
    </row>
    <row r="11542" spans="23:23">
      <c r="W11542" s="45"/>
    </row>
    <row r="11543" spans="23:23">
      <c r="W11543" s="45"/>
    </row>
    <row r="11544" spans="23:23">
      <c r="W11544" s="45"/>
    </row>
    <row r="11545" spans="23:23">
      <c r="W11545" s="45"/>
    </row>
    <row r="11546" spans="23:23">
      <c r="W11546" s="45"/>
    </row>
    <row r="11547" spans="23:23">
      <c r="W11547" s="45"/>
    </row>
    <row r="11548" spans="23:23">
      <c r="W11548" s="45"/>
    </row>
    <row r="11549" spans="23:23">
      <c r="W11549" s="45"/>
    </row>
    <row r="11550" spans="23:23">
      <c r="W11550" s="45"/>
    </row>
    <row r="11551" spans="23:23">
      <c r="W11551" s="45"/>
    </row>
    <row r="11552" spans="23:23">
      <c r="W11552" s="45"/>
    </row>
    <row r="11553" spans="23:23">
      <c r="W11553" s="45"/>
    </row>
    <row r="11554" spans="23:23">
      <c r="W11554" s="45"/>
    </row>
    <row r="11555" spans="23:23">
      <c r="W11555" s="45"/>
    </row>
    <row r="11556" spans="23:23">
      <c r="W11556" s="45"/>
    </row>
    <row r="11557" spans="23:23">
      <c r="W11557" s="45"/>
    </row>
    <row r="11558" spans="23:23">
      <c r="W11558" s="45"/>
    </row>
    <row r="11559" spans="23:23">
      <c r="W11559" s="45"/>
    </row>
    <row r="11560" spans="23:23">
      <c r="W11560" s="45"/>
    </row>
    <row r="11561" spans="23:23">
      <c r="W11561" s="45"/>
    </row>
    <row r="11562" spans="23:23">
      <c r="W11562" s="45"/>
    </row>
    <row r="11563" spans="23:23">
      <c r="W11563" s="45"/>
    </row>
    <row r="11564" spans="23:23">
      <c r="W11564" s="45"/>
    </row>
    <row r="11565" spans="23:23">
      <c r="W11565" s="45"/>
    </row>
    <row r="11566" spans="23:23">
      <c r="W11566" s="45"/>
    </row>
    <row r="11567" spans="23:23">
      <c r="W11567" s="45"/>
    </row>
    <row r="11568" spans="23:23">
      <c r="W11568" s="45"/>
    </row>
    <row r="11569" spans="23:23">
      <c r="W11569" s="45"/>
    </row>
    <row r="11570" spans="23:23">
      <c r="W11570" s="45"/>
    </row>
    <row r="11571" spans="23:23">
      <c r="W11571" s="45"/>
    </row>
    <row r="11572" spans="23:23">
      <c r="W11572" s="45"/>
    </row>
    <row r="11573" spans="23:23">
      <c r="W11573" s="45"/>
    </row>
    <row r="11574" spans="23:23">
      <c r="W11574" s="45"/>
    </row>
    <row r="11575" spans="23:23">
      <c r="W11575" s="45"/>
    </row>
    <row r="11576" spans="23:23">
      <c r="W11576" s="45"/>
    </row>
    <row r="11577" spans="23:23">
      <c r="W11577" s="45"/>
    </row>
    <row r="11578" spans="23:23">
      <c r="W11578" s="45"/>
    </row>
    <row r="11579" spans="23:23">
      <c r="W11579" s="45"/>
    </row>
    <row r="11580" spans="23:23">
      <c r="W11580" s="45"/>
    </row>
    <row r="11581" spans="23:23">
      <c r="W11581" s="45"/>
    </row>
    <row r="11582" spans="23:23">
      <c r="W11582" s="45"/>
    </row>
    <row r="11583" spans="23:23">
      <c r="W11583" s="45"/>
    </row>
    <row r="11584" spans="23:23">
      <c r="W11584" s="45"/>
    </row>
    <row r="11585" spans="23:23">
      <c r="W11585" s="45"/>
    </row>
    <row r="11586" spans="23:23">
      <c r="W11586" s="45"/>
    </row>
    <row r="11587" spans="23:23">
      <c r="W11587" s="45"/>
    </row>
    <row r="11588" spans="23:23">
      <c r="W11588" s="45"/>
    </row>
    <row r="11589" spans="23:23">
      <c r="W11589" s="45"/>
    </row>
    <row r="11590" spans="23:23">
      <c r="W11590" s="45"/>
    </row>
    <row r="11591" spans="23:23">
      <c r="W11591" s="45"/>
    </row>
    <row r="11592" spans="23:23">
      <c r="W11592" s="45"/>
    </row>
    <row r="11593" spans="23:23">
      <c r="W11593" s="45"/>
    </row>
    <row r="11594" spans="23:23">
      <c r="W11594" s="45"/>
    </row>
    <row r="11595" spans="23:23">
      <c r="W11595" s="45"/>
    </row>
    <row r="11596" spans="23:23">
      <c r="W11596" s="45"/>
    </row>
    <row r="11597" spans="23:23">
      <c r="W11597" s="45"/>
    </row>
    <row r="11598" spans="23:23">
      <c r="W11598" s="45"/>
    </row>
    <row r="11599" spans="23:23">
      <c r="W11599" s="45"/>
    </row>
    <row r="11600" spans="23:23">
      <c r="W11600" s="45"/>
    </row>
    <row r="11601" spans="23:23">
      <c r="W11601" s="45"/>
    </row>
    <row r="11602" spans="23:23">
      <c r="W11602" s="45"/>
    </row>
    <row r="11603" spans="23:23">
      <c r="W11603" s="45"/>
    </row>
    <row r="11604" spans="23:23">
      <c r="W11604" s="45"/>
    </row>
    <row r="11605" spans="23:23">
      <c r="W11605" s="45"/>
    </row>
    <row r="11606" spans="23:23">
      <c r="W11606" s="45"/>
    </row>
    <row r="11607" spans="23:23">
      <c r="W11607" s="45"/>
    </row>
    <row r="11608" spans="23:23">
      <c r="W11608" s="45"/>
    </row>
    <row r="11609" spans="23:23">
      <c r="W11609" s="45"/>
    </row>
    <row r="11610" spans="23:23">
      <c r="W11610" s="45"/>
    </row>
    <row r="11611" spans="23:23">
      <c r="W11611" s="45"/>
    </row>
    <row r="11612" spans="23:23">
      <c r="W11612" s="45"/>
    </row>
    <row r="11613" spans="23:23">
      <c r="W11613" s="45"/>
    </row>
    <row r="11614" spans="23:23">
      <c r="W11614" s="45"/>
    </row>
    <row r="11615" spans="23:23">
      <c r="W11615" s="45"/>
    </row>
    <row r="11616" spans="23:23">
      <c r="W11616" s="45"/>
    </row>
    <row r="11617" spans="23:23">
      <c r="W11617" s="45"/>
    </row>
    <row r="11618" spans="23:23">
      <c r="W11618" s="45"/>
    </row>
    <row r="11619" spans="23:23">
      <c r="W11619" s="45"/>
    </row>
    <row r="11620" spans="23:23">
      <c r="W11620" s="45"/>
    </row>
    <row r="11621" spans="23:23">
      <c r="W11621" s="45"/>
    </row>
    <row r="11622" spans="23:23">
      <c r="W11622" s="45"/>
    </row>
    <row r="11623" spans="23:23">
      <c r="W11623" s="45"/>
    </row>
    <row r="11624" spans="23:23">
      <c r="W11624" s="45"/>
    </row>
    <row r="11625" spans="23:23">
      <c r="W11625" s="45"/>
    </row>
    <row r="11626" spans="23:23">
      <c r="W11626" s="45"/>
    </row>
    <row r="11627" spans="23:23">
      <c r="W11627" s="45"/>
    </row>
    <row r="11628" spans="23:23">
      <c r="W11628" s="45"/>
    </row>
    <row r="11629" spans="23:23">
      <c r="W11629" s="45"/>
    </row>
    <row r="11630" spans="23:23">
      <c r="W11630" s="45"/>
    </row>
    <row r="11631" spans="23:23">
      <c r="W11631" s="45"/>
    </row>
    <row r="11632" spans="23:23">
      <c r="W11632" s="45"/>
    </row>
    <row r="11633" spans="23:23">
      <c r="W11633" s="45"/>
    </row>
    <row r="11634" spans="23:23">
      <c r="W11634" s="45"/>
    </row>
    <row r="11635" spans="23:23">
      <c r="W11635" s="45"/>
    </row>
    <row r="11636" spans="23:23">
      <c r="W11636" s="45"/>
    </row>
    <row r="11637" spans="23:23">
      <c r="W11637" s="45"/>
    </row>
    <row r="11638" spans="23:23">
      <c r="W11638" s="45"/>
    </row>
    <row r="11639" spans="23:23">
      <c r="W11639" s="45"/>
    </row>
    <row r="11640" spans="23:23">
      <c r="W11640" s="45"/>
    </row>
    <row r="11641" spans="23:23">
      <c r="W11641" s="45"/>
    </row>
    <row r="11642" spans="23:23">
      <c r="W11642" s="45"/>
    </row>
    <row r="11643" spans="23:23">
      <c r="W11643" s="45"/>
    </row>
    <row r="11644" spans="23:23">
      <c r="W11644" s="45"/>
    </row>
    <row r="11645" spans="23:23">
      <c r="W11645" s="45"/>
    </row>
    <row r="11646" spans="23:23">
      <c r="W11646" s="45"/>
    </row>
    <row r="11647" spans="23:23">
      <c r="W11647" s="45"/>
    </row>
    <row r="11648" spans="23:23">
      <c r="W11648" s="45"/>
    </row>
    <row r="11649" spans="23:23">
      <c r="W11649" s="45"/>
    </row>
    <row r="11650" spans="23:23">
      <c r="W11650" s="45"/>
    </row>
    <row r="11651" spans="23:23">
      <c r="W11651" s="45"/>
    </row>
    <row r="11652" spans="23:23">
      <c r="W11652" s="45"/>
    </row>
    <row r="11653" spans="23:23">
      <c r="W11653" s="45"/>
    </row>
    <row r="11654" spans="23:23">
      <c r="W11654" s="45"/>
    </row>
    <row r="11655" spans="23:23">
      <c r="W11655" s="45"/>
    </row>
    <row r="11656" spans="23:23">
      <c r="W11656" s="45"/>
    </row>
    <row r="11657" spans="23:23">
      <c r="W11657" s="45"/>
    </row>
    <row r="11658" spans="23:23">
      <c r="W11658" s="45"/>
    </row>
    <row r="11659" spans="23:23">
      <c r="W11659" s="45"/>
    </row>
    <row r="11660" spans="23:23">
      <c r="W11660" s="45"/>
    </row>
    <row r="11661" spans="23:23">
      <c r="W11661" s="45"/>
    </row>
    <row r="11662" spans="23:23">
      <c r="W11662" s="45"/>
    </row>
    <row r="11663" spans="23:23">
      <c r="W11663" s="45"/>
    </row>
    <row r="11664" spans="23:23">
      <c r="W11664" s="45"/>
    </row>
    <row r="11665" spans="23:23">
      <c r="W11665" s="45"/>
    </row>
    <row r="11666" spans="23:23">
      <c r="W11666" s="45"/>
    </row>
    <row r="11667" spans="23:23">
      <c r="W11667" s="45"/>
    </row>
    <row r="11668" spans="23:23">
      <c r="W11668" s="45"/>
    </row>
    <row r="11669" spans="23:23">
      <c r="W11669" s="45"/>
    </row>
    <row r="11670" spans="23:23">
      <c r="W11670" s="45"/>
    </row>
    <row r="11671" spans="23:23">
      <c r="W11671" s="45"/>
    </row>
    <row r="11672" spans="23:23">
      <c r="W11672" s="45"/>
    </row>
    <row r="11673" spans="23:23">
      <c r="W11673" s="45"/>
    </row>
    <row r="11674" spans="23:23">
      <c r="W11674" s="45"/>
    </row>
    <row r="11675" spans="23:23">
      <c r="W11675" s="45"/>
    </row>
    <row r="11676" spans="23:23">
      <c r="W11676" s="45"/>
    </row>
    <row r="11677" spans="23:23">
      <c r="W11677" s="45"/>
    </row>
    <row r="11678" spans="23:23">
      <c r="W11678" s="45"/>
    </row>
    <row r="11679" spans="23:23">
      <c r="W11679" s="45"/>
    </row>
    <row r="11680" spans="23:23">
      <c r="W11680" s="45"/>
    </row>
    <row r="11681" spans="23:23">
      <c r="W11681" s="45"/>
    </row>
    <row r="11682" spans="23:23">
      <c r="W11682" s="45"/>
    </row>
    <row r="11683" spans="23:23">
      <c r="W11683" s="45"/>
    </row>
    <row r="11684" spans="23:23">
      <c r="W11684" s="45"/>
    </row>
    <row r="11685" spans="23:23">
      <c r="W11685" s="45"/>
    </row>
    <row r="11686" spans="23:23">
      <c r="W11686" s="45"/>
    </row>
    <row r="11687" spans="23:23">
      <c r="W11687" s="45"/>
    </row>
    <row r="11688" spans="23:23">
      <c r="W11688" s="45"/>
    </row>
    <row r="11689" spans="23:23">
      <c r="W11689" s="45"/>
    </row>
    <row r="11690" spans="23:23">
      <c r="W11690" s="45"/>
    </row>
    <row r="11691" spans="23:23">
      <c r="W11691" s="45"/>
    </row>
    <row r="11692" spans="23:23">
      <c r="W11692" s="45"/>
    </row>
    <row r="11693" spans="23:23">
      <c r="W11693" s="45"/>
    </row>
    <row r="11694" spans="23:23">
      <c r="W11694" s="45"/>
    </row>
    <row r="11695" spans="23:23">
      <c r="W11695" s="45"/>
    </row>
    <row r="11696" spans="23:23">
      <c r="W11696" s="45"/>
    </row>
    <row r="11697" spans="23:23">
      <c r="W11697" s="45"/>
    </row>
    <row r="11698" spans="23:23">
      <c r="W11698" s="45"/>
    </row>
    <row r="11699" spans="23:23">
      <c r="W11699" s="45"/>
    </row>
    <row r="11700" spans="23:23">
      <c r="W11700" s="45"/>
    </row>
    <row r="11701" spans="23:23">
      <c r="W11701" s="45"/>
    </row>
    <row r="11702" spans="23:23">
      <c r="W11702" s="45"/>
    </row>
    <row r="11703" spans="23:23">
      <c r="W11703" s="45"/>
    </row>
    <row r="11704" spans="23:23">
      <c r="W11704" s="45"/>
    </row>
    <row r="11705" spans="23:23">
      <c r="W11705" s="45"/>
    </row>
    <row r="11706" spans="23:23">
      <c r="W11706" s="45"/>
    </row>
    <row r="11707" spans="23:23">
      <c r="W11707" s="45"/>
    </row>
    <row r="11708" spans="23:23">
      <c r="W11708" s="45"/>
    </row>
    <row r="11709" spans="23:23">
      <c r="W11709" s="45"/>
    </row>
    <row r="11710" spans="23:23">
      <c r="W11710" s="45"/>
    </row>
    <row r="11711" spans="23:23">
      <c r="W11711" s="45"/>
    </row>
    <row r="11712" spans="23:23">
      <c r="W11712" s="45"/>
    </row>
    <row r="11713" spans="23:23">
      <c r="W11713" s="45"/>
    </row>
    <row r="11714" spans="23:23">
      <c r="W11714" s="45"/>
    </row>
    <row r="11715" spans="23:23">
      <c r="W11715" s="45"/>
    </row>
    <row r="11716" spans="23:23">
      <c r="W11716" s="45"/>
    </row>
    <row r="11717" spans="23:23">
      <c r="W11717" s="45"/>
    </row>
    <row r="11718" spans="23:23">
      <c r="W11718" s="45"/>
    </row>
    <row r="11719" spans="23:23">
      <c r="W11719" s="45"/>
    </row>
    <row r="11720" spans="23:23">
      <c r="W11720" s="45"/>
    </row>
    <row r="11721" spans="23:23">
      <c r="W11721" s="45"/>
    </row>
    <row r="11722" spans="23:23">
      <c r="W11722" s="45"/>
    </row>
    <row r="11723" spans="23:23">
      <c r="W11723" s="45"/>
    </row>
    <row r="11724" spans="23:23">
      <c r="W11724" s="45"/>
    </row>
    <row r="11725" spans="23:23">
      <c r="W11725" s="45"/>
    </row>
    <row r="11726" spans="23:23">
      <c r="W11726" s="45"/>
    </row>
    <row r="11727" spans="23:23">
      <c r="W11727" s="45"/>
    </row>
    <row r="11728" spans="23:23">
      <c r="W11728" s="45"/>
    </row>
    <row r="11729" spans="23:23">
      <c r="W11729" s="45"/>
    </row>
    <row r="11730" spans="23:23">
      <c r="W11730" s="45"/>
    </row>
    <row r="11731" spans="23:23">
      <c r="W11731" s="45"/>
    </row>
    <row r="11732" spans="23:23">
      <c r="W11732" s="45"/>
    </row>
    <row r="11733" spans="23:23">
      <c r="W11733" s="45"/>
    </row>
    <row r="11734" spans="23:23">
      <c r="W11734" s="45"/>
    </row>
    <row r="11735" spans="23:23">
      <c r="W11735" s="45"/>
    </row>
    <row r="11736" spans="23:23">
      <c r="W11736" s="45"/>
    </row>
    <row r="11737" spans="23:23">
      <c r="W11737" s="45"/>
    </row>
    <row r="11738" spans="23:23">
      <c r="W11738" s="45"/>
    </row>
    <row r="11739" spans="23:23">
      <c r="W11739" s="45"/>
    </row>
    <row r="11740" spans="23:23">
      <c r="W11740" s="45"/>
    </row>
    <row r="11741" spans="23:23">
      <c r="W11741" s="45"/>
    </row>
    <row r="11742" spans="23:23">
      <c r="W11742" s="45"/>
    </row>
    <row r="11743" spans="23:23">
      <c r="W11743" s="45"/>
    </row>
    <row r="11744" spans="23:23">
      <c r="W11744" s="45"/>
    </row>
    <row r="11745" spans="23:23">
      <c r="W11745" s="45"/>
    </row>
    <row r="11746" spans="23:23">
      <c r="W11746" s="45"/>
    </row>
    <row r="11747" spans="23:23">
      <c r="W11747" s="45"/>
    </row>
    <row r="11748" spans="23:23">
      <c r="W11748" s="45"/>
    </row>
    <row r="11749" spans="23:23">
      <c r="W11749" s="45"/>
    </row>
    <row r="11750" spans="23:23">
      <c r="W11750" s="45"/>
    </row>
    <row r="11751" spans="23:23">
      <c r="W11751" s="45"/>
    </row>
    <row r="11752" spans="23:23">
      <c r="W11752" s="45"/>
    </row>
    <row r="11753" spans="23:23">
      <c r="W11753" s="45"/>
    </row>
    <row r="11754" spans="23:23">
      <c r="W11754" s="45"/>
    </row>
    <row r="11755" spans="23:23">
      <c r="W11755" s="45"/>
    </row>
    <row r="11756" spans="23:23">
      <c r="W11756" s="45"/>
    </row>
    <row r="11757" spans="23:23">
      <c r="W11757" s="45"/>
    </row>
    <row r="11758" spans="23:23">
      <c r="W11758" s="45"/>
    </row>
    <row r="11759" spans="23:23">
      <c r="W11759" s="45"/>
    </row>
    <row r="11760" spans="23:23">
      <c r="W11760" s="45"/>
    </row>
    <row r="11761" spans="23:23">
      <c r="W11761" s="45"/>
    </row>
    <row r="11762" spans="23:23">
      <c r="W11762" s="45"/>
    </row>
    <row r="11763" spans="23:23">
      <c r="W11763" s="45"/>
    </row>
    <row r="11764" spans="23:23">
      <c r="W11764" s="45"/>
    </row>
    <row r="11765" spans="23:23">
      <c r="W11765" s="45"/>
    </row>
    <row r="11766" spans="23:23">
      <c r="W11766" s="45"/>
    </row>
    <row r="11767" spans="23:23">
      <c r="W11767" s="45"/>
    </row>
    <row r="11768" spans="23:23">
      <c r="W11768" s="45"/>
    </row>
    <row r="11769" spans="23:23">
      <c r="W11769" s="45"/>
    </row>
    <row r="11770" spans="23:23">
      <c r="W11770" s="45"/>
    </row>
    <row r="11771" spans="23:23">
      <c r="W11771" s="45"/>
    </row>
    <row r="11772" spans="23:23">
      <c r="W11772" s="45"/>
    </row>
    <row r="11773" spans="23:23">
      <c r="W11773" s="45"/>
    </row>
    <row r="11774" spans="23:23">
      <c r="W11774" s="45"/>
    </row>
    <row r="11775" spans="23:23">
      <c r="W11775" s="45"/>
    </row>
    <row r="11776" spans="23:23">
      <c r="W11776" s="45"/>
    </row>
    <row r="11777" spans="23:23">
      <c r="W11777" s="45"/>
    </row>
    <row r="11778" spans="23:23">
      <c r="W11778" s="45"/>
    </row>
    <row r="11779" spans="23:23">
      <c r="W11779" s="45"/>
    </row>
    <row r="11780" spans="23:23">
      <c r="W11780" s="45"/>
    </row>
    <row r="11781" spans="23:23">
      <c r="W11781" s="45"/>
    </row>
    <row r="11782" spans="23:23">
      <c r="W11782" s="45"/>
    </row>
    <row r="11783" spans="23:23">
      <c r="W11783" s="45"/>
    </row>
    <row r="11784" spans="23:23">
      <c r="W11784" s="45"/>
    </row>
    <row r="11785" spans="23:23">
      <c r="W11785" s="45"/>
    </row>
    <row r="11786" spans="23:23">
      <c r="W11786" s="45"/>
    </row>
    <row r="11787" spans="23:23">
      <c r="W11787" s="45"/>
    </row>
    <row r="11788" spans="23:23">
      <c r="W11788" s="45"/>
    </row>
    <row r="11789" spans="23:23">
      <c r="W11789" s="45"/>
    </row>
    <row r="11790" spans="23:23">
      <c r="W11790" s="45"/>
    </row>
    <row r="11791" spans="23:23">
      <c r="W11791" s="45"/>
    </row>
    <row r="11792" spans="23:23">
      <c r="W11792" s="45"/>
    </row>
    <row r="11793" spans="23:23">
      <c r="W11793" s="45"/>
    </row>
    <row r="11794" spans="23:23">
      <c r="W11794" s="45"/>
    </row>
    <row r="11795" spans="23:23">
      <c r="W11795" s="45"/>
    </row>
    <row r="11796" spans="23:23">
      <c r="W11796" s="45"/>
    </row>
    <row r="11797" spans="23:23">
      <c r="W11797" s="45"/>
    </row>
    <row r="11798" spans="23:23">
      <c r="W11798" s="45"/>
    </row>
    <row r="11799" spans="23:23">
      <c r="W11799" s="45"/>
    </row>
    <row r="11800" spans="23:23">
      <c r="W11800" s="45"/>
    </row>
    <row r="11801" spans="23:23">
      <c r="W11801" s="45"/>
    </row>
    <row r="11802" spans="23:23">
      <c r="W11802" s="45"/>
    </row>
    <row r="11803" spans="23:23">
      <c r="W11803" s="45"/>
    </row>
    <row r="11804" spans="23:23">
      <c r="W11804" s="45"/>
    </row>
    <row r="11805" spans="23:23">
      <c r="W11805" s="45"/>
    </row>
    <row r="11806" spans="23:23">
      <c r="W11806" s="45"/>
    </row>
    <row r="11807" spans="23:23">
      <c r="W11807" s="45"/>
    </row>
    <row r="11808" spans="23:23">
      <c r="W11808" s="45"/>
    </row>
    <row r="11809" spans="23:23">
      <c r="W11809" s="45"/>
    </row>
    <row r="11810" spans="23:23">
      <c r="W11810" s="45"/>
    </row>
    <row r="11811" spans="23:23">
      <c r="W11811" s="45"/>
    </row>
    <row r="11812" spans="23:23">
      <c r="W11812" s="45"/>
    </row>
    <row r="11813" spans="23:23">
      <c r="W11813" s="45"/>
    </row>
    <row r="11814" spans="23:23">
      <c r="W11814" s="45"/>
    </row>
    <row r="11815" spans="23:23">
      <c r="W11815" s="45"/>
    </row>
    <row r="11816" spans="23:23">
      <c r="W11816" s="45"/>
    </row>
    <row r="11817" spans="23:23">
      <c r="W11817" s="45"/>
    </row>
    <row r="11818" spans="23:23">
      <c r="W11818" s="45"/>
    </row>
    <row r="11819" spans="23:23">
      <c r="W11819" s="45"/>
    </row>
    <row r="11820" spans="23:23">
      <c r="W11820" s="45"/>
    </row>
    <row r="11821" spans="23:23">
      <c r="W11821" s="45"/>
    </row>
    <row r="11822" spans="23:23">
      <c r="W11822" s="45"/>
    </row>
    <row r="11823" spans="23:23">
      <c r="W11823" s="45"/>
    </row>
    <row r="11824" spans="23:23">
      <c r="W11824" s="45"/>
    </row>
    <row r="11825" spans="23:23">
      <c r="W11825" s="45"/>
    </row>
    <row r="11826" spans="23:23">
      <c r="W11826" s="45"/>
    </row>
    <row r="11827" spans="23:23">
      <c r="W11827" s="45"/>
    </row>
    <row r="11828" spans="23:23">
      <c r="W11828" s="45"/>
    </row>
    <row r="11829" spans="23:23">
      <c r="W11829" s="45"/>
    </row>
    <row r="11830" spans="23:23">
      <c r="W11830" s="45"/>
    </row>
    <row r="11831" spans="23:23">
      <c r="W11831" s="45"/>
    </row>
    <row r="11832" spans="23:23">
      <c r="W11832" s="45"/>
    </row>
    <row r="11833" spans="23:23">
      <c r="W11833" s="45"/>
    </row>
    <row r="11834" spans="23:23">
      <c r="W11834" s="45"/>
    </row>
    <row r="11835" spans="23:23">
      <c r="W11835" s="45"/>
    </row>
    <row r="11836" spans="23:23">
      <c r="W11836" s="45"/>
    </row>
    <row r="11837" spans="23:23">
      <c r="W11837" s="45"/>
    </row>
    <row r="11838" spans="23:23">
      <c r="W11838" s="45"/>
    </row>
    <row r="11839" spans="23:23">
      <c r="W11839" s="45"/>
    </row>
    <row r="11840" spans="23:23">
      <c r="W11840" s="45"/>
    </row>
    <row r="11841" spans="23:23">
      <c r="W11841" s="45"/>
    </row>
    <row r="11842" spans="23:23">
      <c r="W11842" s="45"/>
    </row>
    <row r="11843" spans="23:23">
      <c r="W11843" s="45"/>
    </row>
    <row r="11844" spans="23:23">
      <c r="W11844" s="45"/>
    </row>
    <row r="11845" spans="23:23">
      <c r="W11845" s="45"/>
    </row>
    <row r="11846" spans="23:23">
      <c r="W11846" s="45"/>
    </row>
    <row r="11847" spans="23:23">
      <c r="W11847" s="45"/>
    </row>
    <row r="11848" spans="23:23">
      <c r="W11848" s="45"/>
    </row>
    <row r="11849" spans="23:23">
      <c r="W11849" s="45"/>
    </row>
    <row r="11850" spans="23:23">
      <c r="W11850" s="45"/>
    </row>
    <row r="11851" spans="23:23">
      <c r="W11851" s="45"/>
    </row>
    <row r="11852" spans="23:23">
      <c r="W11852" s="45"/>
    </row>
    <row r="11853" spans="23:23">
      <c r="W11853" s="45"/>
    </row>
    <row r="11854" spans="23:23">
      <c r="W11854" s="45"/>
    </row>
    <row r="11855" spans="23:23">
      <c r="W11855" s="45"/>
    </row>
    <row r="11856" spans="23:23">
      <c r="W11856" s="45"/>
    </row>
    <row r="11857" spans="23:23">
      <c r="W11857" s="45"/>
    </row>
    <row r="11858" spans="23:23">
      <c r="W11858" s="45"/>
    </row>
    <row r="11859" spans="23:23">
      <c r="W11859" s="45"/>
    </row>
    <row r="11860" spans="23:23">
      <c r="W11860" s="45"/>
    </row>
    <row r="11861" spans="23:23">
      <c r="W11861" s="45"/>
    </row>
    <row r="11862" spans="23:23">
      <c r="W11862" s="45"/>
    </row>
    <row r="11863" spans="23:23">
      <c r="W11863" s="45"/>
    </row>
    <row r="11864" spans="23:23">
      <c r="W11864" s="45"/>
    </row>
    <row r="11865" spans="23:23">
      <c r="W11865" s="45"/>
    </row>
    <row r="11866" spans="23:23">
      <c r="W11866" s="45"/>
    </row>
    <row r="11867" spans="23:23">
      <c r="W11867" s="45"/>
    </row>
    <row r="11868" spans="23:23">
      <c r="W11868" s="45"/>
    </row>
    <row r="11869" spans="23:23">
      <c r="W11869" s="45"/>
    </row>
    <row r="11870" spans="23:23">
      <c r="W11870" s="45"/>
    </row>
    <row r="11871" spans="23:23">
      <c r="W11871" s="45"/>
    </row>
    <row r="11872" spans="23:23">
      <c r="W11872" s="45"/>
    </row>
    <row r="11873" spans="23:23">
      <c r="W11873" s="45"/>
    </row>
    <row r="11874" spans="23:23">
      <c r="W11874" s="45"/>
    </row>
    <row r="11875" spans="23:23">
      <c r="W11875" s="45"/>
    </row>
    <row r="11876" spans="23:23">
      <c r="W11876" s="45"/>
    </row>
    <row r="11877" spans="23:23">
      <c r="W11877" s="45"/>
    </row>
    <row r="11878" spans="23:23">
      <c r="W11878" s="45"/>
    </row>
    <row r="11879" spans="23:23">
      <c r="W11879" s="45"/>
    </row>
    <row r="11880" spans="23:23">
      <c r="W11880" s="45"/>
    </row>
    <row r="11881" spans="23:23">
      <c r="W11881" s="45"/>
    </row>
    <row r="11882" spans="23:23">
      <c r="W11882" s="45"/>
    </row>
    <row r="11883" spans="23:23">
      <c r="W11883" s="45"/>
    </row>
    <row r="11884" spans="23:23">
      <c r="W11884" s="45"/>
    </row>
    <row r="11885" spans="23:23">
      <c r="W11885" s="45"/>
    </row>
    <row r="11886" spans="23:23">
      <c r="W11886" s="45"/>
    </row>
    <row r="11887" spans="23:23">
      <c r="W11887" s="45"/>
    </row>
    <row r="11888" spans="23:23">
      <c r="W11888" s="45"/>
    </row>
    <row r="11889" spans="23:23">
      <c r="W11889" s="45"/>
    </row>
    <row r="11890" spans="23:23">
      <c r="W11890" s="45"/>
    </row>
    <row r="11891" spans="23:23">
      <c r="W11891" s="45"/>
    </row>
    <row r="11892" spans="23:23">
      <c r="W11892" s="45"/>
    </row>
    <row r="11893" spans="23:23">
      <c r="W11893" s="45"/>
    </row>
    <row r="11894" spans="23:23">
      <c r="W11894" s="45"/>
    </row>
    <row r="11895" spans="23:23">
      <c r="W11895" s="45"/>
    </row>
    <row r="11896" spans="23:23">
      <c r="W11896" s="45"/>
    </row>
    <row r="11897" spans="23:23">
      <c r="W11897" s="45"/>
    </row>
    <row r="11898" spans="23:23">
      <c r="W11898" s="45"/>
    </row>
    <row r="11899" spans="23:23">
      <c r="W11899" s="45"/>
    </row>
    <row r="11900" spans="23:23">
      <c r="W11900" s="45"/>
    </row>
    <row r="11901" spans="23:23">
      <c r="W11901" s="45"/>
    </row>
    <row r="11902" spans="23:23">
      <c r="W11902" s="45"/>
    </row>
    <row r="11903" spans="23:23">
      <c r="W11903" s="45"/>
    </row>
    <row r="11904" spans="23:23">
      <c r="W11904" s="45"/>
    </row>
    <row r="11905" spans="23:23">
      <c r="W11905" s="45"/>
    </row>
    <row r="11906" spans="23:23">
      <c r="W11906" s="45"/>
    </row>
    <row r="11907" spans="23:23">
      <c r="W11907" s="45"/>
    </row>
    <row r="11908" spans="23:23">
      <c r="W11908" s="45"/>
    </row>
    <row r="11909" spans="23:23">
      <c r="W11909" s="45"/>
    </row>
    <row r="11910" spans="23:23">
      <c r="W11910" s="45"/>
    </row>
    <row r="11911" spans="23:23">
      <c r="W11911" s="45"/>
    </row>
    <row r="11912" spans="23:23">
      <c r="W11912" s="45"/>
    </row>
    <row r="11913" spans="23:23">
      <c r="W11913" s="45"/>
    </row>
    <row r="11914" spans="23:23">
      <c r="W11914" s="45"/>
    </row>
    <row r="11915" spans="23:23">
      <c r="W11915" s="45"/>
    </row>
    <row r="11916" spans="23:23">
      <c r="W11916" s="45"/>
    </row>
    <row r="11917" spans="23:23">
      <c r="W11917" s="45"/>
    </row>
    <row r="11918" spans="23:23">
      <c r="W11918" s="45"/>
    </row>
    <row r="11919" spans="23:23">
      <c r="W11919" s="45"/>
    </row>
    <row r="11920" spans="23:23">
      <c r="W11920" s="45"/>
    </row>
    <row r="11921" spans="23:23">
      <c r="W11921" s="45"/>
    </row>
    <row r="11922" spans="23:23">
      <c r="W11922" s="45"/>
    </row>
    <row r="11923" spans="23:23">
      <c r="W11923" s="45"/>
    </row>
    <row r="11924" spans="23:23">
      <c r="W11924" s="45"/>
    </row>
    <row r="11925" spans="23:23">
      <c r="W11925" s="45"/>
    </row>
    <row r="11926" spans="23:23">
      <c r="W11926" s="45"/>
    </row>
    <row r="11927" spans="23:23">
      <c r="W11927" s="45"/>
    </row>
    <row r="11928" spans="23:23">
      <c r="W11928" s="45"/>
    </row>
    <row r="11929" spans="23:23">
      <c r="W11929" s="45"/>
    </row>
    <row r="11930" spans="23:23">
      <c r="W11930" s="45"/>
    </row>
    <row r="11931" spans="23:23">
      <c r="W11931" s="45"/>
    </row>
    <row r="11932" spans="23:23">
      <c r="W11932" s="45"/>
    </row>
    <row r="11933" spans="23:23">
      <c r="W11933" s="45"/>
    </row>
    <row r="11934" spans="23:23">
      <c r="W11934" s="45"/>
    </row>
    <row r="11935" spans="23:23">
      <c r="W11935" s="45"/>
    </row>
    <row r="11936" spans="23:23">
      <c r="W11936" s="45"/>
    </row>
    <row r="11937" spans="23:23">
      <c r="W11937" s="45"/>
    </row>
    <row r="11938" spans="23:23">
      <c r="W11938" s="45"/>
    </row>
    <row r="11939" spans="23:23">
      <c r="W11939" s="45"/>
    </row>
    <row r="11940" spans="23:23">
      <c r="W11940" s="45"/>
    </row>
    <row r="11941" spans="23:23">
      <c r="W11941" s="45"/>
    </row>
    <row r="11942" spans="23:23">
      <c r="W11942" s="45"/>
    </row>
    <row r="11943" spans="23:23">
      <c r="W11943" s="45"/>
    </row>
    <row r="11944" spans="23:23">
      <c r="W11944" s="45"/>
    </row>
    <row r="11945" spans="23:23">
      <c r="W11945" s="45"/>
    </row>
    <row r="11946" spans="23:23">
      <c r="W11946" s="45"/>
    </row>
    <row r="11947" spans="23:23">
      <c r="W11947" s="45"/>
    </row>
    <row r="11948" spans="23:23">
      <c r="W11948" s="45"/>
    </row>
    <row r="11949" spans="23:23">
      <c r="W11949" s="45"/>
    </row>
    <row r="11950" spans="23:23">
      <c r="W11950" s="45"/>
    </row>
    <row r="11951" spans="23:23">
      <c r="W11951" s="45"/>
    </row>
    <row r="11952" spans="23:23">
      <c r="W11952" s="45"/>
    </row>
    <row r="11953" spans="23:23">
      <c r="W11953" s="45"/>
    </row>
    <row r="11954" spans="23:23">
      <c r="W11954" s="45"/>
    </row>
    <row r="11955" spans="23:23">
      <c r="W11955" s="45"/>
    </row>
    <row r="11956" spans="23:23">
      <c r="W11956" s="45"/>
    </row>
    <row r="11957" spans="23:23">
      <c r="W11957" s="45"/>
    </row>
    <row r="11958" spans="23:23">
      <c r="W11958" s="45"/>
    </row>
    <row r="11959" spans="23:23">
      <c r="W11959" s="45"/>
    </row>
    <row r="11960" spans="23:23">
      <c r="W11960" s="45"/>
    </row>
    <row r="11961" spans="23:23">
      <c r="W11961" s="45"/>
    </row>
    <row r="11962" spans="23:23">
      <c r="W11962" s="45"/>
    </row>
    <row r="11963" spans="23:23">
      <c r="W11963" s="45"/>
    </row>
    <row r="11964" spans="23:23">
      <c r="W11964" s="45"/>
    </row>
    <row r="11965" spans="23:23">
      <c r="W11965" s="45"/>
    </row>
    <row r="11966" spans="23:23">
      <c r="W11966" s="45"/>
    </row>
    <row r="11967" spans="23:23">
      <c r="W11967" s="45"/>
    </row>
    <row r="11968" spans="23:23">
      <c r="W11968" s="45"/>
    </row>
    <row r="11969" spans="23:23">
      <c r="W11969" s="45"/>
    </row>
    <row r="11970" spans="23:23">
      <c r="W11970" s="45"/>
    </row>
    <row r="11971" spans="23:23">
      <c r="W11971" s="45"/>
    </row>
    <row r="11972" spans="23:23">
      <c r="W11972" s="45"/>
    </row>
    <row r="11973" spans="23:23">
      <c r="W11973" s="45"/>
    </row>
    <row r="11974" spans="23:23">
      <c r="W11974" s="45"/>
    </row>
    <row r="11975" spans="23:23">
      <c r="W11975" s="45"/>
    </row>
    <row r="11976" spans="23:23">
      <c r="W11976" s="45"/>
    </row>
    <row r="11977" spans="23:23">
      <c r="W11977" s="45"/>
    </row>
    <row r="11978" spans="23:23">
      <c r="W11978" s="45"/>
    </row>
    <row r="11979" spans="23:23">
      <c r="W11979" s="45"/>
    </row>
    <row r="11980" spans="23:23">
      <c r="W11980" s="45"/>
    </row>
    <row r="11981" spans="23:23">
      <c r="W11981" s="45"/>
    </row>
    <row r="11982" spans="23:23">
      <c r="W11982" s="45"/>
    </row>
    <row r="11983" spans="23:23">
      <c r="W11983" s="45"/>
    </row>
    <row r="11984" spans="23:23">
      <c r="W11984" s="45"/>
    </row>
    <row r="11985" spans="23:23">
      <c r="W11985" s="45"/>
    </row>
    <row r="11986" spans="23:23">
      <c r="W11986" s="45"/>
    </row>
    <row r="11987" spans="23:23">
      <c r="W11987" s="45"/>
    </row>
    <row r="11988" spans="23:23">
      <c r="W11988" s="45"/>
    </row>
    <row r="11989" spans="23:23">
      <c r="W11989" s="45"/>
    </row>
    <row r="11990" spans="23:23">
      <c r="W11990" s="45"/>
    </row>
    <row r="11991" spans="23:23">
      <c r="W11991" s="45"/>
    </row>
    <row r="11992" spans="23:23">
      <c r="W11992" s="45"/>
    </row>
    <row r="11993" spans="23:23">
      <c r="W11993" s="45"/>
    </row>
    <row r="11994" spans="23:23">
      <c r="W11994" s="45"/>
    </row>
    <row r="11995" spans="23:23">
      <c r="W11995" s="45"/>
    </row>
    <row r="11996" spans="23:23">
      <c r="W11996" s="45"/>
    </row>
    <row r="11997" spans="23:23">
      <c r="W11997" s="45"/>
    </row>
    <row r="11998" spans="23:23">
      <c r="W11998" s="45"/>
    </row>
    <row r="11999" spans="23:23">
      <c r="W11999" s="45"/>
    </row>
    <row r="12000" spans="23:23">
      <c r="W12000" s="45"/>
    </row>
    <row r="12001" spans="23:23">
      <c r="W12001" s="45"/>
    </row>
    <row r="12002" spans="23:23">
      <c r="W12002" s="45"/>
    </row>
    <row r="12003" spans="23:23">
      <c r="W12003" s="45"/>
    </row>
    <row r="12004" spans="23:23">
      <c r="W12004" s="45"/>
    </row>
    <row r="12005" spans="23:23">
      <c r="W12005" s="45"/>
    </row>
    <row r="12006" spans="23:23">
      <c r="W12006" s="45"/>
    </row>
    <row r="12007" spans="23:23">
      <c r="W12007" s="45"/>
    </row>
    <row r="12008" spans="23:23">
      <c r="W12008" s="45"/>
    </row>
    <row r="12009" spans="23:23">
      <c r="W12009" s="45"/>
    </row>
    <row r="12010" spans="23:23">
      <c r="W12010" s="45"/>
    </row>
    <row r="12011" spans="23:23">
      <c r="W12011" s="45"/>
    </row>
    <row r="12012" spans="23:23">
      <c r="W12012" s="45"/>
    </row>
    <row r="12013" spans="23:23">
      <c r="W12013" s="45"/>
    </row>
    <row r="12014" spans="23:23">
      <c r="W12014" s="45"/>
    </row>
    <row r="12015" spans="23:23">
      <c r="W12015" s="45"/>
    </row>
    <row r="12016" spans="23:23">
      <c r="W12016" s="45"/>
    </row>
    <row r="12017" spans="23:23">
      <c r="W12017" s="45"/>
    </row>
    <row r="12018" spans="23:23">
      <c r="W12018" s="45"/>
    </row>
    <row r="12019" spans="23:23">
      <c r="W12019" s="45"/>
    </row>
    <row r="12020" spans="23:23">
      <c r="W12020" s="45"/>
    </row>
    <row r="12021" spans="23:23">
      <c r="W12021" s="45"/>
    </row>
    <row r="12022" spans="23:23">
      <c r="W12022" s="45"/>
    </row>
    <row r="12023" spans="23:23">
      <c r="W12023" s="45"/>
    </row>
    <row r="12024" spans="23:23">
      <c r="W12024" s="45"/>
    </row>
    <row r="12025" spans="23:23">
      <c r="W12025" s="45"/>
    </row>
    <row r="12026" spans="23:23">
      <c r="W12026" s="45"/>
    </row>
    <row r="12027" spans="23:23">
      <c r="W12027" s="45"/>
    </row>
    <row r="12028" spans="23:23">
      <c r="W12028" s="45"/>
    </row>
    <row r="12029" spans="23:23">
      <c r="W12029" s="45"/>
    </row>
    <row r="12030" spans="23:23">
      <c r="W12030" s="45"/>
    </row>
    <row r="12031" spans="23:23">
      <c r="W12031" s="45"/>
    </row>
    <row r="12032" spans="23:23">
      <c r="W12032" s="45"/>
    </row>
    <row r="12033" spans="23:23">
      <c r="W12033" s="45"/>
    </row>
    <row r="12034" spans="23:23">
      <c r="W12034" s="45"/>
    </row>
    <row r="12035" spans="23:23">
      <c r="W12035" s="45"/>
    </row>
    <row r="12036" spans="23:23">
      <c r="W12036" s="45"/>
    </row>
    <row r="12037" spans="23:23">
      <c r="W12037" s="45"/>
    </row>
    <row r="12038" spans="23:23">
      <c r="W12038" s="45"/>
    </row>
    <row r="12039" spans="23:23">
      <c r="W12039" s="45"/>
    </row>
    <row r="12040" spans="23:23">
      <c r="W12040" s="45"/>
    </row>
    <row r="12041" spans="23:23">
      <c r="W12041" s="45"/>
    </row>
    <row r="12042" spans="23:23">
      <c r="W12042" s="45"/>
    </row>
    <row r="12043" spans="23:23">
      <c r="W12043" s="45"/>
    </row>
    <row r="12044" spans="23:23">
      <c r="W12044" s="45"/>
    </row>
    <row r="12045" spans="23:23">
      <c r="W12045" s="45"/>
    </row>
    <row r="12046" spans="23:23">
      <c r="W12046" s="45"/>
    </row>
    <row r="12047" spans="23:23">
      <c r="W12047" s="45"/>
    </row>
    <row r="12048" spans="23:23">
      <c r="W12048" s="45"/>
    </row>
    <row r="12049" spans="23:23">
      <c r="W12049" s="45"/>
    </row>
    <row r="12050" spans="23:23">
      <c r="W12050" s="45"/>
    </row>
    <row r="12051" spans="23:23">
      <c r="W12051" s="45"/>
    </row>
    <row r="12052" spans="23:23">
      <c r="W12052" s="45"/>
    </row>
    <row r="12053" spans="23:23">
      <c r="W12053" s="45"/>
    </row>
    <row r="12054" spans="23:23">
      <c r="W12054" s="45"/>
    </row>
    <row r="12055" spans="23:23">
      <c r="W12055" s="45"/>
    </row>
    <row r="12056" spans="23:23">
      <c r="W12056" s="45"/>
    </row>
    <row r="12057" spans="23:23">
      <c r="W12057" s="45"/>
    </row>
    <row r="12058" spans="23:23">
      <c r="W12058" s="45"/>
    </row>
    <row r="12059" spans="23:23">
      <c r="W12059" s="45"/>
    </row>
    <row r="12060" spans="23:23">
      <c r="W12060" s="45"/>
    </row>
    <row r="12061" spans="23:23">
      <c r="W12061" s="45"/>
    </row>
    <row r="12062" spans="23:23">
      <c r="W12062" s="45"/>
    </row>
    <row r="12063" spans="23:23">
      <c r="W12063" s="45"/>
    </row>
    <row r="12064" spans="23:23">
      <c r="W12064" s="45"/>
    </row>
    <row r="12065" spans="23:23">
      <c r="W12065" s="45"/>
    </row>
    <row r="12066" spans="23:23">
      <c r="W12066" s="45"/>
    </row>
    <row r="12067" spans="23:23">
      <c r="W12067" s="45"/>
    </row>
    <row r="12068" spans="23:23">
      <c r="W12068" s="45"/>
    </row>
    <row r="12069" spans="23:23">
      <c r="W12069" s="45"/>
    </row>
    <row r="12070" spans="23:23">
      <c r="W12070" s="45"/>
    </row>
    <row r="12071" spans="23:23">
      <c r="W12071" s="45"/>
    </row>
    <row r="12072" spans="23:23">
      <c r="W12072" s="45"/>
    </row>
    <row r="12073" spans="23:23">
      <c r="W12073" s="45"/>
    </row>
    <row r="12074" spans="23:23">
      <c r="W12074" s="45"/>
    </row>
    <row r="12075" spans="23:23">
      <c r="W12075" s="45"/>
    </row>
    <row r="12076" spans="23:23">
      <c r="W12076" s="45"/>
    </row>
    <row r="12077" spans="23:23">
      <c r="W12077" s="45"/>
    </row>
    <row r="12078" spans="23:23">
      <c r="W12078" s="45"/>
    </row>
    <row r="12079" spans="23:23">
      <c r="W12079" s="45"/>
    </row>
    <row r="12080" spans="23:23">
      <c r="W12080" s="45"/>
    </row>
    <row r="12081" spans="23:23">
      <c r="W12081" s="45"/>
    </row>
    <row r="12082" spans="23:23">
      <c r="W12082" s="45"/>
    </row>
    <row r="12083" spans="23:23">
      <c r="W12083" s="45"/>
    </row>
    <row r="12084" spans="23:23">
      <c r="W12084" s="45"/>
    </row>
    <row r="12085" spans="23:23">
      <c r="W12085" s="45"/>
    </row>
    <row r="12086" spans="23:23">
      <c r="W12086" s="45"/>
    </row>
    <row r="12087" spans="23:23">
      <c r="W12087" s="45"/>
    </row>
    <row r="12088" spans="23:23">
      <c r="W12088" s="45"/>
    </row>
    <row r="12089" spans="23:23">
      <c r="W12089" s="45"/>
    </row>
    <row r="12090" spans="23:23">
      <c r="W12090" s="45"/>
    </row>
    <row r="12091" spans="23:23">
      <c r="W12091" s="45"/>
    </row>
    <row r="12092" spans="23:23">
      <c r="W12092" s="45"/>
    </row>
    <row r="12093" spans="23:23">
      <c r="W12093" s="45"/>
    </row>
    <row r="12094" spans="23:23">
      <c r="W12094" s="45"/>
    </row>
    <row r="12095" spans="23:23">
      <c r="W12095" s="45"/>
    </row>
    <row r="12096" spans="23:23">
      <c r="W12096" s="45"/>
    </row>
    <row r="12097" spans="23:23">
      <c r="W12097" s="45"/>
    </row>
    <row r="12098" spans="23:23">
      <c r="W12098" s="45"/>
    </row>
    <row r="12099" spans="23:23">
      <c r="W12099" s="45"/>
    </row>
    <row r="12100" spans="23:23">
      <c r="W12100" s="45"/>
    </row>
    <row r="12101" spans="23:23">
      <c r="W12101" s="45"/>
    </row>
    <row r="12102" spans="23:23">
      <c r="W12102" s="45"/>
    </row>
    <row r="12103" spans="23:23">
      <c r="W12103" s="45"/>
    </row>
    <row r="12104" spans="23:23">
      <c r="W12104" s="45"/>
    </row>
    <row r="12105" spans="23:23">
      <c r="W12105" s="45"/>
    </row>
    <row r="12106" spans="23:23">
      <c r="W12106" s="45"/>
    </row>
    <row r="12107" spans="23:23">
      <c r="W12107" s="45"/>
    </row>
    <row r="12108" spans="23:23">
      <c r="W12108" s="45"/>
    </row>
    <row r="12109" spans="23:23">
      <c r="W12109" s="45"/>
    </row>
    <row r="12110" spans="23:23">
      <c r="W12110" s="45"/>
    </row>
    <row r="12111" spans="23:23">
      <c r="W12111" s="45"/>
    </row>
    <row r="12112" spans="23:23">
      <c r="W12112" s="45"/>
    </row>
    <row r="12113" spans="23:23">
      <c r="W12113" s="45"/>
    </row>
    <row r="12114" spans="23:23">
      <c r="W12114" s="45"/>
    </row>
    <row r="12115" spans="23:23">
      <c r="W12115" s="45"/>
    </row>
    <row r="12116" spans="23:23">
      <c r="W12116" s="45"/>
    </row>
    <row r="12117" spans="23:23">
      <c r="W12117" s="45"/>
    </row>
    <row r="12118" spans="23:23">
      <c r="W12118" s="45"/>
    </row>
    <row r="12119" spans="23:23">
      <c r="W12119" s="45"/>
    </row>
    <row r="12120" spans="23:23">
      <c r="W12120" s="45"/>
    </row>
    <row r="12121" spans="23:23">
      <c r="W12121" s="45"/>
    </row>
    <row r="12122" spans="23:23">
      <c r="W12122" s="45"/>
    </row>
    <row r="12123" spans="23:23">
      <c r="W12123" s="45"/>
    </row>
    <row r="12124" spans="23:23">
      <c r="W12124" s="45"/>
    </row>
    <row r="12125" spans="23:23">
      <c r="W12125" s="45"/>
    </row>
    <row r="12126" spans="23:23">
      <c r="W12126" s="45"/>
    </row>
    <row r="12127" spans="23:23">
      <c r="W12127" s="45"/>
    </row>
    <row r="12128" spans="23:23">
      <c r="W12128" s="45"/>
    </row>
    <row r="12129" spans="23:23">
      <c r="W12129" s="45"/>
    </row>
    <row r="12130" spans="23:23">
      <c r="W12130" s="45"/>
    </row>
    <row r="12131" spans="23:23">
      <c r="W12131" s="45"/>
    </row>
    <row r="12132" spans="23:23">
      <c r="W12132" s="45"/>
    </row>
    <row r="12133" spans="23:23">
      <c r="W12133" s="45"/>
    </row>
    <row r="12134" spans="23:23">
      <c r="W12134" s="45"/>
    </row>
    <row r="12135" spans="23:23">
      <c r="W12135" s="45"/>
    </row>
    <row r="12136" spans="23:23">
      <c r="W12136" s="45"/>
    </row>
    <row r="12137" spans="23:23">
      <c r="W12137" s="45"/>
    </row>
    <row r="12138" spans="23:23">
      <c r="W12138" s="45"/>
    </row>
    <row r="12139" spans="23:23">
      <c r="W12139" s="45"/>
    </row>
    <row r="12140" spans="23:23">
      <c r="W12140" s="45"/>
    </row>
    <row r="12141" spans="23:23">
      <c r="W12141" s="45"/>
    </row>
    <row r="12142" spans="23:23">
      <c r="W12142" s="45"/>
    </row>
    <row r="12143" spans="23:23">
      <c r="W12143" s="45"/>
    </row>
    <row r="12144" spans="23:23">
      <c r="W12144" s="45"/>
    </row>
    <row r="12145" spans="23:23">
      <c r="W12145" s="45"/>
    </row>
    <row r="12146" spans="23:23">
      <c r="W12146" s="45"/>
    </row>
    <row r="12147" spans="23:23">
      <c r="W12147" s="45"/>
    </row>
    <row r="12148" spans="23:23">
      <c r="W12148" s="45"/>
    </row>
    <row r="12149" spans="23:23">
      <c r="W12149" s="45"/>
    </row>
    <row r="12150" spans="23:23">
      <c r="W12150" s="45"/>
    </row>
    <row r="12151" spans="23:23">
      <c r="W12151" s="45"/>
    </row>
    <row r="12152" spans="23:23">
      <c r="W12152" s="45"/>
    </row>
    <row r="12153" spans="23:23">
      <c r="W12153" s="45"/>
    </row>
    <row r="12154" spans="23:23">
      <c r="W12154" s="45"/>
    </row>
    <row r="12155" spans="23:23">
      <c r="W12155" s="45"/>
    </row>
    <row r="12156" spans="23:23">
      <c r="W12156" s="45"/>
    </row>
    <row r="12157" spans="23:23">
      <c r="W12157" s="45"/>
    </row>
    <row r="12158" spans="23:23">
      <c r="W12158" s="45"/>
    </row>
    <row r="12159" spans="23:23">
      <c r="W12159" s="45"/>
    </row>
    <row r="12160" spans="23:23">
      <c r="W12160" s="45"/>
    </row>
    <row r="12161" spans="23:23">
      <c r="W12161" s="45"/>
    </row>
    <row r="12162" spans="23:23">
      <c r="W12162" s="45"/>
    </row>
    <row r="12163" spans="23:23">
      <c r="W12163" s="45"/>
    </row>
    <row r="12164" spans="23:23">
      <c r="W12164" s="45"/>
    </row>
    <row r="12165" spans="23:23">
      <c r="W12165" s="45"/>
    </row>
    <row r="12166" spans="23:23">
      <c r="W12166" s="45"/>
    </row>
    <row r="12167" spans="23:23">
      <c r="W12167" s="45"/>
    </row>
    <row r="12168" spans="23:23">
      <c r="W12168" s="45"/>
    </row>
    <row r="12169" spans="23:23">
      <c r="W12169" s="45"/>
    </row>
    <row r="12170" spans="23:23">
      <c r="W12170" s="45"/>
    </row>
    <row r="12171" spans="23:23">
      <c r="W12171" s="45"/>
    </row>
    <row r="12172" spans="23:23">
      <c r="W12172" s="45"/>
    </row>
    <row r="12173" spans="23:23">
      <c r="W12173" s="45"/>
    </row>
    <row r="12174" spans="23:23">
      <c r="W12174" s="45"/>
    </row>
    <row r="12175" spans="23:23">
      <c r="W12175" s="45"/>
    </row>
    <row r="12176" spans="23:23">
      <c r="W12176" s="45"/>
    </row>
    <row r="12177" spans="23:23">
      <c r="W12177" s="45"/>
    </row>
    <row r="12178" spans="23:23">
      <c r="W12178" s="45"/>
    </row>
    <row r="12179" spans="23:23">
      <c r="W12179" s="45"/>
    </row>
    <row r="12180" spans="23:23">
      <c r="W12180" s="45"/>
    </row>
    <row r="12181" spans="23:23">
      <c r="W12181" s="45"/>
    </row>
    <row r="12182" spans="23:23">
      <c r="W12182" s="45"/>
    </row>
    <row r="12183" spans="23:23">
      <c r="W12183" s="45"/>
    </row>
    <row r="12184" spans="23:23">
      <c r="W12184" s="45"/>
    </row>
    <row r="12185" spans="23:23">
      <c r="W12185" s="45"/>
    </row>
    <row r="12186" spans="23:23">
      <c r="W12186" s="45"/>
    </row>
    <row r="12187" spans="23:23">
      <c r="W12187" s="45"/>
    </row>
    <row r="12188" spans="23:23">
      <c r="W12188" s="45"/>
    </row>
    <row r="12189" spans="23:23">
      <c r="W12189" s="45"/>
    </row>
    <row r="12190" spans="23:23">
      <c r="W12190" s="45"/>
    </row>
    <row r="12191" spans="23:23">
      <c r="W12191" s="45"/>
    </row>
    <row r="12192" spans="23:23">
      <c r="W12192" s="45"/>
    </row>
    <row r="12193" spans="23:23">
      <c r="W12193" s="45"/>
    </row>
    <row r="12194" spans="23:23">
      <c r="W12194" s="45"/>
    </row>
    <row r="12195" spans="23:23">
      <c r="W12195" s="45"/>
    </row>
    <row r="12196" spans="23:23">
      <c r="W12196" s="45"/>
    </row>
    <row r="12197" spans="23:23">
      <c r="W12197" s="45"/>
    </row>
    <row r="12198" spans="23:23">
      <c r="W12198" s="45"/>
    </row>
    <row r="12199" spans="23:23">
      <c r="W12199" s="45"/>
    </row>
    <row r="12200" spans="23:23">
      <c r="W12200" s="45"/>
    </row>
    <row r="12201" spans="23:23">
      <c r="W12201" s="45"/>
    </row>
    <row r="12202" spans="23:23">
      <c r="W12202" s="45"/>
    </row>
    <row r="12203" spans="23:23">
      <c r="W12203" s="45"/>
    </row>
    <row r="12204" spans="23:23">
      <c r="W12204" s="45"/>
    </row>
    <row r="12205" spans="23:23">
      <c r="W12205" s="45"/>
    </row>
    <row r="12206" spans="23:23">
      <c r="W12206" s="45"/>
    </row>
    <row r="12207" spans="23:23">
      <c r="W12207" s="45"/>
    </row>
    <row r="12208" spans="23:23">
      <c r="W12208" s="45"/>
    </row>
    <row r="12209" spans="23:23">
      <c r="W12209" s="45"/>
    </row>
    <row r="12210" spans="23:23">
      <c r="W12210" s="45"/>
    </row>
    <row r="12211" spans="23:23">
      <c r="W12211" s="45"/>
    </row>
    <row r="12212" spans="23:23">
      <c r="W12212" s="45"/>
    </row>
    <row r="12213" spans="23:23">
      <c r="W12213" s="45"/>
    </row>
    <row r="12214" spans="23:23">
      <c r="W12214" s="45"/>
    </row>
    <row r="12215" spans="23:23">
      <c r="W12215" s="45"/>
    </row>
    <row r="12216" spans="23:23">
      <c r="W12216" s="45"/>
    </row>
    <row r="12217" spans="23:23">
      <c r="W12217" s="45"/>
    </row>
    <row r="12218" spans="23:23">
      <c r="W12218" s="45"/>
    </row>
    <row r="12219" spans="23:23">
      <c r="W12219" s="45"/>
    </row>
    <row r="12220" spans="23:23">
      <c r="W12220" s="45"/>
    </row>
    <row r="12221" spans="23:23">
      <c r="W12221" s="45"/>
    </row>
    <row r="12222" spans="23:23">
      <c r="W12222" s="45"/>
    </row>
    <row r="12223" spans="23:23">
      <c r="W12223" s="45"/>
    </row>
    <row r="12224" spans="23:23">
      <c r="W12224" s="45"/>
    </row>
    <row r="12225" spans="23:23">
      <c r="W12225" s="45"/>
    </row>
    <row r="12226" spans="23:23">
      <c r="W12226" s="45"/>
    </row>
    <row r="12227" spans="23:23">
      <c r="W12227" s="45"/>
    </row>
    <row r="12228" spans="23:23">
      <c r="W12228" s="45"/>
    </row>
    <row r="12229" spans="23:23">
      <c r="W12229" s="45"/>
    </row>
    <row r="12230" spans="23:23">
      <c r="W12230" s="45"/>
    </row>
    <row r="12231" spans="23:23">
      <c r="W12231" s="45"/>
    </row>
    <row r="12232" spans="23:23">
      <c r="W12232" s="45"/>
    </row>
    <row r="12233" spans="23:23">
      <c r="W12233" s="45"/>
    </row>
    <row r="12234" spans="23:23">
      <c r="W12234" s="45"/>
    </row>
    <row r="12235" spans="23:23">
      <c r="W12235" s="45"/>
    </row>
    <row r="12236" spans="23:23">
      <c r="W12236" s="45"/>
    </row>
    <row r="12237" spans="23:23">
      <c r="W12237" s="45"/>
    </row>
    <row r="12238" spans="23:23">
      <c r="W12238" s="45"/>
    </row>
    <row r="12239" spans="23:23">
      <c r="W12239" s="45"/>
    </row>
    <row r="12240" spans="23:23">
      <c r="W12240" s="45"/>
    </row>
    <row r="12241" spans="23:23">
      <c r="W12241" s="45"/>
    </row>
    <row r="12242" spans="23:23">
      <c r="W12242" s="45"/>
    </row>
    <row r="12243" spans="23:23">
      <c r="W12243" s="45"/>
    </row>
    <row r="12244" spans="23:23">
      <c r="W12244" s="45"/>
    </row>
    <row r="12245" spans="23:23">
      <c r="W12245" s="45"/>
    </row>
    <row r="12246" spans="23:23">
      <c r="W12246" s="45"/>
    </row>
    <row r="12247" spans="23:23">
      <c r="W12247" s="45"/>
    </row>
    <row r="12248" spans="23:23">
      <c r="W12248" s="45"/>
    </row>
    <row r="12249" spans="23:23">
      <c r="W12249" s="45"/>
    </row>
    <row r="12250" spans="23:23">
      <c r="W12250" s="45"/>
    </row>
    <row r="12251" spans="23:23">
      <c r="W12251" s="45"/>
    </row>
    <row r="12252" spans="23:23">
      <c r="W12252" s="45"/>
    </row>
    <row r="12253" spans="23:23">
      <c r="W12253" s="45"/>
    </row>
    <row r="12254" spans="23:23">
      <c r="W12254" s="45"/>
    </row>
    <row r="12255" spans="23:23">
      <c r="W12255" s="45"/>
    </row>
    <row r="12256" spans="23:23">
      <c r="W12256" s="45"/>
    </row>
    <row r="12257" spans="23:23">
      <c r="W12257" s="45"/>
    </row>
    <row r="12258" spans="23:23">
      <c r="W12258" s="45"/>
    </row>
    <row r="12259" spans="23:23">
      <c r="W12259" s="45"/>
    </row>
    <row r="12260" spans="23:23">
      <c r="W12260" s="45"/>
    </row>
    <row r="12261" spans="23:23">
      <c r="W12261" s="45"/>
    </row>
    <row r="12262" spans="23:23">
      <c r="W12262" s="45"/>
    </row>
    <row r="12263" spans="23:23">
      <c r="W12263" s="45"/>
    </row>
    <row r="12264" spans="23:23">
      <c r="W12264" s="45"/>
    </row>
    <row r="12265" spans="23:23">
      <c r="W12265" s="45"/>
    </row>
    <row r="12266" spans="23:23">
      <c r="W12266" s="45"/>
    </row>
    <row r="12267" spans="23:23">
      <c r="W12267" s="45"/>
    </row>
    <row r="12268" spans="23:23">
      <c r="W12268" s="45"/>
    </row>
    <row r="12269" spans="23:23">
      <c r="W12269" s="45"/>
    </row>
    <row r="12270" spans="23:23">
      <c r="W12270" s="45"/>
    </row>
    <row r="12271" spans="23:23">
      <c r="W12271" s="45"/>
    </row>
    <row r="12272" spans="23:23">
      <c r="W12272" s="45"/>
    </row>
    <row r="12273" spans="23:23">
      <c r="W12273" s="45"/>
    </row>
    <row r="12274" spans="23:23">
      <c r="W12274" s="45"/>
    </row>
    <row r="12275" spans="23:23">
      <c r="W12275" s="45"/>
    </row>
    <row r="12276" spans="23:23">
      <c r="W12276" s="45"/>
    </row>
    <row r="12277" spans="23:23">
      <c r="W12277" s="45"/>
    </row>
    <row r="12278" spans="23:23">
      <c r="W12278" s="45"/>
    </row>
    <row r="12279" spans="23:23">
      <c r="W12279" s="45"/>
    </row>
    <row r="12280" spans="23:23">
      <c r="W12280" s="45"/>
    </row>
    <row r="12281" spans="23:23">
      <c r="W12281" s="45"/>
    </row>
    <row r="12282" spans="23:23">
      <c r="W12282" s="45"/>
    </row>
    <row r="12283" spans="23:23">
      <c r="W12283" s="45"/>
    </row>
    <row r="12284" spans="23:23">
      <c r="W12284" s="45"/>
    </row>
    <row r="12285" spans="23:23">
      <c r="W12285" s="45"/>
    </row>
    <row r="12286" spans="23:23">
      <c r="W12286" s="45"/>
    </row>
    <row r="12287" spans="23:23">
      <c r="W12287" s="45"/>
    </row>
  </sheetData>
  <pageMargins left="0.7" right="0.7" top="0.75" bottom="0.75" header="0.3" footer="0.3"/>
  <pageSetup paperSize="9" orientation="portrait" horizontalDpi="4294967292" verticalDpi="4294967292"/>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'DV List - PLEASE DO NOT EDIT'!$A$2:$A$17</xm:f>
          </x14:formula1>
          <xm:sqref>W4:W3115</xm:sqref>
        </x14:dataValidation>
      </x14:dataValidations>
    </ex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FF00"/>
  </sheetPr>
  <dimension ref="B2:D30"/>
  <sheetViews>
    <sheetView topLeftCell="A10" zoomScale="200" zoomScaleNormal="200" zoomScalePageLayoutView="200" workbookViewId="0">
      <selection activeCell="E19" sqref="E19"/>
    </sheetView>
  </sheetViews>
  <sheetFormatPr baseColWidth="10" defaultColWidth="8.83203125" defaultRowHeight="12" x14ac:dyDescent="0"/>
  <cols>
    <col min="2" max="2" width="15.5" customWidth="1"/>
    <col min="3" max="3" width="40.1640625" customWidth="1"/>
    <col min="4" max="4" width="61.1640625" customWidth="1"/>
  </cols>
  <sheetData>
    <row r="2" spans="2:4" ht="13" thickBot="1"/>
    <row r="3" spans="2:4" ht="13" thickBot="1">
      <c r="B3" s="74" t="s">
        <v>3554</v>
      </c>
      <c r="C3" s="75"/>
      <c r="D3" s="76"/>
    </row>
    <row r="4" spans="2:4" ht="15" thickBot="1">
      <c r="B4" s="6" t="s">
        <v>3555</v>
      </c>
      <c r="C4" s="6" t="s">
        <v>265</v>
      </c>
      <c r="D4" s="7" t="s">
        <v>3556</v>
      </c>
    </row>
    <row r="5" spans="2:4" ht="37" thickBot="1">
      <c r="B5" s="61">
        <v>1</v>
      </c>
      <c r="C5" s="62" t="s">
        <v>151</v>
      </c>
      <c r="D5" s="12" t="s">
        <v>291</v>
      </c>
    </row>
    <row r="6" spans="2:4" ht="13" thickBot="1">
      <c r="B6" s="61">
        <v>2</v>
      </c>
      <c r="C6" s="63" t="s">
        <v>269</v>
      </c>
      <c r="D6" s="4" t="s">
        <v>5</v>
      </c>
    </row>
    <row r="7" spans="2:4" ht="73" thickBot="1">
      <c r="B7" s="61">
        <v>3</v>
      </c>
      <c r="C7" s="62" t="s">
        <v>270</v>
      </c>
      <c r="D7" s="10" t="s">
        <v>289</v>
      </c>
    </row>
    <row r="8" spans="2:4" ht="73" thickBot="1">
      <c r="B8" s="64">
        <v>4</v>
      </c>
      <c r="C8" s="62" t="s">
        <v>271</v>
      </c>
      <c r="D8" s="10" t="s">
        <v>285</v>
      </c>
    </row>
    <row r="9" spans="2:4" ht="13" thickBot="1">
      <c r="B9" s="61">
        <v>5</v>
      </c>
      <c r="C9" s="62" t="s">
        <v>267</v>
      </c>
      <c r="D9" s="4" t="s">
        <v>8</v>
      </c>
    </row>
    <row r="10" spans="2:4" ht="61" thickBot="1">
      <c r="B10" s="61">
        <v>6</v>
      </c>
      <c r="C10" s="62" t="s">
        <v>272</v>
      </c>
      <c r="D10" s="10" t="s">
        <v>290</v>
      </c>
    </row>
    <row r="11" spans="2:4" ht="13" thickBot="1">
      <c r="B11" s="61">
        <v>7</v>
      </c>
      <c r="C11" s="62" t="s">
        <v>273</v>
      </c>
      <c r="D11" s="4"/>
    </row>
    <row r="12" spans="2:4" ht="13" thickBot="1">
      <c r="B12" s="61">
        <v>8</v>
      </c>
      <c r="C12" s="62" t="s">
        <v>274</v>
      </c>
      <c r="D12" s="10" t="s">
        <v>11</v>
      </c>
    </row>
    <row r="13" spans="2:4" ht="13" thickBot="1">
      <c r="B13" s="61">
        <v>9</v>
      </c>
      <c r="C13" s="62" t="s">
        <v>266</v>
      </c>
      <c r="D13" s="11" t="s">
        <v>288</v>
      </c>
    </row>
    <row r="14" spans="2:4" ht="49" thickBot="1">
      <c r="B14" s="61">
        <v>10</v>
      </c>
      <c r="C14" s="65" t="s">
        <v>282</v>
      </c>
      <c r="D14" s="10" t="s">
        <v>286</v>
      </c>
    </row>
    <row r="15" spans="2:4" ht="25" thickBot="1">
      <c r="B15" s="61">
        <v>11</v>
      </c>
      <c r="C15" s="66" t="s">
        <v>275</v>
      </c>
      <c r="D15" s="5" t="s">
        <v>283</v>
      </c>
    </row>
    <row r="16" spans="2:4" ht="37" thickBot="1">
      <c r="B16" s="61">
        <v>12</v>
      </c>
      <c r="C16" s="62" t="s">
        <v>276</v>
      </c>
      <c r="D16" s="3" t="s">
        <v>280</v>
      </c>
    </row>
    <row r="17" spans="2:4" ht="37" thickBot="1">
      <c r="B17" s="61">
        <v>13</v>
      </c>
      <c r="C17" s="67" t="s">
        <v>277</v>
      </c>
      <c r="D17" s="12" t="s">
        <v>287</v>
      </c>
    </row>
    <row r="18" spans="2:4" ht="37" thickBot="1">
      <c r="B18" s="61">
        <v>14</v>
      </c>
      <c r="C18" s="66" t="s">
        <v>278</v>
      </c>
      <c r="D18" s="3" t="s">
        <v>281</v>
      </c>
    </row>
    <row r="19" spans="2:4" ht="85" thickBot="1">
      <c r="B19" s="61">
        <v>15</v>
      </c>
      <c r="C19" s="63" t="s">
        <v>268</v>
      </c>
      <c r="D19" s="69" t="s">
        <v>3564</v>
      </c>
    </row>
    <row r="20" spans="2:4" ht="13" thickBot="1">
      <c r="B20" s="61">
        <v>16</v>
      </c>
      <c r="C20" s="68" t="s">
        <v>263</v>
      </c>
      <c r="D20" s="4" t="s">
        <v>279</v>
      </c>
    </row>
    <row r="30" spans="2:4">
      <c r="D30" s="1"/>
    </row>
  </sheetData>
  <mergeCells count="1">
    <mergeCell ref="B3:D3"/>
  </mergeCells>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7"/>
  <sheetViews>
    <sheetView workbookViewId="0">
      <selection activeCell="G36" sqref="G36"/>
    </sheetView>
  </sheetViews>
  <sheetFormatPr baseColWidth="10" defaultColWidth="8.83203125" defaultRowHeight="12" x14ac:dyDescent="0"/>
  <sheetData>
    <row r="1" spans="1:7">
      <c r="A1" s="34" t="s">
        <v>264</v>
      </c>
    </row>
    <row r="2" spans="1:7">
      <c r="A2" s="34">
        <v>1</v>
      </c>
    </row>
    <row r="3" spans="1:7" ht="13" thickBot="1">
      <c r="A3" s="34">
        <v>2</v>
      </c>
    </row>
    <row r="4" spans="1:7">
      <c r="A4" s="34">
        <v>3</v>
      </c>
      <c r="C4" s="77" t="s">
        <v>2286</v>
      </c>
      <c r="D4" s="78"/>
      <c r="E4" s="78"/>
      <c r="F4" s="78"/>
      <c r="G4" s="79"/>
    </row>
    <row r="5" spans="1:7">
      <c r="A5" s="34">
        <v>4</v>
      </c>
      <c r="C5" s="80"/>
      <c r="D5" s="81"/>
      <c r="E5" s="81"/>
      <c r="F5" s="81"/>
      <c r="G5" s="82"/>
    </row>
    <row r="6" spans="1:7">
      <c r="A6" s="34">
        <v>5</v>
      </c>
      <c r="C6" s="80"/>
      <c r="D6" s="81"/>
      <c r="E6" s="81"/>
      <c r="F6" s="81"/>
      <c r="G6" s="82"/>
    </row>
    <row r="7" spans="1:7" ht="13" thickBot="1">
      <c r="A7" s="34">
        <v>6</v>
      </c>
      <c r="C7" s="83"/>
      <c r="D7" s="84"/>
      <c r="E7" s="84"/>
      <c r="F7" s="84"/>
      <c r="G7" s="85"/>
    </row>
    <row r="8" spans="1:7">
      <c r="A8" s="34">
        <v>7</v>
      </c>
    </row>
    <row r="9" spans="1:7">
      <c r="A9" s="34">
        <v>8</v>
      </c>
    </row>
    <row r="10" spans="1:7">
      <c r="A10" s="34">
        <v>9</v>
      </c>
    </row>
    <row r="11" spans="1:7">
      <c r="A11" s="34">
        <v>10</v>
      </c>
    </row>
    <row r="12" spans="1:7">
      <c r="A12" s="34">
        <v>11</v>
      </c>
    </row>
    <row r="13" spans="1:7">
      <c r="A13" s="34">
        <v>12</v>
      </c>
    </row>
    <row r="14" spans="1:7">
      <c r="A14" s="34">
        <v>13</v>
      </c>
    </row>
    <row r="15" spans="1:7">
      <c r="A15" s="34">
        <v>14</v>
      </c>
    </row>
    <row r="16" spans="1:7">
      <c r="A16" s="34">
        <v>15</v>
      </c>
    </row>
    <row r="17" spans="1:1">
      <c r="A17" s="34">
        <v>16</v>
      </c>
    </row>
  </sheetData>
  <mergeCells count="1">
    <mergeCell ref="C4:G7"/>
  </mergeCells>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D24"/>
  <sheetViews>
    <sheetView showGridLines="0" workbookViewId="0">
      <selection activeCell="I13" sqref="I13"/>
    </sheetView>
  </sheetViews>
  <sheetFormatPr baseColWidth="10" defaultColWidth="8.83203125" defaultRowHeight="12" x14ac:dyDescent="0"/>
  <cols>
    <col min="2" max="2" width="67.6640625" customWidth="1"/>
    <col min="3" max="3" width="29.33203125" customWidth="1"/>
    <col min="4" max="4" width="35.33203125" customWidth="1"/>
  </cols>
  <sheetData>
    <row r="3" spans="2:4" ht="34.5" customHeight="1">
      <c r="B3" s="89" t="s">
        <v>3413</v>
      </c>
      <c r="C3" s="89"/>
      <c r="D3" s="89"/>
    </row>
    <row r="4" spans="2:4">
      <c r="B4" s="56" t="s">
        <v>3549</v>
      </c>
      <c r="C4" s="57" t="s">
        <v>3550</v>
      </c>
      <c r="D4" s="57" t="s">
        <v>3551</v>
      </c>
    </row>
    <row r="5" spans="2:4">
      <c r="B5" s="58" t="s">
        <v>10</v>
      </c>
      <c r="C5" s="59">
        <v>2.1000000000000001E-2</v>
      </c>
      <c r="D5" s="60">
        <v>61</v>
      </c>
    </row>
    <row r="6" spans="2:4">
      <c r="B6" s="58" t="s">
        <v>17</v>
      </c>
      <c r="C6" s="59">
        <v>3.4000000000000002E-2</v>
      </c>
      <c r="D6" s="60">
        <v>102</v>
      </c>
    </row>
    <row r="7" spans="2:4">
      <c r="B7" s="58" t="s">
        <v>14</v>
      </c>
      <c r="C7" s="59">
        <v>6.7000000000000004E-2</v>
      </c>
      <c r="D7" s="60">
        <v>200</v>
      </c>
    </row>
    <row r="8" spans="2:4">
      <c r="B8" s="58" t="s">
        <v>8</v>
      </c>
      <c r="C8" s="59">
        <v>7.0000000000000007E-2</v>
      </c>
      <c r="D8" s="60">
        <v>207</v>
      </c>
    </row>
    <row r="9" spans="2:4">
      <c r="B9" s="58" t="s">
        <v>16</v>
      </c>
      <c r="C9" s="59">
        <v>7.400000000000001E-2</v>
      </c>
      <c r="D9" s="60">
        <v>221</v>
      </c>
    </row>
    <row r="10" spans="2:4">
      <c r="B10" s="58" t="s">
        <v>12</v>
      </c>
      <c r="C10" s="59">
        <v>7.5999999999999998E-2</v>
      </c>
      <c r="D10" s="60">
        <v>225</v>
      </c>
    </row>
    <row r="11" spans="2:4">
      <c r="B11" s="58" t="s">
        <v>11</v>
      </c>
      <c r="C11" s="59">
        <v>0.106</v>
      </c>
      <c r="D11" s="60">
        <v>314</v>
      </c>
    </row>
    <row r="12" spans="2:4">
      <c r="B12" s="58" t="s">
        <v>6</v>
      </c>
      <c r="C12" s="59">
        <v>0.11</v>
      </c>
      <c r="D12" s="60">
        <v>326</v>
      </c>
    </row>
    <row r="13" spans="2:4">
      <c r="B13" s="58" t="s">
        <v>15</v>
      </c>
      <c r="C13" s="59">
        <v>0.11900000000000001</v>
      </c>
      <c r="D13" s="60">
        <v>352</v>
      </c>
    </row>
    <row r="14" spans="2:4">
      <c r="B14" s="58" t="s">
        <v>7</v>
      </c>
      <c r="C14" s="59">
        <v>0.12300000000000001</v>
      </c>
      <c r="D14" s="60">
        <v>364</v>
      </c>
    </row>
    <row r="15" spans="2:4">
      <c r="B15" s="58" t="s">
        <v>13</v>
      </c>
      <c r="C15" s="59">
        <v>0.191</v>
      </c>
      <c r="D15" s="60">
        <v>566</v>
      </c>
    </row>
    <row r="16" spans="2:4">
      <c r="B16" s="58" t="s">
        <v>9</v>
      </c>
      <c r="C16" s="59">
        <v>0.19600000000000001</v>
      </c>
      <c r="D16" s="60">
        <v>582</v>
      </c>
    </row>
    <row r="17" spans="2:4">
      <c r="B17" s="58" t="s">
        <v>5</v>
      </c>
      <c r="C17" s="59">
        <v>0.21100000000000002</v>
      </c>
      <c r="D17" s="60">
        <v>625</v>
      </c>
    </row>
    <row r="18" spans="2:4">
      <c r="B18" s="58" t="s">
        <v>4</v>
      </c>
      <c r="C18" s="59">
        <v>0.255</v>
      </c>
      <c r="D18" s="60">
        <v>756</v>
      </c>
    </row>
    <row r="19" spans="2:4">
      <c r="B19" s="58" t="s">
        <v>3415</v>
      </c>
      <c r="C19" s="59">
        <v>0.32100000000000001</v>
      </c>
      <c r="D19" s="60">
        <v>954</v>
      </c>
    </row>
    <row r="20" spans="2:4">
      <c r="B20" s="58" t="s">
        <v>292</v>
      </c>
      <c r="C20" s="59">
        <f>SUBTOTAL(101,Table4[Response Percent])</f>
        <v>0.13159999999999999</v>
      </c>
      <c r="D20" s="60">
        <f>SUBTOTAL(109,Table4[Response Count])</f>
        <v>5855</v>
      </c>
    </row>
    <row r="21" spans="2:4">
      <c r="B21" s="51"/>
      <c r="C21" s="52"/>
      <c r="D21" s="53"/>
    </row>
    <row r="22" spans="2:4">
      <c r="B22" s="86" t="s">
        <v>18</v>
      </c>
      <c r="C22" s="87">
        <v>650</v>
      </c>
      <c r="D22" s="54">
        <v>650</v>
      </c>
    </row>
    <row r="23" spans="2:4">
      <c r="B23" s="88" t="s">
        <v>3552</v>
      </c>
      <c r="C23" s="88">
        <v>2968</v>
      </c>
      <c r="D23" s="55">
        <v>2968</v>
      </c>
    </row>
    <row r="24" spans="2:4">
      <c r="B24" s="88" t="s">
        <v>3553</v>
      </c>
      <c r="C24" s="88">
        <v>147</v>
      </c>
      <c r="D24" s="55">
        <v>147</v>
      </c>
    </row>
  </sheetData>
  <mergeCells count="4">
    <mergeCell ref="B22:C22"/>
    <mergeCell ref="B23:C23"/>
    <mergeCell ref="B24:C24"/>
    <mergeCell ref="B3:D3"/>
  </mergeCells>
  <pageMargins left="0.7" right="0.7" top="0.75" bottom="0.75" header="0.3" footer="0.3"/>
  <pageSetup paperSize="9" orientation="portrait"/>
  <drawing r:id="rId1"/>
  <tableParts count="1">
    <tablePart r:id="rId2"/>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H22"/>
  <sheetViews>
    <sheetView topLeftCell="A22" zoomScale="85" zoomScaleNormal="85" zoomScalePageLayoutView="85" workbookViewId="0">
      <selection activeCell="G69" sqref="G69"/>
    </sheetView>
  </sheetViews>
  <sheetFormatPr baseColWidth="10" defaultColWidth="8.83203125" defaultRowHeight="12" x14ac:dyDescent="0"/>
  <cols>
    <col min="1" max="1" width="20.5" bestFit="1" customWidth="1"/>
    <col min="2" max="2" width="6.6640625" customWidth="1"/>
    <col min="3" max="3" width="22" customWidth="1"/>
    <col min="4" max="4" width="17.1640625" customWidth="1"/>
    <col min="7" max="7" width="16.33203125" customWidth="1"/>
    <col min="8" max="8" width="20.33203125" customWidth="1"/>
  </cols>
  <sheetData>
    <row r="3" spans="1:8" ht="25" thickBot="1">
      <c r="A3" s="25" t="s">
        <v>293</v>
      </c>
      <c r="B3" s="26" t="s">
        <v>264</v>
      </c>
      <c r="C3" s="27" t="s">
        <v>284</v>
      </c>
      <c r="D3" s="28" t="s">
        <v>294</v>
      </c>
      <c r="G3" s="13" t="s">
        <v>296</v>
      </c>
      <c r="H3" s="18" t="s">
        <v>2285</v>
      </c>
    </row>
    <row r="4" spans="1:8" ht="13" thickBot="1">
      <c r="A4" s="19" t="s">
        <v>151</v>
      </c>
      <c r="B4" s="9">
        <v>1</v>
      </c>
      <c r="C4" s="2">
        <f>COUNTIF('Coded Qual.data'!W3:W3115,1)</f>
        <v>97</v>
      </c>
      <c r="D4" s="24">
        <f>C4/C21</f>
        <v>-0.21603563474387527</v>
      </c>
      <c r="G4" t="s">
        <v>3536</v>
      </c>
      <c r="H4" t="e">
        <f>COUNTIF('Coded Qual.data'!#REF!, 14)</f>
        <v>#REF!</v>
      </c>
    </row>
    <row r="5" spans="1:8" ht="13" thickBot="1">
      <c r="A5" s="20" t="s">
        <v>269</v>
      </c>
      <c r="B5" s="4">
        <v>2</v>
      </c>
      <c r="C5" s="2">
        <f>-COUNTIF('Coded Qual.data'!W3:W3115, 2)</f>
        <v>-125</v>
      </c>
      <c r="D5" s="24">
        <f>C5/C21</f>
        <v>0.27839643652561247</v>
      </c>
      <c r="G5" t="s">
        <v>3538</v>
      </c>
      <c r="H5" t="e">
        <f>COUNTIF('Coded Qual.data'!#REF!, 13)</f>
        <v>#REF!</v>
      </c>
    </row>
    <row r="6" spans="1:8" ht="13" thickBot="1">
      <c r="A6" s="22" t="s">
        <v>270</v>
      </c>
      <c r="B6" s="4">
        <v>3</v>
      </c>
      <c r="C6" s="2">
        <f>-COUNTIF('Coded Qual.data'!W3:W3115, 3)</f>
        <v>-46</v>
      </c>
      <c r="D6" s="24">
        <f>C6/C21</f>
        <v>0.10244988864142539</v>
      </c>
      <c r="G6" t="s">
        <v>3537</v>
      </c>
      <c r="H6" t="e">
        <f>COUNTIF('Coded Qual.data'!#REF!, 12)</f>
        <v>#REF!</v>
      </c>
    </row>
    <row r="7" spans="1:8" ht="13" thickBot="1">
      <c r="A7" s="22" t="s">
        <v>271</v>
      </c>
      <c r="B7" s="8">
        <v>4</v>
      </c>
      <c r="C7" s="2">
        <f>-COUNTIF('Coded Qual.data'!W3:W3115, 4)</f>
        <v>-60</v>
      </c>
      <c r="D7" s="24">
        <f>C7/C21</f>
        <v>0.133630289532294</v>
      </c>
      <c r="G7" t="s">
        <v>3539</v>
      </c>
      <c r="H7" t="e">
        <f>COUNTIF('Coded Qual.data'!#REF!, 11)</f>
        <v>#REF!</v>
      </c>
    </row>
    <row r="8" spans="1:8" ht="13" thickBot="1">
      <c r="A8" s="22" t="s">
        <v>267</v>
      </c>
      <c r="B8" s="4">
        <v>5</v>
      </c>
      <c r="C8" s="2">
        <f>-COUNTIF('Coded Qual.data'!W3:W3115, 5)</f>
        <v>-26</v>
      </c>
      <c r="D8" s="24">
        <f>C8/C21</f>
        <v>5.7906458797327393E-2</v>
      </c>
      <c r="G8" t="s">
        <v>3540</v>
      </c>
      <c r="H8" t="e">
        <f>COUNTIF('Coded Qual.data'!#REF!, 10)</f>
        <v>#REF!</v>
      </c>
    </row>
    <row r="9" spans="1:8" ht="25" thickBot="1">
      <c r="A9" s="22" t="s">
        <v>272</v>
      </c>
      <c r="B9" s="4">
        <v>6</v>
      </c>
      <c r="C9" s="2">
        <f>-COUNTIF('Coded Qual.data'!W3:W3115,6)</f>
        <v>-58</v>
      </c>
      <c r="D9" s="24">
        <f>C9/C21</f>
        <v>0.1291759465478842</v>
      </c>
      <c r="G9" t="s">
        <v>3541</v>
      </c>
      <c r="H9" t="e">
        <f>COUNTIF('Coded Qual.data'!#REF!, 9)</f>
        <v>#REF!</v>
      </c>
    </row>
    <row r="10" spans="1:8" ht="25" thickBot="1">
      <c r="A10" s="22" t="s">
        <v>273</v>
      </c>
      <c r="B10" s="4">
        <v>7</v>
      </c>
      <c r="C10" s="2">
        <f>-COUNTIF('Coded Qual.data'!W3:W3115, 7)</f>
        <v>-7</v>
      </c>
      <c r="D10" s="24">
        <f>C10/C21</f>
        <v>1.5590200445434299E-2</v>
      </c>
      <c r="G10" t="s">
        <v>3542</v>
      </c>
      <c r="H10" t="e">
        <f>COUNTIF('Coded Qual.data'!#REF!, 8)</f>
        <v>#REF!</v>
      </c>
    </row>
    <row r="11" spans="1:8" ht="13" thickBot="1">
      <c r="A11" s="22" t="s">
        <v>274</v>
      </c>
      <c r="B11" s="4">
        <v>8</v>
      </c>
      <c r="C11" s="2">
        <f>-COUNTIF('Coded Qual.data'!W3:W3115, 8)</f>
        <v>-26</v>
      </c>
      <c r="D11" s="24">
        <f>C11/C21</f>
        <v>5.7906458797327393E-2</v>
      </c>
      <c r="G11" t="s">
        <v>3543</v>
      </c>
      <c r="H11" t="e">
        <f>COUNTIF('Coded Qual.data'!#REF!, 7)</f>
        <v>#REF!</v>
      </c>
    </row>
    <row r="12" spans="1:8" ht="13" thickBot="1">
      <c r="A12" s="48" t="s">
        <v>266</v>
      </c>
      <c r="B12" s="4">
        <v>9</v>
      </c>
      <c r="C12" s="2">
        <f>-COUNTIF('Coded Qual.data'!W3:W3115, 9)</f>
        <v>-15</v>
      </c>
      <c r="D12" s="24">
        <f>C12/C21</f>
        <v>3.34075723830735E-2</v>
      </c>
      <c r="G12" t="s">
        <v>3548</v>
      </c>
      <c r="H12" t="e">
        <f>COUNTIF('Coded Qual.data'!#REF!, 6)</f>
        <v>#REF!</v>
      </c>
    </row>
    <row r="13" spans="1:8" ht="37" thickBot="1">
      <c r="A13" s="21" t="s">
        <v>282</v>
      </c>
      <c r="B13" s="4">
        <v>10</v>
      </c>
      <c r="C13" s="2">
        <f>-COUNTIF('Coded Qual.data'!W3:W3115, 10)</f>
        <v>-70</v>
      </c>
      <c r="D13" s="24">
        <f>C13/C21</f>
        <v>0.15590200445434299</v>
      </c>
      <c r="G13" t="s">
        <v>3544</v>
      </c>
      <c r="H13" t="e">
        <f>COUNTIF('Coded Qual.data'!#REF!, 5)</f>
        <v>#REF!</v>
      </c>
    </row>
    <row r="14" spans="1:8" ht="13" thickBot="1">
      <c r="A14" s="23" t="s">
        <v>275</v>
      </c>
      <c r="B14" s="4">
        <v>11</v>
      </c>
      <c r="C14" s="2">
        <f>-COUNTIF('Coded Qual.data'!W3:W3115, 11)</f>
        <v>-17</v>
      </c>
      <c r="D14" s="24">
        <f>C14/C21</f>
        <v>3.7861915367483297E-2</v>
      </c>
      <c r="G14" t="s">
        <v>3545</v>
      </c>
      <c r="H14" t="e">
        <f>COUNTIF('Coded Qual.data'!#REF!, 4)</f>
        <v>#REF!</v>
      </c>
    </row>
    <row r="15" spans="1:8" ht="13" thickBot="1">
      <c r="A15" s="22" t="s">
        <v>276</v>
      </c>
      <c r="B15" s="4">
        <v>12</v>
      </c>
      <c r="C15" s="2">
        <f>-COUNTIF('Coded Qual.data'!W3:W3115, 12)</f>
        <v>-45</v>
      </c>
      <c r="D15" s="24">
        <f>C15/C21</f>
        <v>0.10022271714922049</v>
      </c>
      <c r="G15" t="s">
        <v>3546</v>
      </c>
      <c r="H15" t="e">
        <f>COUNTIF('Coded Qual.data'!#REF!, 3)</f>
        <v>#REF!</v>
      </c>
    </row>
    <row r="16" spans="1:8" ht="13" thickBot="1">
      <c r="A16" s="33" t="s">
        <v>277</v>
      </c>
      <c r="B16" s="4">
        <v>13</v>
      </c>
      <c r="C16" s="2">
        <f>-COUNTIF('Coded Qual.data'!W3:W3115, 13)</f>
        <v>-22</v>
      </c>
      <c r="D16" s="24">
        <f>C16/C21</f>
        <v>4.8997772828507792E-2</v>
      </c>
      <c r="G16" t="s">
        <v>3547</v>
      </c>
      <c r="H16" t="e">
        <f>COUNTIF('Coded Qual.data'!#REF!, 2)</f>
        <v>#REF!</v>
      </c>
    </row>
    <row r="17" spans="1:8" ht="25" thickBot="1">
      <c r="A17" s="23" t="s">
        <v>278</v>
      </c>
      <c r="B17" s="4">
        <v>14</v>
      </c>
      <c r="C17" s="2">
        <f>-COUNTIF('Coded Qual.data'!W3:W3115, 14)</f>
        <v>-10</v>
      </c>
      <c r="D17" s="24">
        <f>C17/C21</f>
        <v>2.2271714922048998E-2</v>
      </c>
      <c r="G17" s="42" t="s">
        <v>3535</v>
      </c>
      <c r="H17" t="e">
        <f>COUNTIF('Coded Qual.data'!#REF!,1)</f>
        <v>#REF!</v>
      </c>
    </row>
    <row r="18" spans="1:8" ht="13" thickBot="1">
      <c r="A18" s="20" t="s">
        <v>268</v>
      </c>
      <c r="B18" s="4">
        <v>15</v>
      </c>
      <c r="C18" s="2">
        <f>-COUNTIF('Coded Qual.data'!W3:W3115, 15)</f>
        <v>-19</v>
      </c>
      <c r="D18" s="24">
        <f>C18/C21</f>
        <v>4.2316258351893093E-2</v>
      </c>
      <c r="G18" t="s">
        <v>292</v>
      </c>
    </row>
    <row r="19" spans="1:8" ht="13" thickBot="1">
      <c r="A19" s="29" t="s">
        <v>279</v>
      </c>
      <c r="B19" s="30">
        <v>16</v>
      </c>
      <c r="C19" s="31">
        <f>-COUNTIF('Coded Qual.data'!W3:W3115, 16)</f>
        <v>-7</v>
      </c>
      <c r="D19" s="32"/>
    </row>
    <row r="20" spans="1:8" ht="13" thickBot="1">
      <c r="A20" s="14" t="s">
        <v>292</v>
      </c>
      <c r="B20" s="2"/>
      <c r="C20" s="2">
        <f>SUM(C4:C19)</f>
        <v>-456</v>
      </c>
      <c r="D20" s="2"/>
    </row>
    <row r="21" spans="1:8" ht="25" thickBot="1">
      <c r="A21" s="15" t="s">
        <v>295</v>
      </c>
      <c r="B21" s="16"/>
      <c r="C21" s="17">
        <f>SUM(C20-C19)</f>
        <v>-449</v>
      </c>
      <c r="D21" s="17"/>
      <c r="G21" s="45"/>
      <c r="H21" s="45"/>
    </row>
    <row r="22" spans="1:8">
      <c r="G22" s="49"/>
      <c r="H22" s="50"/>
    </row>
  </sheetData>
  <sheetProtection password="C68B" sheet="1" objects="1" scenarios="1"/>
  <pageMargins left="0.7" right="0.7" top="0.75" bottom="0.75" header="0.3" footer="0.3"/>
  <ignoredErrors>
    <ignoredError sqref="C4:C9 C10:C19" calculatedColumn="1"/>
  </ignoredErrors>
  <drawing r:id="rId1"/>
  <tableParts count="2">
    <tablePart r:id="rId2"/>
    <tablePart r:id="rId3"/>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8" tint="0.59999389629810485"/>
  </sheetPr>
  <dimension ref="A2:A5"/>
  <sheetViews>
    <sheetView workbookViewId="0">
      <selection activeCell="A7" sqref="A7"/>
    </sheetView>
  </sheetViews>
  <sheetFormatPr baseColWidth="10" defaultColWidth="11.5" defaultRowHeight="12" x14ac:dyDescent="0"/>
  <cols>
    <col min="1" max="1" width="123.1640625" customWidth="1"/>
  </cols>
  <sheetData>
    <row r="2" spans="1:1" ht="15.75" customHeight="1">
      <c r="A2" t="s">
        <v>3560</v>
      </c>
    </row>
    <row r="3" spans="1:1" ht="15.75" customHeight="1">
      <c r="A3" t="s">
        <v>3559</v>
      </c>
    </row>
    <row r="4" spans="1:1" ht="15.75" customHeight="1">
      <c r="A4" t="s">
        <v>3561</v>
      </c>
    </row>
    <row r="5" spans="1:1" ht="15.75" customHeight="1">
      <c r="A5" t="s">
        <v>3562</v>
      </c>
    </row>
  </sheetData>
  <pageMargins left="0.75" right="0.75" top="1" bottom="1" header="0.5" footer="0.5"/>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Coded Qual.data</vt:lpstr>
      <vt:lpstr>Coding framework</vt:lpstr>
      <vt:lpstr>DV List - PLEASE DO NOT EDIT</vt:lpstr>
      <vt:lpstr>Quant.data</vt:lpstr>
      <vt:lpstr>Internal use - Data table&amp;Graph</vt:lpstr>
      <vt:lpstr>JUDE'S THOUGHTS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Emily Day</dc:creator>
  <cp:lastModifiedBy>Patrick Torsney</cp:lastModifiedBy>
  <dcterms:created xsi:type="dcterms:W3CDTF">2015-02-10T14:57:40Z</dcterms:created>
  <dcterms:modified xsi:type="dcterms:W3CDTF">2015-07-08T16:19:37Z</dcterms:modified>
</cp:coreProperties>
</file>